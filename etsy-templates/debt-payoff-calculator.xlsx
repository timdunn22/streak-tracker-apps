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ebt Input" sheetId="3" state="visible" r:id="rId3"/>
    <sheet xmlns:r="http://schemas.openxmlformats.org/officeDocument/2006/relationships" name="Snowball Plan" sheetId="4" state="visible" r:id="rId4"/>
    <sheet xmlns:r="http://schemas.openxmlformats.org/officeDocument/2006/relationships" name="Avalanche Plan" sheetId="5" state="visible" r:id="rId5"/>
    <sheet xmlns:r="http://schemas.openxmlformats.org/officeDocument/2006/relationships" name="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2">
    <font>
      <name val="Calibri"/>
      <family val="2"/>
      <color theme="1"/>
      <sz val="11"/>
      <scheme val="minor"/>
    </font>
    <font>
      <name val="Calibri"/>
      <b val="1"/>
      <color rgb="002D3748"/>
      <sz val="24"/>
    </font>
    <font>
      <name val="Calibri"/>
      <color rgb="0094A3B8"/>
      <sz val="12"/>
    </font>
    <font>
      <name val="Calibri"/>
      <b val="1"/>
      <color rgb="000D9488"/>
      <sz val="14"/>
    </font>
    <font>
      <name val="Calibri"/>
      <color rgb="001A202C"/>
      <sz val="11"/>
    </font>
    <font>
      <name val="Calibri"/>
      <b val="1"/>
      <color rgb="002D3748"/>
      <sz val="11"/>
    </font>
    <font>
      <name val="Calibri"/>
      <b val="1"/>
      <color rgb="00DC2626"/>
      <sz val="11"/>
    </font>
    <font>
      <name val="Calibri"/>
      <b val="1"/>
      <color rgb="002D3748"/>
      <sz val="2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2D3748"/>
      <sz val="22"/>
    </font>
    <font>
      <name val="Calibri"/>
      <b val="1"/>
      <color rgb="001A202C"/>
      <sz val="11"/>
    </font>
    <font>
      <name val="Calibri"/>
      <b val="1"/>
      <color rgb="00DC2626"/>
      <sz val="14"/>
    </font>
    <font>
      <name val="Calibri"/>
      <b val="1"/>
      <color rgb="002D3748"/>
      <sz val="13"/>
    </font>
    <font>
      <name val="Calibri"/>
      <b val="1"/>
      <color rgb="000D9488"/>
      <sz val="16"/>
    </font>
    <font>
      <name val="Calibri"/>
      <i val="1"/>
      <color rgb="0094A3B8"/>
      <sz val="11"/>
    </font>
    <font>
      <name val="Calibri"/>
      <b val="1"/>
      <color rgb="000D9488"/>
      <sz val="12"/>
    </font>
    <font>
      <name val="Calibri"/>
      <b val="1"/>
      <color rgb="002D3748"/>
      <sz val="12"/>
    </font>
    <font>
      <name val="Calibri"/>
      <b val="1"/>
      <color rgb="002D3748"/>
      <sz val="14"/>
    </font>
    <font>
      <name val="Calibri"/>
      <b val="1"/>
      <color rgb="000D9488"/>
      <sz val="13"/>
    </font>
    <font>
      <name val="Calibri"/>
      <i val="1"/>
      <color rgb="0094A3B8"/>
      <sz val="10"/>
    </font>
    <font>
      <name val="Calibri"/>
      <b val="1"/>
      <color rgb="002D3748"/>
      <sz val="18"/>
    </font>
  </fonts>
  <fills count="10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2D3748"/>
      </patternFill>
    </fill>
    <fill>
      <patternFill patternType="solid">
        <fgColor rgb="00FFFDE7"/>
      </patternFill>
    </fill>
    <fill>
      <patternFill patternType="solid">
        <fgColor rgb="00F7FAFC"/>
      </patternFill>
    </fill>
    <fill>
      <patternFill patternType="solid">
        <fgColor rgb="00FEE2E2"/>
      </patternFill>
    </fill>
    <fill>
      <patternFill patternType="solid">
        <fgColor rgb="00F59E0B"/>
      </patternFill>
    </fill>
    <fill>
      <patternFill patternType="solid">
        <fgColor rgb="00E2E8F0"/>
      </patternFill>
    </fill>
    <fill>
      <patternFill patternType="solid">
        <fgColor rgb="00CCFBF1"/>
      </patternFill>
    </fill>
  </fills>
  <borders count="7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ck">
        <color rgb="00F59E0B"/>
      </left>
      <right style="thick">
        <color rgb="00F59E0B"/>
      </right>
      <top style="thick">
        <color rgb="00F59E0B"/>
      </top>
      <bottom style="thick">
        <color rgb="00F59E0B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0" borderId="1" applyAlignment="1" pivotButton="0" quotePrefix="0" xfId="0">
      <alignment horizontal="left" vertical="center"/>
    </xf>
    <xf numFmtId="164" fontId="12" fillId="6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right" vertical="center"/>
    </xf>
    <xf numFmtId="164" fontId="14" fillId="4" borderId="6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/>
    </xf>
    <xf numFmtId="0" fontId="18" fillId="2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1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8" fillId="3" borderId="0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1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1" fillId="0" borderId="1" pivotButton="0" quotePrefix="0" xfId="0"/>
    <xf numFmtId="3" fontId="11" fillId="0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b val="1"/>
        <color rgb="00DC2626"/>
      </font>
      <fill>
        <patternFill patternType="solid">
          <fgColor rgb="00FEE2E2"/>
        </patternFill>
      </fill>
    </dxf>
    <dxf>
      <fill>
        <patternFill patternType="solid">
          <fgColor rgb="00CCFBF1"/>
        </patternFill>
      </fill>
    </dxf>
    <dxf>
      <font>
        <b val="1"/>
        <color rgb="000D9488"/>
      </font>
      <fill>
        <patternFill patternType="solid">
          <fgColor rgb="00CCFB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3748"/>
    <outlinePr summaryBelow="1" summaryRight="1"/>
    <pageSetUpPr/>
  </sheetPr>
  <dimension ref="B2:B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4" customWidth="1" min="3" max="3"/>
  </cols>
  <sheetData>
    <row r="2">
      <c r="B2" s="1" t="inlineStr">
        <is>
          <t>DEBT PAYOFF CALCULATOR</t>
        </is>
      </c>
    </row>
    <row r="3">
      <c r="B3" s="2" t="inlineStr">
        <is>
          <t>Your step-by-step guide to becoming debt-free</t>
        </is>
      </c>
    </row>
    <row r="5">
      <c r="B5" s="3" t="inlineStr">
        <is>
          <t>Welcome!</t>
        </is>
      </c>
    </row>
    <row r="6" ht="70" customHeight="1">
      <c r="B6" s="4" t="inlineStr">
        <is>
          <t>Congratulations on taking the first step toward financial freedom! This calculator will help you create a clear, actionable plan to pay off all of your debts. Simply enter your debts on the "Debt Input" sheet, set your extra monthly payment, and the calculator does the rest -- generating personalized Snowball and Avalanche payoff plans so you can compare strategies and choose the best path for you.</t>
        </is>
      </c>
    </row>
    <row r="8">
      <c r="B8" s="3" t="inlineStr">
        <is>
          <t>How to Use This Calculator</t>
        </is>
      </c>
    </row>
    <row r="9" ht="30" customHeight="1">
      <c r="B9" s="4" t="inlineStr">
        <is>
          <t>Step 1:  Go to the "Debt Input" sheet and enter each debt -- name, balance, APR, and minimum payment.</t>
        </is>
      </c>
    </row>
    <row r="10" ht="30" customHeight="1">
      <c r="B10" s="4" t="inlineStr">
        <is>
          <t>Step 2:  On the "Dashboard" sheet, enter your Extra Monthly Payment (the highlighted yellow cell). Even $50/month makes a huge difference!</t>
        </is>
      </c>
    </row>
    <row r="11" ht="30" customHeight="1">
      <c r="B11" s="4" t="inlineStr">
        <is>
          <t>Step 3:  Review the "Snowball Plan" sheet to see your payoff schedule when tackling the smallest balance first.</t>
        </is>
      </c>
    </row>
    <row r="12" ht="30" customHeight="1">
      <c r="B12" s="4" t="inlineStr">
        <is>
          <t>Step 4:  Review the "Avalanche Plan" sheet to see your payoff schedule when tackling the highest interest rate first.</t>
        </is>
      </c>
    </row>
    <row r="13" ht="30" customHeight="1">
      <c r="B13" s="4" t="inlineStr">
        <is>
          <t>Step 5:  Check the "Comparison" sheet to see which method saves you the most money and time.</t>
        </is>
      </c>
    </row>
    <row r="14" ht="30" customHeight="1">
      <c r="B14" s="4" t="inlineStr">
        <is>
          <t>Step 6:  Print your chosen plan and stick it on the fridge!</t>
        </is>
      </c>
    </row>
    <row r="16">
      <c r="B16" s="3" t="inlineStr">
        <is>
          <t>Snowball Method vs. Avalanche Method</t>
        </is>
      </c>
    </row>
    <row r="17" ht="30" customHeight="1">
      <c r="B17" s="5" t="inlineStr">
        <is>
          <t>SNOWBALL METHOD  --  Pay off the smallest balance first, then roll that payment into the next smallest.</t>
        </is>
      </c>
    </row>
    <row r="18" ht="60" customHeight="1">
      <c r="B18" s="4" t="inlineStr">
        <is>
          <t>Pros: Quick wins build momentum and motivation. You see debts disappear fast.
Cons: You may pay slightly more in total interest over time.
Best for: People who need psychological motivation to stay on track.</t>
        </is>
      </c>
    </row>
    <row r="20" ht="30" customHeight="1">
      <c r="B20" s="5" t="inlineStr">
        <is>
          <t>AVALANCHE METHOD  --  Pay off the highest interest rate first, saving the most money mathematically.</t>
        </is>
      </c>
    </row>
    <row r="21" ht="60" customHeight="1">
      <c r="B21" s="4" t="inlineStr">
        <is>
          <t>Pros: Minimizes total interest paid. The mathematically optimal strategy.
Cons: It may take longer to fully pay off your first debt, which can feel slow.
Best for: People who are disciplined and motivated by saving the most money.</t>
        </is>
      </c>
    </row>
    <row r="23">
      <c r="B23" s="3" t="inlineStr">
        <is>
          <t>Tips for Getting Out of Debt</t>
        </is>
      </c>
    </row>
    <row r="24" ht="25" customHeight="1">
      <c r="B24" s="4" t="inlineStr">
        <is>
          <t xml:space="preserve">  1.  Automate your payments so you never miss a due date.</t>
        </is>
      </c>
    </row>
    <row r="25" ht="25" customHeight="1">
      <c r="B25" s="4" t="inlineStr">
        <is>
          <t xml:space="preserve">  2.  Use the debt snowball/avalanche to stay focused -- do NOT spread extra payments across all debts.</t>
        </is>
      </c>
    </row>
    <row r="26" ht="25" customHeight="1">
      <c r="B26" s="4" t="inlineStr">
        <is>
          <t xml:space="preserve">  3.  Build a small emergency fund ($500-$1,000) first so unexpected expenses don't derail your plan.</t>
        </is>
      </c>
    </row>
    <row r="27" ht="25" customHeight="1">
      <c r="B27" s="4" t="inlineStr">
        <is>
          <t xml:space="preserve">  4.  Look for ways to increase income: side hustles, selling unused items, negotiating a raise.</t>
        </is>
      </c>
    </row>
    <row r="28" ht="25" customHeight="1">
      <c r="B28" s="4" t="inlineStr">
        <is>
          <t xml:space="preserve">  5.  Call your creditors and ask for lower interest rates -- it works more often than you think!</t>
        </is>
      </c>
    </row>
    <row r="29" ht="25" customHeight="1">
      <c r="B29" s="4" t="inlineStr">
        <is>
          <t xml:space="preserve">  6.  Track your progress monthly. Watching balances drop is incredibly motivating.</t>
        </is>
      </c>
    </row>
    <row r="30" ht="25" customHeight="1">
      <c r="B30" s="4" t="inlineStr">
        <is>
          <t xml:space="preserve">  7.  Celebrate milestones! When you pay off a debt, reward yourself (within reason).</t>
        </is>
      </c>
    </row>
    <row r="31" ht="25" customHeight="1">
      <c r="B31" s="4" t="inlineStr">
        <is>
          <t xml:space="preserve">  8.  Avoid taking on new debt while paying off existing debt.</t>
        </is>
      </c>
    </row>
    <row r="32" ht="25" customHeight="1">
      <c r="B32" s="4" t="inlineStr">
        <is>
          <t xml:space="preserve">  9.  Consider balance transfer offers (0% APR) to reduce interest, but read the fine print.</t>
        </is>
      </c>
    </row>
    <row r="33" ht="25" customHeight="1">
      <c r="B33" s="4" t="inlineStr">
        <is>
          <t xml:space="preserve">  10.  Stay patient. Becoming debt-free is a marathon, not a sprint.</t>
        </is>
      </c>
    </row>
    <row r="35" ht="30" customHeight="1">
      <c r="B35" s="6" t="inlineStr">
        <is>
          <t>NOTE: Yellow-highlighted cells are for your input. All other cells contain formulas -- please do not edit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9488"/>
    <outlinePr summaryBelow="1" summaryRight="1"/>
    <pageSetUpPr/>
  </sheetPr>
  <dimension ref="B1:F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6" customWidth="1" min="4" max="4"/>
    <col width="32" customWidth="1" min="5" max="5"/>
    <col width="22" customWidth="1" min="6" max="6"/>
    <col width="4" customWidth="1" min="7" max="7"/>
  </cols>
  <sheetData>
    <row r="1">
      <c r="B1" s="7" t="inlineStr">
        <is>
          <t>DEBT PAYOFF DASHBOARD</t>
        </is>
      </c>
    </row>
    <row r="2">
      <c r="B2" s="2" t="inlineStr">
        <is>
          <t>Your complete debt snapshot at a glance</t>
        </is>
      </c>
    </row>
    <row r="4">
      <c r="B4" s="8" t="inlineStr">
        <is>
          <t>OVERVIEW</t>
        </is>
      </c>
      <c r="C4" s="9" t="n"/>
      <c r="D4" s="9" t="n"/>
      <c r="E4" s="9" t="n"/>
      <c r="F4" s="10" t="n"/>
    </row>
    <row r="5">
      <c r="B5" s="11" t="inlineStr">
        <is>
          <t>Total Debt</t>
        </is>
      </c>
      <c r="C5" s="12">
        <f>'Debt Input'!C25</f>
        <v/>
      </c>
    </row>
    <row r="6">
      <c r="B6" s="11" t="inlineStr">
        <is>
          <t>Total Minimum Payments</t>
        </is>
      </c>
      <c r="C6" s="13">
        <f>'Debt Input'!E25</f>
        <v/>
      </c>
    </row>
    <row r="7">
      <c r="B7" s="11" t="inlineStr">
        <is>
          <t>Number of Debts</t>
        </is>
      </c>
      <c r="C7" s="14">
        <f>COUNTA('Debt Input'!B5:B24)</f>
        <v/>
      </c>
    </row>
    <row r="8">
      <c r="B8" s="11" t="inlineStr">
        <is>
          <t>Weighted Avg Interest Rate</t>
        </is>
      </c>
      <c r="C8" s="15">
        <f>'Debt Input'!D25</f>
        <v/>
      </c>
    </row>
    <row r="10">
      <c r="B10" s="16" t="inlineStr">
        <is>
          <t>YOUR EXTRA MONTHLY PAYMENT</t>
        </is>
      </c>
      <c r="C10" s="9" t="n"/>
      <c r="D10" s="9" t="n"/>
      <c r="E10" s="9" t="n"/>
      <c r="F10" s="10" t="n"/>
    </row>
    <row r="11">
      <c r="B11" s="17" t="inlineStr">
        <is>
          <t>Extra Payment Per Month --&gt;</t>
        </is>
      </c>
      <c r="C11" s="18" t="n">
        <v>200</v>
      </c>
      <c r="D11" s="19" t="inlineStr">
        <is>
          <t>&lt;-- Enter your extra monthly payment here</t>
        </is>
      </c>
    </row>
    <row r="13">
      <c r="B13" s="8" t="inlineStr">
        <is>
          <t>PAYOFF COMPARISON</t>
        </is>
      </c>
      <c r="C13" s="9" t="n"/>
      <c r="D13" s="9" t="n"/>
      <c r="E13" s="9" t="n"/>
      <c r="F13" s="10" t="n"/>
    </row>
    <row r="14">
      <c r="B14" s="20" t="inlineStr">
        <is>
          <t>Metric</t>
        </is>
      </c>
      <c r="C14" s="20" t="inlineStr">
        <is>
          <t>Snowball</t>
        </is>
      </c>
      <c r="D14" s="10" t="n"/>
      <c r="E14" s="20" t="inlineStr">
        <is>
          <t>Avalanche</t>
        </is>
      </c>
      <c r="F14" s="10" t="n"/>
    </row>
    <row r="15">
      <c r="B15" s="11" t="inlineStr">
        <is>
          <t>Total Months to Payoff</t>
        </is>
      </c>
      <c r="C15" s="14">
        <f>'Comparison'!C5</f>
        <v/>
      </c>
      <c r="D15" s="10" t="n"/>
      <c r="E15" s="14">
        <f>'Comparison'!D5</f>
        <v/>
      </c>
      <c r="F15" s="10" t="n"/>
    </row>
    <row r="16">
      <c r="B16" s="11" t="inlineStr">
        <is>
          <t>Total Interest Paid</t>
        </is>
      </c>
      <c r="C16" s="13">
        <f>'Comparison'!C6</f>
        <v/>
      </c>
      <c r="D16" s="10" t="n"/>
      <c r="E16" s="13">
        <f>'Comparison'!D6</f>
        <v/>
      </c>
      <c r="F16" s="10" t="n"/>
    </row>
    <row r="17">
      <c r="B17" s="11" t="inlineStr">
        <is>
          <t>Total Amount Paid</t>
        </is>
      </c>
      <c r="C17" s="13">
        <f>'Comparison'!C7</f>
        <v/>
      </c>
      <c r="D17" s="10" t="n"/>
      <c r="E17" s="13">
        <f>'Comparison'!D7</f>
        <v/>
      </c>
      <c r="F17" s="10" t="n"/>
    </row>
    <row r="18">
      <c r="B18" s="21" t="inlineStr">
        <is>
          <t>Interest Saved (Best Method)</t>
        </is>
      </c>
      <c r="C18" s="22">
        <f>'Comparison'!C9</f>
        <v/>
      </c>
      <c r="D18" s="9" t="n"/>
      <c r="E18" s="9" t="n"/>
      <c r="F18" s="10" t="n"/>
    </row>
    <row r="19">
      <c r="B19" s="23" t="inlineStr">
        <is>
          <t>Recommended Method</t>
        </is>
      </c>
      <c r="C19" s="24">
        <f>'Comparison'!C10</f>
        <v/>
      </c>
      <c r="D19" s="9" t="n"/>
      <c r="E19" s="9" t="n"/>
      <c r="F19" s="10" t="n"/>
    </row>
    <row r="21">
      <c r="B21" s="8" t="inlineStr">
        <is>
          <t>MOTIVATION STATION</t>
        </is>
      </c>
      <c r="C21" s="9" t="n"/>
      <c r="D21" s="9" t="n"/>
      <c r="E21" s="9" t="n"/>
      <c r="F21" s="10" t="n"/>
    </row>
    <row r="22">
      <c r="B22" s="11" t="inlineStr">
        <is>
          <t>Debt-Free Countdown (Best Method)</t>
        </is>
      </c>
      <c r="C22" s="25">
        <f>IF('Comparison'!C11=0,"Enter your debts to begin!",'Comparison'!C11&amp;" months to freedom!")</f>
        <v/>
      </c>
      <c r="D22" s="26" t="n"/>
      <c r="E22" s="26" t="n"/>
      <c r="F22" s="26" t="n"/>
    </row>
    <row r="23">
      <c r="B23" s="11" t="inlineStr">
        <is>
          <t>Monthly Payment (Min + Extra)</t>
        </is>
      </c>
      <c r="C23" s="27">
        <f>'Debt Input'!E25+Dashboard!C11</f>
        <v/>
      </c>
      <c r="D23" s="26" t="n"/>
      <c r="E23" s="26" t="n"/>
      <c r="F23" s="26" t="n"/>
    </row>
    <row r="25">
      <c r="B25" s="28" t="inlineStr">
        <is>
          <t>"The secret of getting ahead is getting started." -- Mark Twain</t>
        </is>
      </c>
    </row>
    <row r="26">
      <c r="B26" s="28" t="inlineStr">
        <is>
          <t>"A journey of a thousand miles begins with a single step." -- Lao Tzu</t>
        </is>
      </c>
    </row>
    <row r="27">
      <c r="B27" s="28" t="inlineStr">
        <is>
          <t>"Financial freedom is available to those who learn about it and work for it." -- Robert Kiyosaki</t>
        </is>
      </c>
    </row>
  </sheetData>
  <mergeCells count="22">
    <mergeCell ref="B4:F4"/>
    <mergeCell ref="D11:F11"/>
    <mergeCell ref="C23:F23"/>
    <mergeCell ref="C15:D15"/>
    <mergeCell ref="B25:F25"/>
    <mergeCell ref="C14:D14"/>
    <mergeCell ref="E14:F14"/>
    <mergeCell ref="C19:F19"/>
    <mergeCell ref="E17:F17"/>
    <mergeCell ref="B27:F27"/>
    <mergeCell ref="B21:F21"/>
    <mergeCell ref="C18:F18"/>
    <mergeCell ref="C16:D16"/>
    <mergeCell ref="B2:F2"/>
    <mergeCell ref="B1:F1"/>
    <mergeCell ref="B13:F13"/>
    <mergeCell ref="E15:F15"/>
    <mergeCell ref="B10:F10"/>
    <mergeCell ref="C17:D17"/>
    <mergeCell ref="C22:F22"/>
    <mergeCell ref="E16:F16"/>
    <mergeCell ref="B26:F26"/>
  </mergeCells>
  <dataValidations count="1">
    <dataValidation sqref="C11" showDropDown="0" showInputMessage="0" showErrorMessage="1" allowBlank="0" errorTitle="Invalid" error="Enter a positive number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9488"/>
    <outlinePr summaryBelow="1" summaryRight="1"/>
    <pageSetUpPr/>
  </sheetPr>
  <dimension ref="A1:F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22" customWidth="1" min="4" max="4"/>
    <col width="18" customWidth="1" min="5" max="5"/>
    <col width="20" customWidth="1" min="6" max="6"/>
  </cols>
  <sheetData>
    <row r="1">
      <c r="B1" s="29" t="inlineStr">
        <is>
          <t>DEBT PAYOFF CALCULATOR</t>
        </is>
      </c>
    </row>
    <row r="2">
      <c r="B2" s="2" t="inlineStr">
        <is>
          <t>Enter your debts below. Yellow cells are for your input.</t>
        </is>
      </c>
    </row>
    <row r="4">
      <c r="B4" s="8" t="inlineStr">
        <is>
          <t>Debt Name</t>
        </is>
      </c>
      <c r="C4" s="8" t="inlineStr">
        <is>
          <t>Current Balance</t>
        </is>
      </c>
      <c r="D4" s="8" t="inlineStr">
        <is>
          <t>Interest Rate (APR %)</t>
        </is>
      </c>
      <c r="E4" s="8" t="inlineStr">
        <is>
          <t>Minimum Payment</t>
        </is>
      </c>
      <c r="F4" s="8" t="inlineStr">
        <is>
          <t>Type</t>
        </is>
      </c>
    </row>
    <row r="5" ht="22" customHeight="1">
      <c r="B5" s="30" t="inlineStr">
        <is>
          <t>Credit Card A</t>
        </is>
      </c>
      <c r="C5" s="31" t="n">
        <v>4500</v>
      </c>
      <c r="D5" s="32" t="n">
        <v>0.2199</v>
      </c>
      <c r="E5" s="31" t="n">
        <v>90</v>
      </c>
      <c r="F5" s="30" t="inlineStr">
        <is>
          <t>Credit Card</t>
        </is>
      </c>
    </row>
    <row r="6" ht="22" customHeight="1">
      <c r="A6" s="33" t="n"/>
      <c r="B6" s="30" t="inlineStr">
        <is>
          <t>Student Loan</t>
        </is>
      </c>
      <c r="C6" s="31" t="n">
        <v>12000</v>
      </c>
      <c r="D6" s="32" t="n">
        <v>0.055</v>
      </c>
      <c r="E6" s="31" t="n">
        <v>150</v>
      </c>
      <c r="F6" s="30" t="inlineStr">
        <is>
          <t>Student Loan</t>
        </is>
      </c>
    </row>
    <row r="7" ht="22" customHeight="1">
      <c r="B7" s="30" t="inlineStr">
        <is>
          <t>Car Loan</t>
        </is>
      </c>
      <c r="C7" s="31" t="n">
        <v>8500</v>
      </c>
      <c r="D7" s="32" t="n">
        <v>0.06900000000000001</v>
      </c>
      <c r="E7" s="31" t="n">
        <v>250</v>
      </c>
      <c r="F7" s="30" t="inlineStr">
        <is>
          <t>Car Loan</t>
        </is>
      </c>
    </row>
    <row r="8" ht="22" customHeight="1">
      <c r="A8" s="33" t="n"/>
      <c r="B8" s="30" t="inlineStr">
        <is>
          <t>Personal Loan</t>
        </is>
      </c>
      <c r="C8" s="31" t="n">
        <v>3000</v>
      </c>
      <c r="D8" s="32" t="n">
        <v>0.1099</v>
      </c>
      <c r="E8" s="31" t="n">
        <v>75</v>
      </c>
      <c r="F8" s="30" t="inlineStr">
        <is>
          <t>Personal Loan</t>
        </is>
      </c>
    </row>
    <row r="9" ht="22" customHeight="1">
      <c r="B9" s="30" t="inlineStr">
        <is>
          <t>Medical Bill</t>
        </is>
      </c>
      <c r="C9" s="31" t="n">
        <v>1500</v>
      </c>
      <c r="D9" s="32" t="n">
        <v>0</v>
      </c>
      <c r="E9" s="31" t="n">
        <v>50</v>
      </c>
      <c r="F9" s="30" t="inlineStr">
        <is>
          <t>Medical</t>
        </is>
      </c>
    </row>
    <row r="10" ht="22" customHeight="1">
      <c r="A10" s="33" t="n"/>
      <c r="B10" s="30" t="n"/>
      <c r="C10" s="31" t="n"/>
      <c r="D10" s="32" t="n"/>
      <c r="E10" s="31" t="n"/>
      <c r="F10" s="30" t="n"/>
    </row>
    <row r="11" ht="22" customHeight="1">
      <c r="B11" s="30" t="n"/>
      <c r="C11" s="31" t="n"/>
      <c r="D11" s="32" t="n"/>
      <c r="E11" s="31" t="n"/>
      <c r="F11" s="30" t="n"/>
    </row>
    <row r="12" ht="22" customHeight="1">
      <c r="A12" s="33" t="n"/>
      <c r="B12" s="30" t="n"/>
      <c r="C12" s="31" t="n"/>
      <c r="D12" s="32" t="n"/>
      <c r="E12" s="31" t="n"/>
      <c r="F12" s="30" t="n"/>
    </row>
    <row r="13" ht="22" customHeight="1">
      <c r="B13" s="30" t="n"/>
      <c r="C13" s="31" t="n"/>
      <c r="D13" s="32" t="n"/>
      <c r="E13" s="31" t="n"/>
      <c r="F13" s="30" t="n"/>
    </row>
    <row r="14" ht="22" customHeight="1">
      <c r="A14" s="33" t="n"/>
      <c r="B14" s="30" t="n"/>
      <c r="C14" s="31" t="n"/>
      <c r="D14" s="32" t="n"/>
      <c r="E14" s="31" t="n"/>
      <c r="F14" s="30" t="n"/>
    </row>
    <row r="15" ht="22" customHeight="1">
      <c r="B15" s="30" t="n"/>
      <c r="C15" s="31" t="n"/>
      <c r="D15" s="32" t="n"/>
      <c r="E15" s="31" t="n"/>
      <c r="F15" s="30" t="n"/>
    </row>
    <row r="16" ht="22" customHeight="1">
      <c r="A16" s="33" t="n"/>
      <c r="B16" s="30" t="n"/>
      <c r="C16" s="31" t="n"/>
      <c r="D16" s="32" t="n"/>
      <c r="E16" s="31" t="n"/>
      <c r="F16" s="30" t="n"/>
    </row>
    <row r="17" ht="22" customHeight="1">
      <c r="B17" s="30" t="n"/>
      <c r="C17" s="31" t="n"/>
      <c r="D17" s="32" t="n"/>
      <c r="E17" s="31" t="n"/>
      <c r="F17" s="30" t="n"/>
    </row>
    <row r="18" ht="22" customHeight="1">
      <c r="A18" s="33" t="n"/>
      <c r="B18" s="30" t="n"/>
      <c r="C18" s="31" t="n"/>
      <c r="D18" s="32" t="n"/>
      <c r="E18" s="31" t="n"/>
      <c r="F18" s="30" t="n"/>
    </row>
    <row r="19" ht="22" customHeight="1">
      <c r="B19" s="30" t="n"/>
      <c r="C19" s="31" t="n"/>
      <c r="D19" s="32" t="n"/>
      <c r="E19" s="31" t="n"/>
      <c r="F19" s="30" t="n"/>
    </row>
    <row r="20" ht="22" customHeight="1">
      <c r="A20" s="33" t="n"/>
      <c r="B20" s="30" t="n"/>
      <c r="C20" s="31" t="n"/>
      <c r="D20" s="32" t="n"/>
      <c r="E20" s="31" t="n"/>
      <c r="F20" s="30" t="n"/>
    </row>
    <row r="21" ht="22" customHeight="1">
      <c r="B21" s="30" t="n"/>
      <c r="C21" s="31" t="n"/>
      <c r="D21" s="32" t="n"/>
      <c r="E21" s="31" t="n"/>
      <c r="F21" s="30" t="n"/>
    </row>
    <row r="22" ht="22" customHeight="1">
      <c r="A22" s="33" t="n"/>
      <c r="B22" s="30" t="n"/>
      <c r="C22" s="31" t="n"/>
      <c r="D22" s="32" t="n"/>
      <c r="E22" s="31" t="n"/>
      <c r="F22" s="30" t="n"/>
    </row>
    <row r="23" ht="22" customHeight="1">
      <c r="B23" s="30" t="n"/>
      <c r="C23" s="31" t="n"/>
      <c r="D23" s="32" t="n"/>
      <c r="E23" s="31" t="n"/>
      <c r="F23" s="30" t="n"/>
    </row>
    <row r="24" ht="22" customHeight="1">
      <c r="A24" s="33" t="n"/>
      <c r="B24" s="30" t="n"/>
      <c r="C24" s="31" t="n"/>
      <c r="D24" s="32" t="n"/>
      <c r="E24" s="31" t="n"/>
      <c r="F24" s="30" t="n"/>
    </row>
    <row r="25">
      <c r="B25" s="34" t="inlineStr">
        <is>
          <t>TOTALS</t>
        </is>
      </c>
      <c r="C25" s="35">
        <f>SUMIF(C5:C24,"&gt;0")</f>
        <v/>
      </c>
      <c r="D25" s="36">
        <f>IF(SUMIF(C5:C24,"&gt;0")=0,0,SUMPRODUCT(C5:C24,D5:D24)/SUMIF(C5:C24,"&gt;0"))</f>
        <v/>
      </c>
      <c r="E25" s="35">
        <f>SUMIF(E5:E24,"&gt;0")</f>
        <v/>
      </c>
      <c r="F25" s="37" t="n"/>
    </row>
  </sheetData>
  <mergeCells count="2">
    <mergeCell ref="B2:F2"/>
    <mergeCell ref="B1:F1"/>
  </mergeCells>
  <conditionalFormatting sqref="D5:D24">
    <cfRule type="expression" priority="1" dxfId="0">
      <formula>AND(D5=MAX(D$5:D$24),D5&gt;0)</formula>
    </cfRule>
  </conditionalFormatting>
  <dataValidations count="3">
    <dataValidation sqref="D5:D24" showDropDown="0" showInputMessage="1" showErrorMessage="1" allowBlank="0" errorTitle="Invalid Rate" error="Enter a rate between 0% and 100%." promptTitle="Interest Rate" prompt="Enter the APR as a decimal (e.g., 0.22 for 22%)." type="decimal" operator="between">
      <formula1>0</formula1>
      <formula2>1</formula2>
    </dataValidation>
    <dataValidation sqref="C5:C24 E5:E24" showDropDown="0" showInputMessage="0" showErrorMessage="1" allowBlank="0" errorTitle="Invalid Amount" error="Amount must be a positive number." type="decimal" operator="greaterThanOrEqual">
      <formula1>0</formula1>
    </dataValidation>
    <dataValidation sqref="F5:F24" showDropDown="0" showInputMessage="0" showErrorMessage="0" allowBlank="0" type="list">
      <formula1>"Credit Card,Student Loan,Car Loan,Personal Loan,Medical,Mortgage,Other"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CU146"/>
  <sheetViews>
    <sheetView showGridLines="0" workbookViewId="0">
      <pane xSplit="2" ySplit="26" topLeftCell="C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8" customWidth="1" min="25" max="25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</cols>
  <sheetData>
    <row r="1">
      <c r="B1" s="38" t="inlineStr">
        <is>
          <t>SNOWBALL PLAN  (Smallest Balance First)</t>
        </is>
      </c>
    </row>
    <row r="2">
      <c r="B2" s="2" t="inlineStr">
        <is>
          <t>Month-by-month payment schedule. Green cells = debt paid off!</t>
        </is>
      </c>
    </row>
    <row r="4">
      <c r="B4" s="8" t="inlineStr">
        <is>
          <t>#</t>
        </is>
      </c>
      <c r="C4" s="8" t="inlineStr">
        <is>
          <t>Debt Name</t>
        </is>
      </c>
      <c r="D4" s="8" t="inlineStr">
        <is>
          <t>Balance</t>
        </is>
      </c>
      <c r="E4" s="8" t="inlineStr">
        <is>
          <t>APR %</t>
        </is>
      </c>
      <c r="F4" s="8" t="inlineStr">
        <is>
          <t>Min Payment</t>
        </is>
      </c>
    </row>
    <row r="5">
      <c r="B5" s="39" t="n">
        <v>1</v>
      </c>
      <c r="C5" s="39">
        <f>IFERROR(INDEX('Debt Input'!B$5:B$24,MATCH(1,AI$5:AI$24,0)),"")</f>
        <v/>
      </c>
      <c r="D5" s="13">
        <f>IFERROR(INDEX('Debt Input'!C$5:C$24,MATCH(1,AI$5:AI$24,0)),0)</f>
        <v/>
      </c>
      <c r="E5" s="15">
        <f>IFERROR(INDEX('Debt Input'!D$5:D$24,MATCH(1,AI$5:AI$24,0)),0)</f>
        <v/>
      </c>
      <c r="F5" s="13">
        <f>IFERROR(INDEX('Debt Input'!E$5:E$24,MATCH(1,AI$5:AI$24,0)),0)</f>
        <v/>
      </c>
      <c r="AD5" t="n">
        <v>1</v>
      </c>
      <c r="AE5">
        <f>'Debt Input'!C5</f>
        <v/>
      </c>
      <c r="AF5">
        <f>'Debt Input'!D5</f>
        <v/>
      </c>
      <c r="AG5">
        <f>IF(AE5&gt;0,1,0)</f>
        <v/>
      </c>
      <c r="AH5">
        <f>IF(AG5=0,9999999999,AE5+AD5*0.00001)</f>
        <v/>
      </c>
      <c r="AI5">
        <f>RANK(AH5,AH$5:AH$24,1)</f>
        <v/>
      </c>
    </row>
    <row r="6">
      <c r="A6" s="33" t="n"/>
      <c r="B6" s="40" t="n">
        <v>2</v>
      </c>
      <c r="C6" s="40">
        <f>IFERROR(INDEX('Debt Input'!B$5:B$24,MATCH(2,AI$5:AI$24,0)),"")</f>
        <v/>
      </c>
      <c r="D6" s="41">
        <f>IFERROR(INDEX('Debt Input'!C$5:C$24,MATCH(2,AI$5:AI$24,0)),0)</f>
        <v/>
      </c>
      <c r="E6" s="42">
        <f>IFERROR(INDEX('Debt Input'!D$5:D$24,MATCH(2,AI$5:AI$24,0)),0)</f>
        <v/>
      </c>
      <c r="F6" s="41">
        <f>IFERROR(INDEX('Debt Input'!E$5:E$24,MATCH(2,AI$5:AI$24,0)),0)</f>
        <v/>
      </c>
      <c r="AD6" t="n">
        <v>2</v>
      </c>
      <c r="AE6">
        <f>'Debt Input'!C6</f>
        <v/>
      </c>
      <c r="AF6">
        <f>'Debt Input'!D6</f>
        <v/>
      </c>
      <c r="AG6">
        <f>IF(AE6&gt;0,1,0)</f>
        <v/>
      </c>
      <c r="AH6">
        <f>IF(AG6=0,9999999999,AE6+AD6*0.00001)</f>
        <v/>
      </c>
      <c r="AI6">
        <f>RANK(AH6,AH$5:AH$24,1)</f>
        <v/>
      </c>
    </row>
    <row r="7">
      <c r="B7" s="39" t="n">
        <v>3</v>
      </c>
      <c r="C7" s="39">
        <f>IFERROR(INDEX('Debt Input'!B$5:B$24,MATCH(3,AI$5:AI$24,0)),"")</f>
        <v/>
      </c>
      <c r="D7" s="13">
        <f>IFERROR(INDEX('Debt Input'!C$5:C$24,MATCH(3,AI$5:AI$24,0)),0)</f>
        <v/>
      </c>
      <c r="E7" s="15">
        <f>IFERROR(INDEX('Debt Input'!D$5:D$24,MATCH(3,AI$5:AI$24,0)),0)</f>
        <v/>
      </c>
      <c r="F7" s="13">
        <f>IFERROR(INDEX('Debt Input'!E$5:E$24,MATCH(3,AI$5:AI$24,0)),0)</f>
        <v/>
      </c>
      <c r="AD7" t="n">
        <v>3</v>
      </c>
      <c r="AE7">
        <f>'Debt Input'!C7</f>
        <v/>
      </c>
      <c r="AF7">
        <f>'Debt Input'!D7</f>
        <v/>
      </c>
      <c r="AG7">
        <f>IF(AE7&gt;0,1,0)</f>
        <v/>
      </c>
      <c r="AH7">
        <f>IF(AG7=0,9999999999,AE7+AD7*0.00001)</f>
        <v/>
      </c>
      <c r="AI7">
        <f>RANK(AH7,AH$5:AH$24,1)</f>
        <v/>
      </c>
    </row>
    <row r="8">
      <c r="A8" s="33" t="n"/>
      <c r="B8" s="40" t="n">
        <v>4</v>
      </c>
      <c r="C8" s="40">
        <f>IFERROR(INDEX('Debt Input'!B$5:B$24,MATCH(4,AI$5:AI$24,0)),"")</f>
        <v/>
      </c>
      <c r="D8" s="41">
        <f>IFERROR(INDEX('Debt Input'!C$5:C$24,MATCH(4,AI$5:AI$24,0)),0)</f>
        <v/>
      </c>
      <c r="E8" s="42">
        <f>IFERROR(INDEX('Debt Input'!D$5:D$24,MATCH(4,AI$5:AI$24,0)),0)</f>
        <v/>
      </c>
      <c r="F8" s="41">
        <f>IFERROR(INDEX('Debt Input'!E$5:E$24,MATCH(4,AI$5:AI$24,0)),0)</f>
        <v/>
      </c>
      <c r="AD8" t="n">
        <v>4</v>
      </c>
      <c r="AE8">
        <f>'Debt Input'!C8</f>
        <v/>
      </c>
      <c r="AF8">
        <f>'Debt Input'!D8</f>
        <v/>
      </c>
      <c r="AG8">
        <f>IF(AE8&gt;0,1,0)</f>
        <v/>
      </c>
      <c r="AH8">
        <f>IF(AG8=0,9999999999,AE8+AD8*0.00001)</f>
        <v/>
      </c>
      <c r="AI8">
        <f>RANK(AH8,AH$5:AH$24,1)</f>
        <v/>
      </c>
    </row>
    <row r="9">
      <c r="B9" s="39" t="n">
        <v>5</v>
      </c>
      <c r="C9" s="39">
        <f>IFERROR(INDEX('Debt Input'!B$5:B$24,MATCH(5,AI$5:AI$24,0)),"")</f>
        <v/>
      </c>
      <c r="D9" s="13">
        <f>IFERROR(INDEX('Debt Input'!C$5:C$24,MATCH(5,AI$5:AI$24,0)),0)</f>
        <v/>
      </c>
      <c r="E9" s="15">
        <f>IFERROR(INDEX('Debt Input'!D$5:D$24,MATCH(5,AI$5:AI$24,0)),0)</f>
        <v/>
      </c>
      <c r="F9" s="13">
        <f>IFERROR(INDEX('Debt Input'!E$5:E$24,MATCH(5,AI$5:AI$24,0)),0)</f>
        <v/>
      </c>
      <c r="AD9" t="n">
        <v>5</v>
      </c>
      <c r="AE9">
        <f>'Debt Input'!C9</f>
        <v/>
      </c>
      <c r="AF9">
        <f>'Debt Input'!D9</f>
        <v/>
      </c>
      <c r="AG9">
        <f>IF(AE9&gt;0,1,0)</f>
        <v/>
      </c>
      <c r="AH9">
        <f>IF(AG9=0,9999999999,AE9+AD9*0.00001)</f>
        <v/>
      </c>
      <c r="AI9">
        <f>RANK(AH9,AH$5:AH$24,1)</f>
        <v/>
      </c>
    </row>
    <row r="10">
      <c r="A10" s="33" t="n"/>
      <c r="B10" s="40" t="n">
        <v>6</v>
      </c>
      <c r="C10" s="40">
        <f>IFERROR(INDEX('Debt Input'!B$5:B$24,MATCH(6,AI$5:AI$24,0)),"")</f>
        <v/>
      </c>
      <c r="D10" s="41">
        <f>IFERROR(INDEX('Debt Input'!C$5:C$24,MATCH(6,AI$5:AI$24,0)),0)</f>
        <v/>
      </c>
      <c r="E10" s="42">
        <f>IFERROR(INDEX('Debt Input'!D$5:D$24,MATCH(6,AI$5:AI$24,0)),0)</f>
        <v/>
      </c>
      <c r="F10" s="41">
        <f>IFERROR(INDEX('Debt Input'!E$5:E$24,MATCH(6,AI$5:AI$24,0)),0)</f>
        <v/>
      </c>
      <c r="AD10" t="n">
        <v>6</v>
      </c>
      <c r="AE10">
        <f>'Debt Input'!C10</f>
        <v/>
      </c>
      <c r="AF10">
        <f>'Debt Input'!D10</f>
        <v/>
      </c>
      <c r="AG10">
        <f>IF(AE10&gt;0,1,0)</f>
        <v/>
      </c>
      <c r="AH10">
        <f>IF(AG10=0,9999999999,AE10+AD10*0.00001)</f>
        <v/>
      </c>
      <c r="AI10">
        <f>RANK(AH10,AH$5:AH$24,1)</f>
        <v/>
      </c>
    </row>
    <row r="11">
      <c r="B11" s="39" t="n">
        <v>7</v>
      </c>
      <c r="C11" s="39">
        <f>IFERROR(INDEX('Debt Input'!B$5:B$24,MATCH(7,AI$5:AI$24,0)),"")</f>
        <v/>
      </c>
      <c r="D11" s="13">
        <f>IFERROR(INDEX('Debt Input'!C$5:C$24,MATCH(7,AI$5:AI$24,0)),0)</f>
        <v/>
      </c>
      <c r="E11" s="15">
        <f>IFERROR(INDEX('Debt Input'!D$5:D$24,MATCH(7,AI$5:AI$24,0)),0)</f>
        <v/>
      </c>
      <c r="F11" s="13">
        <f>IFERROR(INDEX('Debt Input'!E$5:E$24,MATCH(7,AI$5:AI$24,0)),0)</f>
        <v/>
      </c>
      <c r="AD11" t="n">
        <v>7</v>
      </c>
      <c r="AE11">
        <f>'Debt Input'!C11</f>
        <v/>
      </c>
      <c r="AF11">
        <f>'Debt Input'!D11</f>
        <v/>
      </c>
      <c r="AG11">
        <f>IF(AE11&gt;0,1,0)</f>
        <v/>
      </c>
      <c r="AH11">
        <f>IF(AG11=0,9999999999,AE11+AD11*0.00001)</f>
        <v/>
      </c>
      <c r="AI11">
        <f>RANK(AH11,AH$5:AH$24,1)</f>
        <v/>
      </c>
    </row>
    <row r="12">
      <c r="A12" s="33" t="n"/>
      <c r="B12" s="40" t="n">
        <v>8</v>
      </c>
      <c r="C12" s="40">
        <f>IFERROR(INDEX('Debt Input'!B$5:B$24,MATCH(8,AI$5:AI$24,0)),"")</f>
        <v/>
      </c>
      <c r="D12" s="41">
        <f>IFERROR(INDEX('Debt Input'!C$5:C$24,MATCH(8,AI$5:AI$24,0)),0)</f>
        <v/>
      </c>
      <c r="E12" s="42">
        <f>IFERROR(INDEX('Debt Input'!D$5:D$24,MATCH(8,AI$5:AI$24,0)),0)</f>
        <v/>
      </c>
      <c r="F12" s="41">
        <f>IFERROR(INDEX('Debt Input'!E$5:E$24,MATCH(8,AI$5:AI$24,0)),0)</f>
        <v/>
      </c>
      <c r="AD12" t="n">
        <v>8</v>
      </c>
      <c r="AE12">
        <f>'Debt Input'!C12</f>
        <v/>
      </c>
      <c r="AF12">
        <f>'Debt Input'!D12</f>
        <v/>
      </c>
      <c r="AG12">
        <f>IF(AE12&gt;0,1,0)</f>
        <v/>
      </c>
      <c r="AH12">
        <f>IF(AG12=0,9999999999,AE12+AD12*0.00001)</f>
        <v/>
      </c>
      <c r="AI12">
        <f>RANK(AH12,AH$5:AH$24,1)</f>
        <v/>
      </c>
    </row>
    <row r="13">
      <c r="B13" s="39" t="n">
        <v>9</v>
      </c>
      <c r="C13" s="39">
        <f>IFERROR(INDEX('Debt Input'!B$5:B$24,MATCH(9,AI$5:AI$24,0)),"")</f>
        <v/>
      </c>
      <c r="D13" s="13">
        <f>IFERROR(INDEX('Debt Input'!C$5:C$24,MATCH(9,AI$5:AI$24,0)),0)</f>
        <v/>
      </c>
      <c r="E13" s="15">
        <f>IFERROR(INDEX('Debt Input'!D$5:D$24,MATCH(9,AI$5:AI$24,0)),0)</f>
        <v/>
      </c>
      <c r="F13" s="13">
        <f>IFERROR(INDEX('Debt Input'!E$5:E$24,MATCH(9,AI$5:AI$24,0)),0)</f>
        <v/>
      </c>
      <c r="AD13" t="n">
        <v>9</v>
      </c>
      <c r="AE13">
        <f>'Debt Input'!C13</f>
        <v/>
      </c>
      <c r="AF13">
        <f>'Debt Input'!D13</f>
        <v/>
      </c>
      <c r="AG13">
        <f>IF(AE13&gt;0,1,0)</f>
        <v/>
      </c>
      <c r="AH13">
        <f>IF(AG13=0,9999999999,AE13+AD13*0.00001)</f>
        <v/>
      </c>
      <c r="AI13">
        <f>RANK(AH13,AH$5:AH$24,1)</f>
        <v/>
      </c>
    </row>
    <row r="14">
      <c r="A14" s="33" t="n"/>
      <c r="B14" s="40" t="n">
        <v>10</v>
      </c>
      <c r="C14" s="40">
        <f>IFERROR(INDEX('Debt Input'!B$5:B$24,MATCH(10,AI$5:AI$24,0)),"")</f>
        <v/>
      </c>
      <c r="D14" s="41">
        <f>IFERROR(INDEX('Debt Input'!C$5:C$24,MATCH(10,AI$5:AI$24,0)),0)</f>
        <v/>
      </c>
      <c r="E14" s="42">
        <f>IFERROR(INDEX('Debt Input'!D$5:D$24,MATCH(10,AI$5:AI$24,0)),0)</f>
        <v/>
      </c>
      <c r="F14" s="41">
        <f>IFERROR(INDEX('Debt Input'!E$5:E$24,MATCH(10,AI$5:AI$24,0)),0)</f>
        <v/>
      </c>
      <c r="AD14" t="n">
        <v>10</v>
      </c>
      <c r="AE14">
        <f>'Debt Input'!C14</f>
        <v/>
      </c>
      <c r="AF14">
        <f>'Debt Input'!D14</f>
        <v/>
      </c>
      <c r="AG14">
        <f>IF(AE14&gt;0,1,0)</f>
        <v/>
      </c>
      <c r="AH14">
        <f>IF(AG14=0,9999999999,AE14+AD14*0.00001)</f>
        <v/>
      </c>
      <c r="AI14">
        <f>RANK(AH14,AH$5:AH$24,1)</f>
        <v/>
      </c>
    </row>
    <row r="15">
      <c r="B15" s="39" t="n">
        <v>11</v>
      </c>
      <c r="C15" s="39">
        <f>IFERROR(INDEX('Debt Input'!B$5:B$24,MATCH(11,AI$5:AI$24,0)),"")</f>
        <v/>
      </c>
      <c r="D15" s="13">
        <f>IFERROR(INDEX('Debt Input'!C$5:C$24,MATCH(11,AI$5:AI$24,0)),0)</f>
        <v/>
      </c>
      <c r="E15" s="15">
        <f>IFERROR(INDEX('Debt Input'!D$5:D$24,MATCH(11,AI$5:AI$24,0)),0)</f>
        <v/>
      </c>
      <c r="F15" s="13">
        <f>IFERROR(INDEX('Debt Input'!E$5:E$24,MATCH(11,AI$5:AI$24,0)),0)</f>
        <v/>
      </c>
      <c r="AD15" t="n">
        <v>11</v>
      </c>
      <c r="AE15">
        <f>'Debt Input'!C15</f>
        <v/>
      </c>
      <c r="AF15">
        <f>'Debt Input'!D15</f>
        <v/>
      </c>
      <c r="AG15">
        <f>IF(AE15&gt;0,1,0)</f>
        <v/>
      </c>
      <c r="AH15">
        <f>IF(AG15=0,9999999999,AE15+AD15*0.00001)</f>
        <v/>
      </c>
      <c r="AI15">
        <f>RANK(AH15,AH$5:AH$24,1)</f>
        <v/>
      </c>
    </row>
    <row r="16">
      <c r="A16" s="33" t="n"/>
      <c r="B16" s="40" t="n">
        <v>12</v>
      </c>
      <c r="C16" s="40">
        <f>IFERROR(INDEX('Debt Input'!B$5:B$24,MATCH(12,AI$5:AI$24,0)),"")</f>
        <v/>
      </c>
      <c r="D16" s="41">
        <f>IFERROR(INDEX('Debt Input'!C$5:C$24,MATCH(12,AI$5:AI$24,0)),0)</f>
        <v/>
      </c>
      <c r="E16" s="42">
        <f>IFERROR(INDEX('Debt Input'!D$5:D$24,MATCH(12,AI$5:AI$24,0)),0)</f>
        <v/>
      </c>
      <c r="F16" s="41">
        <f>IFERROR(INDEX('Debt Input'!E$5:E$24,MATCH(12,AI$5:AI$24,0)),0)</f>
        <v/>
      </c>
      <c r="AD16" t="n">
        <v>12</v>
      </c>
      <c r="AE16">
        <f>'Debt Input'!C16</f>
        <v/>
      </c>
      <c r="AF16">
        <f>'Debt Input'!D16</f>
        <v/>
      </c>
      <c r="AG16">
        <f>IF(AE16&gt;0,1,0)</f>
        <v/>
      </c>
      <c r="AH16">
        <f>IF(AG16=0,9999999999,AE16+AD16*0.00001)</f>
        <v/>
      </c>
      <c r="AI16">
        <f>RANK(AH16,AH$5:AH$24,1)</f>
        <v/>
      </c>
    </row>
    <row r="17">
      <c r="B17" s="39" t="n">
        <v>13</v>
      </c>
      <c r="C17" s="39">
        <f>IFERROR(INDEX('Debt Input'!B$5:B$24,MATCH(13,AI$5:AI$24,0)),"")</f>
        <v/>
      </c>
      <c r="D17" s="13">
        <f>IFERROR(INDEX('Debt Input'!C$5:C$24,MATCH(13,AI$5:AI$24,0)),0)</f>
        <v/>
      </c>
      <c r="E17" s="15">
        <f>IFERROR(INDEX('Debt Input'!D$5:D$24,MATCH(13,AI$5:AI$24,0)),0)</f>
        <v/>
      </c>
      <c r="F17" s="13">
        <f>IFERROR(INDEX('Debt Input'!E$5:E$24,MATCH(13,AI$5:AI$24,0)),0)</f>
        <v/>
      </c>
      <c r="AD17" t="n">
        <v>13</v>
      </c>
      <c r="AE17">
        <f>'Debt Input'!C17</f>
        <v/>
      </c>
      <c r="AF17">
        <f>'Debt Input'!D17</f>
        <v/>
      </c>
      <c r="AG17">
        <f>IF(AE17&gt;0,1,0)</f>
        <v/>
      </c>
      <c r="AH17">
        <f>IF(AG17=0,9999999999,AE17+AD17*0.00001)</f>
        <v/>
      </c>
      <c r="AI17">
        <f>RANK(AH17,AH$5:AH$24,1)</f>
        <v/>
      </c>
    </row>
    <row r="18">
      <c r="A18" s="33" t="n"/>
      <c r="B18" s="40" t="n">
        <v>14</v>
      </c>
      <c r="C18" s="40">
        <f>IFERROR(INDEX('Debt Input'!B$5:B$24,MATCH(14,AI$5:AI$24,0)),"")</f>
        <v/>
      </c>
      <c r="D18" s="41">
        <f>IFERROR(INDEX('Debt Input'!C$5:C$24,MATCH(14,AI$5:AI$24,0)),0)</f>
        <v/>
      </c>
      <c r="E18" s="42">
        <f>IFERROR(INDEX('Debt Input'!D$5:D$24,MATCH(14,AI$5:AI$24,0)),0)</f>
        <v/>
      </c>
      <c r="F18" s="41">
        <f>IFERROR(INDEX('Debt Input'!E$5:E$24,MATCH(14,AI$5:AI$24,0)),0)</f>
        <v/>
      </c>
      <c r="AD18" t="n">
        <v>14</v>
      </c>
      <c r="AE18">
        <f>'Debt Input'!C18</f>
        <v/>
      </c>
      <c r="AF18">
        <f>'Debt Input'!D18</f>
        <v/>
      </c>
      <c r="AG18">
        <f>IF(AE18&gt;0,1,0)</f>
        <v/>
      </c>
      <c r="AH18">
        <f>IF(AG18=0,9999999999,AE18+AD18*0.00001)</f>
        <v/>
      </c>
      <c r="AI18">
        <f>RANK(AH18,AH$5:AH$24,1)</f>
        <v/>
      </c>
    </row>
    <row r="19">
      <c r="B19" s="39" t="n">
        <v>15</v>
      </c>
      <c r="C19" s="39">
        <f>IFERROR(INDEX('Debt Input'!B$5:B$24,MATCH(15,AI$5:AI$24,0)),"")</f>
        <v/>
      </c>
      <c r="D19" s="13">
        <f>IFERROR(INDEX('Debt Input'!C$5:C$24,MATCH(15,AI$5:AI$24,0)),0)</f>
        <v/>
      </c>
      <c r="E19" s="15">
        <f>IFERROR(INDEX('Debt Input'!D$5:D$24,MATCH(15,AI$5:AI$24,0)),0)</f>
        <v/>
      </c>
      <c r="F19" s="13">
        <f>IFERROR(INDEX('Debt Input'!E$5:E$24,MATCH(15,AI$5:AI$24,0)),0)</f>
        <v/>
      </c>
      <c r="AD19" t="n">
        <v>15</v>
      </c>
      <c r="AE19">
        <f>'Debt Input'!C19</f>
        <v/>
      </c>
      <c r="AF19">
        <f>'Debt Input'!D19</f>
        <v/>
      </c>
      <c r="AG19">
        <f>IF(AE19&gt;0,1,0)</f>
        <v/>
      </c>
      <c r="AH19">
        <f>IF(AG19=0,9999999999,AE19+AD19*0.00001)</f>
        <v/>
      </c>
      <c r="AI19">
        <f>RANK(AH19,AH$5:AH$24,1)</f>
        <v/>
      </c>
    </row>
    <row r="20">
      <c r="A20" s="33" t="n"/>
      <c r="B20" s="40" t="n">
        <v>16</v>
      </c>
      <c r="C20" s="40">
        <f>IFERROR(INDEX('Debt Input'!B$5:B$24,MATCH(16,AI$5:AI$24,0)),"")</f>
        <v/>
      </c>
      <c r="D20" s="41">
        <f>IFERROR(INDEX('Debt Input'!C$5:C$24,MATCH(16,AI$5:AI$24,0)),0)</f>
        <v/>
      </c>
      <c r="E20" s="42">
        <f>IFERROR(INDEX('Debt Input'!D$5:D$24,MATCH(16,AI$5:AI$24,0)),0)</f>
        <v/>
      </c>
      <c r="F20" s="41">
        <f>IFERROR(INDEX('Debt Input'!E$5:E$24,MATCH(16,AI$5:AI$24,0)),0)</f>
        <v/>
      </c>
      <c r="AD20" t="n">
        <v>16</v>
      </c>
      <c r="AE20">
        <f>'Debt Input'!C20</f>
        <v/>
      </c>
      <c r="AF20">
        <f>'Debt Input'!D20</f>
        <v/>
      </c>
      <c r="AG20">
        <f>IF(AE20&gt;0,1,0)</f>
        <v/>
      </c>
      <c r="AH20">
        <f>IF(AG20=0,9999999999,AE20+AD20*0.00001)</f>
        <v/>
      </c>
      <c r="AI20">
        <f>RANK(AH20,AH$5:AH$24,1)</f>
        <v/>
      </c>
    </row>
    <row r="21">
      <c r="B21" s="39" t="n">
        <v>17</v>
      </c>
      <c r="C21" s="39">
        <f>IFERROR(INDEX('Debt Input'!B$5:B$24,MATCH(17,AI$5:AI$24,0)),"")</f>
        <v/>
      </c>
      <c r="D21" s="13">
        <f>IFERROR(INDEX('Debt Input'!C$5:C$24,MATCH(17,AI$5:AI$24,0)),0)</f>
        <v/>
      </c>
      <c r="E21" s="15">
        <f>IFERROR(INDEX('Debt Input'!D$5:D$24,MATCH(17,AI$5:AI$24,0)),0)</f>
        <v/>
      </c>
      <c r="F21" s="13">
        <f>IFERROR(INDEX('Debt Input'!E$5:E$24,MATCH(17,AI$5:AI$24,0)),0)</f>
        <v/>
      </c>
      <c r="AD21" t="n">
        <v>17</v>
      </c>
      <c r="AE21">
        <f>'Debt Input'!C21</f>
        <v/>
      </c>
      <c r="AF21">
        <f>'Debt Input'!D21</f>
        <v/>
      </c>
      <c r="AG21">
        <f>IF(AE21&gt;0,1,0)</f>
        <v/>
      </c>
      <c r="AH21">
        <f>IF(AG21=0,9999999999,AE21+AD21*0.00001)</f>
        <v/>
      </c>
      <c r="AI21">
        <f>RANK(AH21,AH$5:AH$24,1)</f>
        <v/>
      </c>
    </row>
    <row r="22">
      <c r="A22" s="33" t="n"/>
      <c r="B22" s="40" t="n">
        <v>18</v>
      </c>
      <c r="C22" s="40">
        <f>IFERROR(INDEX('Debt Input'!B$5:B$24,MATCH(18,AI$5:AI$24,0)),"")</f>
        <v/>
      </c>
      <c r="D22" s="41">
        <f>IFERROR(INDEX('Debt Input'!C$5:C$24,MATCH(18,AI$5:AI$24,0)),0)</f>
        <v/>
      </c>
      <c r="E22" s="42">
        <f>IFERROR(INDEX('Debt Input'!D$5:D$24,MATCH(18,AI$5:AI$24,0)),0)</f>
        <v/>
      </c>
      <c r="F22" s="41">
        <f>IFERROR(INDEX('Debt Input'!E$5:E$24,MATCH(18,AI$5:AI$24,0)),0)</f>
        <v/>
      </c>
      <c r="AD22" t="n">
        <v>18</v>
      </c>
      <c r="AE22">
        <f>'Debt Input'!C22</f>
        <v/>
      </c>
      <c r="AF22">
        <f>'Debt Input'!D22</f>
        <v/>
      </c>
      <c r="AG22">
        <f>IF(AE22&gt;0,1,0)</f>
        <v/>
      </c>
      <c r="AH22">
        <f>IF(AG22=0,9999999999,AE22+AD22*0.00001)</f>
        <v/>
      </c>
      <c r="AI22">
        <f>RANK(AH22,AH$5:AH$24,1)</f>
        <v/>
      </c>
    </row>
    <row r="23">
      <c r="B23" s="39" t="n">
        <v>19</v>
      </c>
      <c r="C23" s="39">
        <f>IFERROR(INDEX('Debt Input'!B$5:B$24,MATCH(19,AI$5:AI$24,0)),"")</f>
        <v/>
      </c>
      <c r="D23" s="13">
        <f>IFERROR(INDEX('Debt Input'!C$5:C$24,MATCH(19,AI$5:AI$24,0)),0)</f>
        <v/>
      </c>
      <c r="E23" s="15">
        <f>IFERROR(INDEX('Debt Input'!D$5:D$24,MATCH(19,AI$5:AI$24,0)),0)</f>
        <v/>
      </c>
      <c r="F23" s="13">
        <f>IFERROR(INDEX('Debt Input'!E$5:E$24,MATCH(19,AI$5:AI$24,0)),0)</f>
        <v/>
      </c>
      <c r="AD23" t="n">
        <v>19</v>
      </c>
      <c r="AE23">
        <f>'Debt Input'!C23</f>
        <v/>
      </c>
      <c r="AF23">
        <f>'Debt Input'!D23</f>
        <v/>
      </c>
      <c r="AG23">
        <f>IF(AE23&gt;0,1,0)</f>
        <v/>
      </c>
      <c r="AH23">
        <f>IF(AG23=0,9999999999,AE23+AD23*0.00001)</f>
        <v/>
      </c>
      <c r="AI23">
        <f>RANK(AH23,AH$5:AH$24,1)</f>
        <v/>
      </c>
    </row>
    <row r="24">
      <c r="A24" s="33" t="n"/>
      <c r="B24" s="40" t="n">
        <v>20</v>
      </c>
      <c r="C24" s="40">
        <f>IFERROR(INDEX('Debt Input'!B$5:B$24,MATCH(20,AI$5:AI$24,0)),"")</f>
        <v/>
      </c>
      <c r="D24" s="41">
        <f>IFERROR(INDEX('Debt Input'!C$5:C$24,MATCH(20,AI$5:AI$24,0)),0)</f>
        <v/>
      </c>
      <c r="E24" s="42">
        <f>IFERROR(INDEX('Debt Input'!D$5:D$24,MATCH(20,AI$5:AI$24,0)),0)</f>
        <v/>
      </c>
      <c r="F24" s="41">
        <f>IFERROR(INDEX('Debt Input'!E$5:E$24,MATCH(20,AI$5:AI$24,0)),0)</f>
        <v/>
      </c>
      <c r="AD24" t="n">
        <v>20</v>
      </c>
      <c r="AE24">
        <f>'Debt Input'!C24</f>
        <v/>
      </c>
      <c r="AF24">
        <f>'Debt Input'!D24</f>
        <v/>
      </c>
      <c r="AG24">
        <f>IF(AE24&gt;0,1,0)</f>
        <v/>
      </c>
      <c r="AH24">
        <f>IF(AG24=0,9999999999,AE24+AD24*0.00001)</f>
        <v/>
      </c>
      <c r="AI24">
        <f>RANK(AH24,AH$5:AH$24,1)</f>
        <v/>
      </c>
    </row>
    <row r="26">
      <c r="B26" s="8" t="inlineStr">
        <is>
          <t>Month</t>
        </is>
      </c>
      <c r="C26" s="8">
        <f>IF(C5="","",C5)</f>
        <v/>
      </c>
      <c r="D26" s="8">
        <f>IF(C6="","",C6)</f>
        <v/>
      </c>
      <c r="E26" s="8">
        <f>IF(C7="","",C7)</f>
        <v/>
      </c>
      <c r="F26" s="8">
        <f>IF(C8="","",C8)</f>
        <v/>
      </c>
      <c r="G26" s="8">
        <f>IF(C9="","",C9)</f>
        <v/>
      </c>
      <c r="H26" s="8">
        <f>IF(C10="","",C10)</f>
        <v/>
      </c>
      <c r="I26" s="8">
        <f>IF(C11="","",C11)</f>
        <v/>
      </c>
      <c r="J26" s="8">
        <f>IF(C12="","",C12)</f>
        <v/>
      </c>
      <c r="K26" s="8">
        <f>IF(C13="","",C13)</f>
        <v/>
      </c>
      <c r="L26" s="8">
        <f>IF(C14="","",C14)</f>
        <v/>
      </c>
      <c r="M26" s="8">
        <f>IF(C15="","",C15)</f>
        <v/>
      </c>
      <c r="N26" s="8">
        <f>IF(C16="","",C16)</f>
        <v/>
      </c>
      <c r="O26" s="8">
        <f>IF(C17="","",C17)</f>
        <v/>
      </c>
      <c r="P26" s="8">
        <f>IF(C18="","",C18)</f>
        <v/>
      </c>
      <c r="Q26" s="8">
        <f>IF(C19="","",C19)</f>
        <v/>
      </c>
      <c r="R26" s="8">
        <f>IF(C20="","",C20)</f>
        <v/>
      </c>
      <c r="S26" s="8">
        <f>IF(C21="","",C21)</f>
        <v/>
      </c>
      <c r="T26" s="8">
        <f>IF(C22="","",C22)</f>
        <v/>
      </c>
      <c r="U26" s="8">
        <f>IF(C23="","",C23)</f>
        <v/>
      </c>
      <c r="V26" s="8">
        <f>IF(C24="","",C24)</f>
        <v/>
      </c>
      <c r="W26" s="8" t="inlineStr">
        <is>
          <t>Total Payment</t>
        </is>
      </c>
      <c r="X26" s="8" t="inlineStr">
        <is>
          <t>Interest Paid</t>
        </is>
      </c>
      <c r="Y26" s="8" t="inlineStr">
        <is>
          <t>Remaining Balance</t>
        </is>
      </c>
    </row>
    <row r="27">
      <c r="B27" s="39" t="n">
        <v>1</v>
      </c>
      <c r="C27" s="13">
        <f>IF($D$5&lt;=0,0,MAX(0,$D$5+AN27-AO27))</f>
        <v/>
      </c>
      <c r="D27" s="13">
        <f>IF($D$6&lt;=0,0,MAX(0,$D$6+AQ27-AR27))</f>
        <v/>
      </c>
      <c r="E27" s="13">
        <f>IF($D$7&lt;=0,0,MAX(0,$D$7+AT27-AU27))</f>
        <v/>
      </c>
      <c r="F27" s="13">
        <f>IF($D$8&lt;=0,0,MAX(0,$D$8+AW27-AX27))</f>
        <v/>
      </c>
      <c r="G27" s="13">
        <f>IF($D$9&lt;=0,0,MAX(0,$D$9+AZ27-BA27))</f>
        <v/>
      </c>
      <c r="H27" s="13">
        <f>IF($D$10&lt;=0,0,MAX(0,$D$10+BC27-BD27))</f>
        <v/>
      </c>
      <c r="I27" s="13">
        <f>IF($D$11&lt;=0,0,MAX(0,$D$11+BF27-BG27))</f>
        <v/>
      </c>
      <c r="J27" s="13">
        <f>IF($D$12&lt;=0,0,MAX(0,$D$12+BI27-BJ27))</f>
        <v/>
      </c>
      <c r="K27" s="13">
        <f>IF($D$13&lt;=0,0,MAX(0,$D$13+BL27-BM27))</f>
        <v/>
      </c>
      <c r="L27" s="13">
        <f>IF($D$14&lt;=0,0,MAX(0,$D$14+BO27-BP27))</f>
        <v/>
      </c>
      <c r="M27" s="13">
        <f>IF($D$15&lt;=0,0,MAX(0,$D$15+BR27-BS27))</f>
        <v/>
      </c>
      <c r="N27" s="13">
        <f>IF($D$16&lt;=0,0,MAX(0,$D$16+BU27-BV27))</f>
        <v/>
      </c>
      <c r="O27" s="13">
        <f>IF($D$17&lt;=0,0,MAX(0,$D$17+BX27-BY27))</f>
        <v/>
      </c>
      <c r="P27" s="13">
        <f>IF($D$18&lt;=0,0,MAX(0,$D$18+CA27-CB27))</f>
        <v/>
      </c>
      <c r="Q27" s="13">
        <f>IF($D$19&lt;=0,0,MAX(0,$D$19+CD27-CE27))</f>
        <v/>
      </c>
      <c r="R27" s="13">
        <f>IF($D$20&lt;=0,0,MAX(0,$D$20+CG27-CH27))</f>
        <v/>
      </c>
      <c r="S27" s="13">
        <f>IF($D$21&lt;=0,0,MAX(0,$D$21+CJ27-CK27))</f>
        <v/>
      </c>
      <c r="T27" s="13">
        <f>IF($D$22&lt;=0,0,MAX(0,$D$22+CM27-CN27))</f>
        <v/>
      </c>
      <c r="U27" s="13">
        <f>IF($D$23&lt;=0,0,MAX(0,$D$23+CP27-CQ27))</f>
        <v/>
      </c>
      <c r="V27" s="13">
        <f>IF($D$24&lt;=0,0,MAX(0,$D$24+CS27-CT27))</f>
        <v/>
      </c>
      <c r="W27" s="13">
        <f>AO27+AR27+AU27+AX27+BA27+BD27+BG27+BJ27+BM27+BP27+BS27+BV27+BY27+CB27+CE27+CH27+CK27+CN27+CQ27+CT27</f>
        <v/>
      </c>
      <c r="X27" s="13">
        <f>AN27+AQ27+AT27+AW27+AZ27+BC27+BF27+BI27+BL27+BO27+BR27+BU27+BX27+CA27+CD27+CG27+CJ27+CM27+CP27+CS27</f>
        <v/>
      </c>
      <c r="Y27" s="27">
        <f>C27+D27+E27+F27+G27+H27+I27+J27+K27+L27+M27+N27+O27+P27+Q27+R27+S27+T27+U27+V27</f>
        <v/>
      </c>
      <c r="AN27">
        <f>IF($D$5&lt;=0,0,$D$5*$E$5/12)</f>
        <v/>
      </c>
      <c r="AO27">
        <f>IF($D$5&lt;=0,0,MIN($D$5+AN27,$F$5+Dashboard!$C$11))</f>
        <v/>
      </c>
      <c r="AP27">
        <f>IF($D$5&lt;=0,Dashboard!$C$11,MAX(0,$F$5+Dashboard!$C$11-$D$5-AN27))</f>
        <v/>
      </c>
      <c r="AQ27">
        <f>IF($D$6&lt;=0,0,$D$6*$E$6/12)</f>
        <v/>
      </c>
      <c r="AR27">
        <f>IF($D$6&lt;=0,0,MIN($D$6+AQ27,$F$6+AP27))</f>
        <v/>
      </c>
      <c r="AS27">
        <f>IF($D$6&lt;=0,AP27,MAX(0,$F$6+AP27-$D$6-AQ27))</f>
        <v/>
      </c>
      <c r="AT27">
        <f>IF($D$7&lt;=0,0,$D$7*$E$7/12)</f>
        <v/>
      </c>
      <c r="AU27">
        <f>IF($D$7&lt;=0,0,MIN($D$7+AT27,$F$7+AS27))</f>
        <v/>
      </c>
      <c r="AV27">
        <f>IF($D$7&lt;=0,AS27,MAX(0,$F$7+AS27-$D$7-AT27))</f>
        <v/>
      </c>
      <c r="AW27">
        <f>IF($D$8&lt;=0,0,$D$8*$E$8/12)</f>
        <v/>
      </c>
      <c r="AX27">
        <f>IF($D$8&lt;=0,0,MIN($D$8+AW27,$F$8+AV27))</f>
        <v/>
      </c>
      <c r="AY27">
        <f>IF($D$8&lt;=0,AV27,MAX(0,$F$8+AV27-$D$8-AW27))</f>
        <v/>
      </c>
      <c r="AZ27">
        <f>IF($D$9&lt;=0,0,$D$9*$E$9/12)</f>
        <v/>
      </c>
      <c r="BA27">
        <f>IF($D$9&lt;=0,0,MIN($D$9+AZ27,$F$9+AY27))</f>
        <v/>
      </c>
      <c r="BB27">
        <f>IF($D$9&lt;=0,AY27,MAX(0,$F$9+AY27-$D$9-AZ27))</f>
        <v/>
      </c>
      <c r="BC27">
        <f>IF($D$10&lt;=0,0,$D$10*$E$10/12)</f>
        <v/>
      </c>
      <c r="BD27">
        <f>IF($D$10&lt;=0,0,MIN($D$10+BC27,$F$10+BB27))</f>
        <v/>
      </c>
      <c r="BE27">
        <f>IF($D$10&lt;=0,BB27,MAX(0,$F$10+BB27-$D$10-BC27))</f>
        <v/>
      </c>
      <c r="BF27">
        <f>IF($D$11&lt;=0,0,$D$11*$E$11/12)</f>
        <v/>
      </c>
      <c r="BG27">
        <f>IF($D$11&lt;=0,0,MIN($D$11+BF27,$F$11+BE27))</f>
        <v/>
      </c>
      <c r="BH27">
        <f>IF($D$11&lt;=0,BE27,MAX(0,$F$11+BE27-$D$11-BF27))</f>
        <v/>
      </c>
      <c r="BI27">
        <f>IF($D$12&lt;=0,0,$D$12*$E$12/12)</f>
        <v/>
      </c>
      <c r="BJ27">
        <f>IF($D$12&lt;=0,0,MIN($D$12+BI27,$F$12+BH27))</f>
        <v/>
      </c>
      <c r="BK27">
        <f>IF($D$12&lt;=0,BH27,MAX(0,$F$12+BH27-$D$12-BI27))</f>
        <v/>
      </c>
      <c r="BL27">
        <f>IF($D$13&lt;=0,0,$D$13*$E$13/12)</f>
        <v/>
      </c>
      <c r="BM27">
        <f>IF($D$13&lt;=0,0,MIN($D$13+BL27,$F$13+BK27))</f>
        <v/>
      </c>
      <c r="BN27">
        <f>IF($D$13&lt;=0,BK27,MAX(0,$F$13+BK27-$D$13-BL27))</f>
        <v/>
      </c>
      <c r="BO27">
        <f>IF($D$14&lt;=0,0,$D$14*$E$14/12)</f>
        <v/>
      </c>
      <c r="BP27">
        <f>IF($D$14&lt;=0,0,MIN($D$14+BO27,$F$14+BN27))</f>
        <v/>
      </c>
      <c r="BQ27">
        <f>IF($D$14&lt;=0,BN27,MAX(0,$F$14+BN27-$D$14-BO27))</f>
        <v/>
      </c>
      <c r="BR27">
        <f>IF($D$15&lt;=0,0,$D$15*$E$15/12)</f>
        <v/>
      </c>
      <c r="BS27">
        <f>IF($D$15&lt;=0,0,MIN($D$15+BR27,$F$15+BQ27))</f>
        <v/>
      </c>
      <c r="BT27">
        <f>IF($D$15&lt;=0,BQ27,MAX(0,$F$15+BQ27-$D$15-BR27))</f>
        <v/>
      </c>
      <c r="BU27">
        <f>IF($D$16&lt;=0,0,$D$16*$E$16/12)</f>
        <v/>
      </c>
      <c r="BV27">
        <f>IF($D$16&lt;=0,0,MIN($D$16+BU27,$F$16+BT27))</f>
        <v/>
      </c>
      <c r="BW27">
        <f>IF($D$16&lt;=0,BT27,MAX(0,$F$16+BT27-$D$16-BU27))</f>
        <v/>
      </c>
      <c r="BX27">
        <f>IF($D$17&lt;=0,0,$D$17*$E$17/12)</f>
        <v/>
      </c>
      <c r="BY27">
        <f>IF($D$17&lt;=0,0,MIN($D$17+BX27,$F$17+BW27))</f>
        <v/>
      </c>
      <c r="BZ27">
        <f>IF($D$17&lt;=0,BW27,MAX(0,$F$17+BW27-$D$17-BX27))</f>
        <v/>
      </c>
      <c r="CA27">
        <f>IF($D$18&lt;=0,0,$D$18*$E$18/12)</f>
        <v/>
      </c>
      <c r="CB27">
        <f>IF($D$18&lt;=0,0,MIN($D$18+CA27,$F$18+BZ27))</f>
        <v/>
      </c>
      <c r="CC27">
        <f>IF($D$18&lt;=0,BZ27,MAX(0,$F$18+BZ27-$D$18-CA27))</f>
        <v/>
      </c>
      <c r="CD27">
        <f>IF($D$19&lt;=0,0,$D$19*$E$19/12)</f>
        <v/>
      </c>
      <c r="CE27">
        <f>IF($D$19&lt;=0,0,MIN($D$19+CD27,$F$19+CC27))</f>
        <v/>
      </c>
      <c r="CF27">
        <f>IF($D$19&lt;=0,CC27,MAX(0,$F$19+CC27-$D$19-CD27))</f>
        <v/>
      </c>
      <c r="CG27">
        <f>IF($D$20&lt;=0,0,$D$20*$E$20/12)</f>
        <v/>
      </c>
      <c r="CH27">
        <f>IF($D$20&lt;=0,0,MIN($D$20+CG27,$F$20+CF27))</f>
        <v/>
      </c>
      <c r="CI27">
        <f>IF($D$20&lt;=0,CF27,MAX(0,$F$20+CF27-$D$20-CG27))</f>
        <v/>
      </c>
      <c r="CJ27">
        <f>IF($D$21&lt;=0,0,$D$21*$E$21/12)</f>
        <v/>
      </c>
      <c r="CK27">
        <f>IF($D$21&lt;=0,0,MIN($D$21+CJ27,$F$21+CI27))</f>
        <v/>
      </c>
      <c r="CL27">
        <f>IF($D$21&lt;=0,CI27,MAX(0,$F$21+CI27-$D$21-CJ27))</f>
        <v/>
      </c>
      <c r="CM27">
        <f>IF($D$22&lt;=0,0,$D$22*$E$22/12)</f>
        <v/>
      </c>
      <c r="CN27">
        <f>IF($D$22&lt;=0,0,MIN($D$22+CM27,$F$22+CL27))</f>
        <v/>
      </c>
      <c r="CO27">
        <f>IF($D$22&lt;=0,CL27,MAX(0,$F$22+CL27-$D$22-CM27))</f>
        <v/>
      </c>
      <c r="CP27">
        <f>IF($D$23&lt;=0,0,$D$23*$E$23/12)</f>
        <v/>
      </c>
      <c r="CQ27">
        <f>IF($D$23&lt;=0,0,MIN($D$23+CP27,$F$23+CO27))</f>
        <v/>
      </c>
      <c r="CR27">
        <f>IF($D$23&lt;=0,CO27,MAX(0,$F$23+CO27-$D$23-CP27))</f>
        <v/>
      </c>
      <c r="CS27">
        <f>IF($D$24&lt;=0,0,$D$24*$E$24/12)</f>
        <v/>
      </c>
      <c r="CT27">
        <f>IF($D$24&lt;=0,0,MIN($D$24+CS27,$F$24+CR27))</f>
        <v/>
      </c>
      <c r="CU27">
        <f>IF($D$24&lt;=0,CR27,MAX(0,$F$24+CR27-$D$24-CS27))</f>
        <v/>
      </c>
    </row>
    <row r="28">
      <c r="B28" s="39" t="n">
        <v>2</v>
      </c>
      <c r="C28" s="13">
        <f>IF(C27&lt;=0,0,MAX(0,C27+AN28-AO28))</f>
        <v/>
      </c>
      <c r="D28" s="13">
        <f>IF(D27&lt;=0,0,MAX(0,D27+AQ28-AR28))</f>
        <v/>
      </c>
      <c r="E28" s="13">
        <f>IF(E27&lt;=0,0,MAX(0,E27+AT28-AU28))</f>
        <v/>
      </c>
      <c r="F28" s="13">
        <f>IF(F27&lt;=0,0,MAX(0,F27+AW28-AX28))</f>
        <v/>
      </c>
      <c r="G28" s="13">
        <f>IF(G27&lt;=0,0,MAX(0,G27+AZ28-BA28))</f>
        <v/>
      </c>
      <c r="H28" s="13">
        <f>IF(H27&lt;=0,0,MAX(0,H27+BC28-BD28))</f>
        <v/>
      </c>
      <c r="I28" s="13">
        <f>IF(I27&lt;=0,0,MAX(0,I27+BF28-BG28))</f>
        <v/>
      </c>
      <c r="J28" s="13">
        <f>IF(J27&lt;=0,0,MAX(0,J27+BI28-BJ28))</f>
        <v/>
      </c>
      <c r="K28" s="13">
        <f>IF(K27&lt;=0,0,MAX(0,K27+BL28-BM28))</f>
        <v/>
      </c>
      <c r="L28" s="13">
        <f>IF(L27&lt;=0,0,MAX(0,L27+BO28-BP28))</f>
        <v/>
      </c>
      <c r="M28" s="13">
        <f>IF(M27&lt;=0,0,MAX(0,M27+BR28-BS28))</f>
        <v/>
      </c>
      <c r="N28" s="13">
        <f>IF(N27&lt;=0,0,MAX(0,N27+BU28-BV28))</f>
        <v/>
      </c>
      <c r="O28" s="13">
        <f>IF(O27&lt;=0,0,MAX(0,O27+BX28-BY28))</f>
        <v/>
      </c>
      <c r="P28" s="13">
        <f>IF(P27&lt;=0,0,MAX(0,P27+CA28-CB28))</f>
        <v/>
      </c>
      <c r="Q28" s="13">
        <f>IF(Q27&lt;=0,0,MAX(0,Q27+CD28-CE28))</f>
        <v/>
      </c>
      <c r="R28" s="13">
        <f>IF(R27&lt;=0,0,MAX(0,R27+CG28-CH28))</f>
        <v/>
      </c>
      <c r="S28" s="13">
        <f>IF(S27&lt;=0,0,MAX(0,S27+CJ28-CK28))</f>
        <v/>
      </c>
      <c r="T28" s="13">
        <f>IF(T27&lt;=0,0,MAX(0,T27+CM28-CN28))</f>
        <v/>
      </c>
      <c r="U28" s="13">
        <f>IF(U27&lt;=0,0,MAX(0,U27+CP28-CQ28))</f>
        <v/>
      </c>
      <c r="V28" s="13">
        <f>IF(V27&lt;=0,0,MAX(0,V27+CS28-CT28))</f>
        <v/>
      </c>
      <c r="W28" s="13">
        <f>AO28+AR28+AU28+AX28+BA28+BD28+BG28+BJ28+BM28+BP28+BS28+BV28+BY28+CB28+CE28+CH28+CK28+CN28+CQ28+CT28</f>
        <v/>
      </c>
      <c r="X28" s="13">
        <f>AN28+AQ28+AT28+AW28+AZ28+BC28+BF28+BI28+BL28+BO28+BR28+BU28+BX28+CA28+CD28+CG28+CJ28+CM28+CP28+CS28</f>
        <v/>
      </c>
      <c r="Y28" s="27">
        <f>C28+D28+E28+F28+G28+H28+I28+J28+K28+L28+M28+N28+O28+P28+Q28+R28+S28+T28+U28+V28</f>
        <v/>
      </c>
      <c r="AN28">
        <f>IF(C27&lt;=0,0,C27*$E$5/12)</f>
        <v/>
      </c>
      <c r="AO28">
        <f>IF(C27&lt;=0,0,MIN(C27+AN28,$F$5+(Dashboard!$C$11+IF(C27&lt;=0,$F$5,0)+IF(D27&lt;=0,$F$6,0)+IF(E27&lt;=0,$F$7,0)+IF(F27&lt;=0,$F$8,0)+IF(G27&lt;=0,$F$9,0)+IF(H27&lt;=0,$F$10,0)+IF(I27&lt;=0,$F$11,0)+IF(J27&lt;=0,$F$12,0)+IF(K27&lt;=0,$F$13,0)+IF(L27&lt;=0,$F$14,0)+IF(M27&lt;=0,$F$15,0)+IF(N27&lt;=0,$F$16,0)+IF(O27&lt;=0,$F$17,0)+IF(P27&lt;=0,$F$18,0)+IF(Q27&lt;=0,$F$19,0)+IF(R27&lt;=0,$F$20,0)+IF(S27&lt;=0,$F$21,0)+IF(T27&lt;=0,$F$22,0)+IF(U27&lt;=0,$F$23,0)+IF(V27&lt;=0,$F$24,0))))</f>
        <v/>
      </c>
      <c r="AP28">
        <f>IF(C27&lt;=0,(Dashboard!$C$11+IF(C27&lt;=0,$F$5,0)+IF(D27&lt;=0,$F$6,0)+IF(E27&lt;=0,$F$7,0)+IF(F27&lt;=0,$F$8,0)+IF(G27&lt;=0,$F$9,0)+IF(H27&lt;=0,$F$10,0)+IF(I27&lt;=0,$F$11,0)+IF(J27&lt;=0,$F$12,0)+IF(K27&lt;=0,$F$13,0)+IF(L27&lt;=0,$F$14,0)+IF(M27&lt;=0,$F$15,0)+IF(N27&lt;=0,$F$16,0)+IF(O27&lt;=0,$F$17,0)+IF(P27&lt;=0,$F$18,0)+IF(Q27&lt;=0,$F$19,0)+IF(R27&lt;=0,$F$20,0)+IF(S27&lt;=0,$F$21,0)+IF(T27&lt;=0,$F$22,0)+IF(U27&lt;=0,$F$23,0)+IF(V27&lt;=0,$F$24,0)),MAX(0,$F$5+(Dashboard!$C$11+IF(C27&lt;=0,$F$5,0)+IF(D27&lt;=0,$F$6,0)+IF(E27&lt;=0,$F$7,0)+IF(F27&lt;=0,$F$8,0)+IF(G27&lt;=0,$F$9,0)+IF(H27&lt;=0,$F$10,0)+IF(I27&lt;=0,$F$11,0)+IF(J27&lt;=0,$F$12,0)+IF(K27&lt;=0,$F$13,0)+IF(L27&lt;=0,$F$14,0)+IF(M27&lt;=0,$F$15,0)+IF(N27&lt;=0,$F$16,0)+IF(O27&lt;=0,$F$17,0)+IF(P27&lt;=0,$F$18,0)+IF(Q27&lt;=0,$F$19,0)+IF(R27&lt;=0,$F$20,0)+IF(S27&lt;=0,$F$21,0)+IF(T27&lt;=0,$F$22,0)+IF(U27&lt;=0,$F$23,0)+IF(V27&lt;=0,$F$24,0))-C27-AN28))</f>
        <v/>
      </c>
      <c r="AQ28">
        <f>IF(D27&lt;=0,0,D27*$E$6/12)</f>
        <v/>
      </c>
      <c r="AR28">
        <f>IF(D27&lt;=0,0,MIN(D27+AQ28,$F$6+AP28))</f>
        <v/>
      </c>
      <c r="AS28">
        <f>IF(D27&lt;=0,AP28,MAX(0,$F$6+AP28-D27-AQ28))</f>
        <v/>
      </c>
      <c r="AT28">
        <f>IF(E27&lt;=0,0,E27*$E$7/12)</f>
        <v/>
      </c>
      <c r="AU28">
        <f>IF(E27&lt;=0,0,MIN(E27+AT28,$F$7+AS28))</f>
        <v/>
      </c>
      <c r="AV28">
        <f>IF(E27&lt;=0,AS28,MAX(0,$F$7+AS28-E27-AT28))</f>
        <v/>
      </c>
      <c r="AW28">
        <f>IF(F27&lt;=0,0,F27*$E$8/12)</f>
        <v/>
      </c>
      <c r="AX28">
        <f>IF(F27&lt;=0,0,MIN(F27+AW28,$F$8+AV28))</f>
        <v/>
      </c>
      <c r="AY28">
        <f>IF(F27&lt;=0,AV28,MAX(0,$F$8+AV28-F27-AW28))</f>
        <v/>
      </c>
      <c r="AZ28">
        <f>IF(G27&lt;=0,0,G27*$E$9/12)</f>
        <v/>
      </c>
      <c r="BA28">
        <f>IF(G27&lt;=0,0,MIN(G27+AZ28,$F$9+AY28))</f>
        <v/>
      </c>
      <c r="BB28">
        <f>IF(G27&lt;=0,AY28,MAX(0,$F$9+AY28-G27-AZ28))</f>
        <v/>
      </c>
      <c r="BC28">
        <f>IF(H27&lt;=0,0,H27*$E$10/12)</f>
        <v/>
      </c>
      <c r="BD28">
        <f>IF(H27&lt;=0,0,MIN(H27+BC28,$F$10+BB28))</f>
        <v/>
      </c>
      <c r="BE28">
        <f>IF(H27&lt;=0,BB28,MAX(0,$F$10+BB28-H27-BC28))</f>
        <v/>
      </c>
      <c r="BF28">
        <f>IF(I27&lt;=0,0,I27*$E$11/12)</f>
        <v/>
      </c>
      <c r="BG28">
        <f>IF(I27&lt;=0,0,MIN(I27+BF28,$F$11+BE28))</f>
        <v/>
      </c>
      <c r="BH28">
        <f>IF(I27&lt;=0,BE28,MAX(0,$F$11+BE28-I27-BF28))</f>
        <v/>
      </c>
      <c r="BI28">
        <f>IF(J27&lt;=0,0,J27*$E$12/12)</f>
        <v/>
      </c>
      <c r="BJ28">
        <f>IF(J27&lt;=0,0,MIN(J27+BI28,$F$12+BH28))</f>
        <v/>
      </c>
      <c r="BK28">
        <f>IF(J27&lt;=0,BH28,MAX(0,$F$12+BH28-J27-BI28))</f>
        <v/>
      </c>
      <c r="BL28">
        <f>IF(K27&lt;=0,0,K27*$E$13/12)</f>
        <v/>
      </c>
      <c r="BM28">
        <f>IF(K27&lt;=0,0,MIN(K27+BL28,$F$13+BK28))</f>
        <v/>
      </c>
      <c r="BN28">
        <f>IF(K27&lt;=0,BK28,MAX(0,$F$13+BK28-K27-BL28))</f>
        <v/>
      </c>
      <c r="BO28">
        <f>IF(L27&lt;=0,0,L27*$E$14/12)</f>
        <v/>
      </c>
      <c r="BP28">
        <f>IF(L27&lt;=0,0,MIN(L27+BO28,$F$14+BN28))</f>
        <v/>
      </c>
      <c r="BQ28">
        <f>IF(L27&lt;=0,BN28,MAX(0,$F$14+BN28-L27-BO28))</f>
        <v/>
      </c>
      <c r="BR28">
        <f>IF(M27&lt;=0,0,M27*$E$15/12)</f>
        <v/>
      </c>
      <c r="BS28">
        <f>IF(M27&lt;=0,0,MIN(M27+BR28,$F$15+BQ28))</f>
        <v/>
      </c>
      <c r="BT28">
        <f>IF(M27&lt;=0,BQ28,MAX(0,$F$15+BQ28-M27-BR28))</f>
        <v/>
      </c>
      <c r="BU28">
        <f>IF(N27&lt;=0,0,N27*$E$16/12)</f>
        <v/>
      </c>
      <c r="BV28">
        <f>IF(N27&lt;=0,0,MIN(N27+BU28,$F$16+BT28))</f>
        <v/>
      </c>
      <c r="BW28">
        <f>IF(N27&lt;=0,BT28,MAX(0,$F$16+BT28-N27-BU28))</f>
        <v/>
      </c>
      <c r="BX28">
        <f>IF(O27&lt;=0,0,O27*$E$17/12)</f>
        <v/>
      </c>
      <c r="BY28">
        <f>IF(O27&lt;=0,0,MIN(O27+BX28,$F$17+BW28))</f>
        <v/>
      </c>
      <c r="BZ28">
        <f>IF(O27&lt;=0,BW28,MAX(0,$F$17+BW28-O27-BX28))</f>
        <v/>
      </c>
      <c r="CA28">
        <f>IF(P27&lt;=0,0,P27*$E$18/12)</f>
        <v/>
      </c>
      <c r="CB28">
        <f>IF(P27&lt;=0,0,MIN(P27+CA28,$F$18+BZ28))</f>
        <v/>
      </c>
      <c r="CC28">
        <f>IF(P27&lt;=0,BZ28,MAX(0,$F$18+BZ28-P27-CA28))</f>
        <v/>
      </c>
      <c r="CD28">
        <f>IF(Q27&lt;=0,0,Q27*$E$19/12)</f>
        <v/>
      </c>
      <c r="CE28">
        <f>IF(Q27&lt;=0,0,MIN(Q27+CD28,$F$19+CC28))</f>
        <v/>
      </c>
      <c r="CF28">
        <f>IF(Q27&lt;=0,CC28,MAX(0,$F$19+CC28-Q27-CD28))</f>
        <v/>
      </c>
      <c r="CG28">
        <f>IF(R27&lt;=0,0,R27*$E$20/12)</f>
        <v/>
      </c>
      <c r="CH28">
        <f>IF(R27&lt;=0,0,MIN(R27+CG28,$F$20+CF28))</f>
        <v/>
      </c>
      <c r="CI28">
        <f>IF(R27&lt;=0,CF28,MAX(0,$F$20+CF28-R27-CG28))</f>
        <v/>
      </c>
      <c r="CJ28">
        <f>IF(S27&lt;=0,0,S27*$E$21/12)</f>
        <v/>
      </c>
      <c r="CK28">
        <f>IF(S27&lt;=0,0,MIN(S27+CJ28,$F$21+CI28))</f>
        <v/>
      </c>
      <c r="CL28">
        <f>IF(S27&lt;=0,CI28,MAX(0,$F$21+CI28-S27-CJ28))</f>
        <v/>
      </c>
      <c r="CM28">
        <f>IF(T27&lt;=0,0,T27*$E$22/12)</f>
        <v/>
      </c>
      <c r="CN28">
        <f>IF(T27&lt;=0,0,MIN(T27+CM28,$F$22+CL28))</f>
        <v/>
      </c>
      <c r="CO28">
        <f>IF(T27&lt;=0,CL28,MAX(0,$F$22+CL28-T27-CM28))</f>
        <v/>
      </c>
      <c r="CP28">
        <f>IF(U27&lt;=0,0,U27*$E$23/12)</f>
        <v/>
      </c>
      <c r="CQ28">
        <f>IF(U27&lt;=0,0,MIN(U27+CP28,$F$23+CO28))</f>
        <v/>
      </c>
      <c r="CR28">
        <f>IF(U27&lt;=0,CO28,MAX(0,$F$23+CO28-U27-CP28))</f>
        <v/>
      </c>
      <c r="CS28">
        <f>IF(V27&lt;=0,0,V27*$E$24/12)</f>
        <v/>
      </c>
      <c r="CT28">
        <f>IF(V27&lt;=0,0,MIN(V27+CS28,$F$24+CR28))</f>
        <v/>
      </c>
      <c r="CU28">
        <f>IF(V27&lt;=0,CR28,MAX(0,$F$24+CR28-V27-CS28))</f>
        <v/>
      </c>
    </row>
    <row r="29">
      <c r="B29" s="39" t="n">
        <v>3</v>
      </c>
      <c r="C29" s="13">
        <f>IF(C28&lt;=0,0,MAX(0,C28+AN29-AO29))</f>
        <v/>
      </c>
      <c r="D29" s="13">
        <f>IF(D28&lt;=0,0,MAX(0,D28+AQ29-AR29))</f>
        <v/>
      </c>
      <c r="E29" s="13">
        <f>IF(E28&lt;=0,0,MAX(0,E28+AT29-AU29))</f>
        <v/>
      </c>
      <c r="F29" s="13">
        <f>IF(F28&lt;=0,0,MAX(0,F28+AW29-AX29))</f>
        <v/>
      </c>
      <c r="G29" s="13">
        <f>IF(G28&lt;=0,0,MAX(0,G28+AZ29-BA29))</f>
        <v/>
      </c>
      <c r="H29" s="13">
        <f>IF(H28&lt;=0,0,MAX(0,H28+BC29-BD29))</f>
        <v/>
      </c>
      <c r="I29" s="13">
        <f>IF(I28&lt;=0,0,MAX(0,I28+BF29-BG29))</f>
        <v/>
      </c>
      <c r="J29" s="13">
        <f>IF(J28&lt;=0,0,MAX(0,J28+BI29-BJ29))</f>
        <v/>
      </c>
      <c r="K29" s="13">
        <f>IF(K28&lt;=0,0,MAX(0,K28+BL29-BM29))</f>
        <v/>
      </c>
      <c r="L29" s="13">
        <f>IF(L28&lt;=0,0,MAX(0,L28+BO29-BP29))</f>
        <v/>
      </c>
      <c r="M29" s="13">
        <f>IF(M28&lt;=0,0,MAX(0,M28+BR29-BS29))</f>
        <v/>
      </c>
      <c r="N29" s="13">
        <f>IF(N28&lt;=0,0,MAX(0,N28+BU29-BV29))</f>
        <v/>
      </c>
      <c r="O29" s="13">
        <f>IF(O28&lt;=0,0,MAX(0,O28+BX29-BY29))</f>
        <v/>
      </c>
      <c r="P29" s="13">
        <f>IF(P28&lt;=0,0,MAX(0,P28+CA29-CB29))</f>
        <v/>
      </c>
      <c r="Q29" s="13">
        <f>IF(Q28&lt;=0,0,MAX(0,Q28+CD29-CE29))</f>
        <v/>
      </c>
      <c r="R29" s="13">
        <f>IF(R28&lt;=0,0,MAX(0,R28+CG29-CH29))</f>
        <v/>
      </c>
      <c r="S29" s="13">
        <f>IF(S28&lt;=0,0,MAX(0,S28+CJ29-CK29))</f>
        <v/>
      </c>
      <c r="T29" s="13">
        <f>IF(T28&lt;=0,0,MAX(0,T28+CM29-CN29))</f>
        <v/>
      </c>
      <c r="U29" s="13">
        <f>IF(U28&lt;=0,0,MAX(0,U28+CP29-CQ29))</f>
        <v/>
      </c>
      <c r="V29" s="13">
        <f>IF(V28&lt;=0,0,MAX(0,V28+CS29-CT29))</f>
        <v/>
      </c>
      <c r="W29" s="13">
        <f>AO29+AR29+AU29+AX29+BA29+BD29+BG29+BJ29+BM29+BP29+BS29+BV29+BY29+CB29+CE29+CH29+CK29+CN29+CQ29+CT29</f>
        <v/>
      </c>
      <c r="X29" s="13">
        <f>AN29+AQ29+AT29+AW29+AZ29+BC29+BF29+BI29+BL29+BO29+BR29+BU29+BX29+CA29+CD29+CG29+CJ29+CM29+CP29+CS29</f>
        <v/>
      </c>
      <c r="Y29" s="27">
        <f>C29+D29+E29+F29+G29+H29+I29+J29+K29+L29+M29+N29+O29+P29+Q29+R29+S29+T29+U29+V29</f>
        <v/>
      </c>
      <c r="AN29">
        <f>IF(C28&lt;=0,0,C28*$E$5/12)</f>
        <v/>
      </c>
      <c r="AO29">
        <f>IF(C28&lt;=0,0,MIN(C28+AN29,$F$5+(Dashboard!$C$11+IF(C28&lt;=0,$F$5,0)+IF(D28&lt;=0,$F$6,0)+IF(E28&lt;=0,$F$7,0)+IF(F28&lt;=0,$F$8,0)+IF(G28&lt;=0,$F$9,0)+IF(H28&lt;=0,$F$10,0)+IF(I28&lt;=0,$F$11,0)+IF(J28&lt;=0,$F$12,0)+IF(K28&lt;=0,$F$13,0)+IF(L28&lt;=0,$F$14,0)+IF(M28&lt;=0,$F$15,0)+IF(N28&lt;=0,$F$16,0)+IF(O28&lt;=0,$F$17,0)+IF(P28&lt;=0,$F$18,0)+IF(Q28&lt;=0,$F$19,0)+IF(R28&lt;=0,$F$20,0)+IF(S28&lt;=0,$F$21,0)+IF(T28&lt;=0,$F$22,0)+IF(U28&lt;=0,$F$23,0)+IF(V28&lt;=0,$F$24,0))))</f>
        <v/>
      </c>
      <c r="AP29">
        <f>IF(C28&lt;=0,(Dashboard!$C$11+IF(C28&lt;=0,$F$5,0)+IF(D28&lt;=0,$F$6,0)+IF(E28&lt;=0,$F$7,0)+IF(F28&lt;=0,$F$8,0)+IF(G28&lt;=0,$F$9,0)+IF(H28&lt;=0,$F$10,0)+IF(I28&lt;=0,$F$11,0)+IF(J28&lt;=0,$F$12,0)+IF(K28&lt;=0,$F$13,0)+IF(L28&lt;=0,$F$14,0)+IF(M28&lt;=0,$F$15,0)+IF(N28&lt;=0,$F$16,0)+IF(O28&lt;=0,$F$17,0)+IF(P28&lt;=0,$F$18,0)+IF(Q28&lt;=0,$F$19,0)+IF(R28&lt;=0,$F$20,0)+IF(S28&lt;=0,$F$21,0)+IF(T28&lt;=0,$F$22,0)+IF(U28&lt;=0,$F$23,0)+IF(V28&lt;=0,$F$24,0)),MAX(0,$F$5+(Dashboard!$C$11+IF(C28&lt;=0,$F$5,0)+IF(D28&lt;=0,$F$6,0)+IF(E28&lt;=0,$F$7,0)+IF(F28&lt;=0,$F$8,0)+IF(G28&lt;=0,$F$9,0)+IF(H28&lt;=0,$F$10,0)+IF(I28&lt;=0,$F$11,0)+IF(J28&lt;=0,$F$12,0)+IF(K28&lt;=0,$F$13,0)+IF(L28&lt;=0,$F$14,0)+IF(M28&lt;=0,$F$15,0)+IF(N28&lt;=0,$F$16,0)+IF(O28&lt;=0,$F$17,0)+IF(P28&lt;=0,$F$18,0)+IF(Q28&lt;=0,$F$19,0)+IF(R28&lt;=0,$F$20,0)+IF(S28&lt;=0,$F$21,0)+IF(T28&lt;=0,$F$22,0)+IF(U28&lt;=0,$F$23,0)+IF(V28&lt;=0,$F$24,0))-C28-AN29))</f>
        <v/>
      </c>
      <c r="AQ29">
        <f>IF(D28&lt;=0,0,D28*$E$6/12)</f>
        <v/>
      </c>
      <c r="AR29">
        <f>IF(D28&lt;=0,0,MIN(D28+AQ29,$F$6+AP29))</f>
        <v/>
      </c>
      <c r="AS29">
        <f>IF(D28&lt;=0,AP29,MAX(0,$F$6+AP29-D28-AQ29))</f>
        <v/>
      </c>
      <c r="AT29">
        <f>IF(E28&lt;=0,0,E28*$E$7/12)</f>
        <v/>
      </c>
      <c r="AU29">
        <f>IF(E28&lt;=0,0,MIN(E28+AT29,$F$7+AS29))</f>
        <v/>
      </c>
      <c r="AV29">
        <f>IF(E28&lt;=0,AS29,MAX(0,$F$7+AS29-E28-AT29))</f>
        <v/>
      </c>
      <c r="AW29">
        <f>IF(F28&lt;=0,0,F28*$E$8/12)</f>
        <v/>
      </c>
      <c r="AX29">
        <f>IF(F28&lt;=0,0,MIN(F28+AW29,$F$8+AV29))</f>
        <v/>
      </c>
      <c r="AY29">
        <f>IF(F28&lt;=0,AV29,MAX(0,$F$8+AV29-F28-AW29))</f>
        <v/>
      </c>
      <c r="AZ29">
        <f>IF(G28&lt;=0,0,G28*$E$9/12)</f>
        <v/>
      </c>
      <c r="BA29">
        <f>IF(G28&lt;=0,0,MIN(G28+AZ29,$F$9+AY29))</f>
        <v/>
      </c>
      <c r="BB29">
        <f>IF(G28&lt;=0,AY29,MAX(0,$F$9+AY29-G28-AZ29))</f>
        <v/>
      </c>
      <c r="BC29">
        <f>IF(H28&lt;=0,0,H28*$E$10/12)</f>
        <v/>
      </c>
      <c r="BD29">
        <f>IF(H28&lt;=0,0,MIN(H28+BC29,$F$10+BB29))</f>
        <v/>
      </c>
      <c r="BE29">
        <f>IF(H28&lt;=0,BB29,MAX(0,$F$10+BB29-H28-BC29))</f>
        <v/>
      </c>
      <c r="BF29">
        <f>IF(I28&lt;=0,0,I28*$E$11/12)</f>
        <v/>
      </c>
      <c r="BG29">
        <f>IF(I28&lt;=0,0,MIN(I28+BF29,$F$11+BE29))</f>
        <v/>
      </c>
      <c r="BH29">
        <f>IF(I28&lt;=0,BE29,MAX(0,$F$11+BE29-I28-BF29))</f>
        <v/>
      </c>
      <c r="BI29">
        <f>IF(J28&lt;=0,0,J28*$E$12/12)</f>
        <v/>
      </c>
      <c r="BJ29">
        <f>IF(J28&lt;=0,0,MIN(J28+BI29,$F$12+BH29))</f>
        <v/>
      </c>
      <c r="BK29">
        <f>IF(J28&lt;=0,BH29,MAX(0,$F$12+BH29-J28-BI29))</f>
        <v/>
      </c>
      <c r="BL29">
        <f>IF(K28&lt;=0,0,K28*$E$13/12)</f>
        <v/>
      </c>
      <c r="BM29">
        <f>IF(K28&lt;=0,0,MIN(K28+BL29,$F$13+BK29))</f>
        <v/>
      </c>
      <c r="BN29">
        <f>IF(K28&lt;=0,BK29,MAX(0,$F$13+BK29-K28-BL29))</f>
        <v/>
      </c>
      <c r="BO29">
        <f>IF(L28&lt;=0,0,L28*$E$14/12)</f>
        <v/>
      </c>
      <c r="BP29">
        <f>IF(L28&lt;=0,0,MIN(L28+BO29,$F$14+BN29))</f>
        <v/>
      </c>
      <c r="BQ29">
        <f>IF(L28&lt;=0,BN29,MAX(0,$F$14+BN29-L28-BO29))</f>
        <v/>
      </c>
      <c r="BR29">
        <f>IF(M28&lt;=0,0,M28*$E$15/12)</f>
        <v/>
      </c>
      <c r="BS29">
        <f>IF(M28&lt;=0,0,MIN(M28+BR29,$F$15+BQ29))</f>
        <v/>
      </c>
      <c r="BT29">
        <f>IF(M28&lt;=0,BQ29,MAX(0,$F$15+BQ29-M28-BR29))</f>
        <v/>
      </c>
      <c r="BU29">
        <f>IF(N28&lt;=0,0,N28*$E$16/12)</f>
        <v/>
      </c>
      <c r="BV29">
        <f>IF(N28&lt;=0,0,MIN(N28+BU29,$F$16+BT29))</f>
        <v/>
      </c>
      <c r="BW29">
        <f>IF(N28&lt;=0,BT29,MAX(0,$F$16+BT29-N28-BU29))</f>
        <v/>
      </c>
      <c r="BX29">
        <f>IF(O28&lt;=0,0,O28*$E$17/12)</f>
        <v/>
      </c>
      <c r="BY29">
        <f>IF(O28&lt;=0,0,MIN(O28+BX29,$F$17+BW29))</f>
        <v/>
      </c>
      <c r="BZ29">
        <f>IF(O28&lt;=0,BW29,MAX(0,$F$17+BW29-O28-BX29))</f>
        <v/>
      </c>
      <c r="CA29">
        <f>IF(P28&lt;=0,0,P28*$E$18/12)</f>
        <v/>
      </c>
      <c r="CB29">
        <f>IF(P28&lt;=0,0,MIN(P28+CA29,$F$18+BZ29))</f>
        <v/>
      </c>
      <c r="CC29">
        <f>IF(P28&lt;=0,BZ29,MAX(0,$F$18+BZ29-P28-CA29))</f>
        <v/>
      </c>
      <c r="CD29">
        <f>IF(Q28&lt;=0,0,Q28*$E$19/12)</f>
        <v/>
      </c>
      <c r="CE29">
        <f>IF(Q28&lt;=0,0,MIN(Q28+CD29,$F$19+CC29))</f>
        <v/>
      </c>
      <c r="CF29">
        <f>IF(Q28&lt;=0,CC29,MAX(0,$F$19+CC29-Q28-CD29))</f>
        <v/>
      </c>
      <c r="CG29">
        <f>IF(R28&lt;=0,0,R28*$E$20/12)</f>
        <v/>
      </c>
      <c r="CH29">
        <f>IF(R28&lt;=0,0,MIN(R28+CG29,$F$20+CF29))</f>
        <v/>
      </c>
      <c r="CI29">
        <f>IF(R28&lt;=0,CF29,MAX(0,$F$20+CF29-R28-CG29))</f>
        <v/>
      </c>
      <c r="CJ29">
        <f>IF(S28&lt;=0,0,S28*$E$21/12)</f>
        <v/>
      </c>
      <c r="CK29">
        <f>IF(S28&lt;=0,0,MIN(S28+CJ29,$F$21+CI29))</f>
        <v/>
      </c>
      <c r="CL29">
        <f>IF(S28&lt;=0,CI29,MAX(0,$F$21+CI29-S28-CJ29))</f>
        <v/>
      </c>
      <c r="CM29">
        <f>IF(T28&lt;=0,0,T28*$E$22/12)</f>
        <v/>
      </c>
      <c r="CN29">
        <f>IF(T28&lt;=0,0,MIN(T28+CM29,$F$22+CL29))</f>
        <v/>
      </c>
      <c r="CO29">
        <f>IF(T28&lt;=0,CL29,MAX(0,$F$22+CL29-T28-CM29))</f>
        <v/>
      </c>
      <c r="CP29">
        <f>IF(U28&lt;=0,0,U28*$E$23/12)</f>
        <v/>
      </c>
      <c r="CQ29">
        <f>IF(U28&lt;=0,0,MIN(U28+CP29,$F$23+CO29))</f>
        <v/>
      </c>
      <c r="CR29">
        <f>IF(U28&lt;=0,CO29,MAX(0,$F$23+CO29-U28-CP29))</f>
        <v/>
      </c>
      <c r="CS29">
        <f>IF(V28&lt;=0,0,V28*$E$24/12)</f>
        <v/>
      </c>
      <c r="CT29">
        <f>IF(V28&lt;=0,0,MIN(V28+CS29,$F$24+CR29))</f>
        <v/>
      </c>
      <c r="CU29">
        <f>IF(V28&lt;=0,CR29,MAX(0,$F$24+CR29-V28-CS29))</f>
        <v/>
      </c>
    </row>
    <row r="30">
      <c r="B30" s="39" t="n">
        <v>4</v>
      </c>
      <c r="C30" s="13">
        <f>IF(C29&lt;=0,0,MAX(0,C29+AN30-AO30))</f>
        <v/>
      </c>
      <c r="D30" s="13">
        <f>IF(D29&lt;=0,0,MAX(0,D29+AQ30-AR30))</f>
        <v/>
      </c>
      <c r="E30" s="13">
        <f>IF(E29&lt;=0,0,MAX(0,E29+AT30-AU30))</f>
        <v/>
      </c>
      <c r="F30" s="13">
        <f>IF(F29&lt;=0,0,MAX(0,F29+AW30-AX30))</f>
        <v/>
      </c>
      <c r="G30" s="13">
        <f>IF(G29&lt;=0,0,MAX(0,G29+AZ30-BA30))</f>
        <v/>
      </c>
      <c r="H30" s="13">
        <f>IF(H29&lt;=0,0,MAX(0,H29+BC30-BD30))</f>
        <v/>
      </c>
      <c r="I30" s="13">
        <f>IF(I29&lt;=0,0,MAX(0,I29+BF30-BG30))</f>
        <v/>
      </c>
      <c r="J30" s="13">
        <f>IF(J29&lt;=0,0,MAX(0,J29+BI30-BJ30))</f>
        <v/>
      </c>
      <c r="K30" s="13">
        <f>IF(K29&lt;=0,0,MAX(0,K29+BL30-BM30))</f>
        <v/>
      </c>
      <c r="L30" s="13">
        <f>IF(L29&lt;=0,0,MAX(0,L29+BO30-BP30))</f>
        <v/>
      </c>
      <c r="M30" s="13">
        <f>IF(M29&lt;=0,0,MAX(0,M29+BR30-BS30))</f>
        <v/>
      </c>
      <c r="N30" s="13">
        <f>IF(N29&lt;=0,0,MAX(0,N29+BU30-BV30))</f>
        <v/>
      </c>
      <c r="O30" s="13">
        <f>IF(O29&lt;=0,0,MAX(0,O29+BX30-BY30))</f>
        <v/>
      </c>
      <c r="P30" s="13">
        <f>IF(P29&lt;=0,0,MAX(0,P29+CA30-CB30))</f>
        <v/>
      </c>
      <c r="Q30" s="13">
        <f>IF(Q29&lt;=0,0,MAX(0,Q29+CD30-CE30))</f>
        <v/>
      </c>
      <c r="R30" s="13">
        <f>IF(R29&lt;=0,0,MAX(0,R29+CG30-CH30))</f>
        <v/>
      </c>
      <c r="S30" s="13">
        <f>IF(S29&lt;=0,0,MAX(0,S29+CJ30-CK30))</f>
        <v/>
      </c>
      <c r="T30" s="13">
        <f>IF(T29&lt;=0,0,MAX(0,T29+CM30-CN30))</f>
        <v/>
      </c>
      <c r="U30" s="13">
        <f>IF(U29&lt;=0,0,MAX(0,U29+CP30-CQ30))</f>
        <v/>
      </c>
      <c r="V30" s="13">
        <f>IF(V29&lt;=0,0,MAX(0,V29+CS30-CT30))</f>
        <v/>
      </c>
      <c r="W30" s="13">
        <f>AO30+AR30+AU30+AX30+BA30+BD30+BG30+BJ30+BM30+BP30+BS30+BV30+BY30+CB30+CE30+CH30+CK30+CN30+CQ30+CT30</f>
        <v/>
      </c>
      <c r="X30" s="13">
        <f>AN30+AQ30+AT30+AW30+AZ30+BC30+BF30+BI30+BL30+BO30+BR30+BU30+BX30+CA30+CD30+CG30+CJ30+CM30+CP30+CS30</f>
        <v/>
      </c>
      <c r="Y30" s="27">
        <f>C30+D30+E30+F30+G30+H30+I30+J30+K30+L30+M30+N30+O30+P30+Q30+R30+S30+T30+U30+V30</f>
        <v/>
      </c>
      <c r="AN30">
        <f>IF(C29&lt;=0,0,C29*$E$5/12)</f>
        <v/>
      </c>
      <c r="AO30">
        <f>IF(C29&lt;=0,0,MIN(C29+AN30,$F$5+(Dashboard!$C$11+IF(C29&lt;=0,$F$5,0)+IF(D29&lt;=0,$F$6,0)+IF(E29&lt;=0,$F$7,0)+IF(F29&lt;=0,$F$8,0)+IF(G29&lt;=0,$F$9,0)+IF(H29&lt;=0,$F$10,0)+IF(I29&lt;=0,$F$11,0)+IF(J29&lt;=0,$F$12,0)+IF(K29&lt;=0,$F$13,0)+IF(L29&lt;=0,$F$14,0)+IF(M29&lt;=0,$F$15,0)+IF(N29&lt;=0,$F$16,0)+IF(O29&lt;=0,$F$17,0)+IF(P29&lt;=0,$F$18,0)+IF(Q29&lt;=0,$F$19,0)+IF(R29&lt;=0,$F$20,0)+IF(S29&lt;=0,$F$21,0)+IF(T29&lt;=0,$F$22,0)+IF(U29&lt;=0,$F$23,0)+IF(V29&lt;=0,$F$24,0))))</f>
        <v/>
      </c>
      <c r="AP30">
        <f>IF(C29&lt;=0,(Dashboard!$C$11+IF(C29&lt;=0,$F$5,0)+IF(D29&lt;=0,$F$6,0)+IF(E29&lt;=0,$F$7,0)+IF(F29&lt;=0,$F$8,0)+IF(G29&lt;=0,$F$9,0)+IF(H29&lt;=0,$F$10,0)+IF(I29&lt;=0,$F$11,0)+IF(J29&lt;=0,$F$12,0)+IF(K29&lt;=0,$F$13,0)+IF(L29&lt;=0,$F$14,0)+IF(M29&lt;=0,$F$15,0)+IF(N29&lt;=0,$F$16,0)+IF(O29&lt;=0,$F$17,0)+IF(P29&lt;=0,$F$18,0)+IF(Q29&lt;=0,$F$19,0)+IF(R29&lt;=0,$F$20,0)+IF(S29&lt;=0,$F$21,0)+IF(T29&lt;=0,$F$22,0)+IF(U29&lt;=0,$F$23,0)+IF(V29&lt;=0,$F$24,0)),MAX(0,$F$5+(Dashboard!$C$11+IF(C29&lt;=0,$F$5,0)+IF(D29&lt;=0,$F$6,0)+IF(E29&lt;=0,$F$7,0)+IF(F29&lt;=0,$F$8,0)+IF(G29&lt;=0,$F$9,0)+IF(H29&lt;=0,$F$10,0)+IF(I29&lt;=0,$F$11,0)+IF(J29&lt;=0,$F$12,0)+IF(K29&lt;=0,$F$13,0)+IF(L29&lt;=0,$F$14,0)+IF(M29&lt;=0,$F$15,0)+IF(N29&lt;=0,$F$16,0)+IF(O29&lt;=0,$F$17,0)+IF(P29&lt;=0,$F$18,0)+IF(Q29&lt;=0,$F$19,0)+IF(R29&lt;=0,$F$20,0)+IF(S29&lt;=0,$F$21,0)+IF(T29&lt;=0,$F$22,0)+IF(U29&lt;=0,$F$23,0)+IF(V29&lt;=0,$F$24,0))-C29-AN30))</f>
        <v/>
      </c>
      <c r="AQ30">
        <f>IF(D29&lt;=0,0,D29*$E$6/12)</f>
        <v/>
      </c>
      <c r="AR30">
        <f>IF(D29&lt;=0,0,MIN(D29+AQ30,$F$6+AP30))</f>
        <v/>
      </c>
      <c r="AS30">
        <f>IF(D29&lt;=0,AP30,MAX(0,$F$6+AP30-D29-AQ30))</f>
        <v/>
      </c>
      <c r="AT30">
        <f>IF(E29&lt;=0,0,E29*$E$7/12)</f>
        <v/>
      </c>
      <c r="AU30">
        <f>IF(E29&lt;=0,0,MIN(E29+AT30,$F$7+AS30))</f>
        <v/>
      </c>
      <c r="AV30">
        <f>IF(E29&lt;=0,AS30,MAX(0,$F$7+AS30-E29-AT30))</f>
        <v/>
      </c>
      <c r="AW30">
        <f>IF(F29&lt;=0,0,F29*$E$8/12)</f>
        <v/>
      </c>
      <c r="AX30">
        <f>IF(F29&lt;=0,0,MIN(F29+AW30,$F$8+AV30))</f>
        <v/>
      </c>
      <c r="AY30">
        <f>IF(F29&lt;=0,AV30,MAX(0,$F$8+AV30-F29-AW30))</f>
        <v/>
      </c>
      <c r="AZ30">
        <f>IF(G29&lt;=0,0,G29*$E$9/12)</f>
        <v/>
      </c>
      <c r="BA30">
        <f>IF(G29&lt;=0,0,MIN(G29+AZ30,$F$9+AY30))</f>
        <v/>
      </c>
      <c r="BB30">
        <f>IF(G29&lt;=0,AY30,MAX(0,$F$9+AY30-G29-AZ30))</f>
        <v/>
      </c>
      <c r="BC30">
        <f>IF(H29&lt;=0,0,H29*$E$10/12)</f>
        <v/>
      </c>
      <c r="BD30">
        <f>IF(H29&lt;=0,0,MIN(H29+BC30,$F$10+BB30))</f>
        <v/>
      </c>
      <c r="BE30">
        <f>IF(H29&lt;=0,BB30,MAX(0,$F$10+BB30-H29-BC30))</f>
        <v/>
      </c>
      <c r="BF30">
        <f>IF(I29&lt;=0,0,I29*$E$11/12)</f>
        <v/>
      </c>
      <c r="BG30">
        <f>IF(I29&lt;=0,0,MIN(I29+BF30,$F$11+BE30))</f>
        <v/>
      </c>
      <c r="BH30">
        <f>IF(I29&lt;=0,BE30,MAX(0,$F$11+BE30-I29-BF30))</f>
        <v/>
      </c>
      <c r="BI30">
        <f>IF(J29&lt;=0,0,J29*$E$12/12)</f>
        <v/>
      </c>
      <c r="BJ30">
        <f>IF(J29&lt;=0,0,MIN(J29+BI30,$F$12+BH30))</f>
        <v/>
      </c>
      <c r="BK30">
        <f>IF(J29&lt;=0,BH30,MAX(0,$F$12+BH30-J29-BI30))</f>
        <v/>
      </c>
      <c r="BL30">
        <f>IF(K29&lt;=0,0,K29*$E$13/12)</f>
        <v/>
      </c>
      <c r="BM30">
        <f>IF(K29&lt;=0,0,MIN(K29+BL30,$F$13+BK30))</f>
        <v/>
      </c>
      <c r="BN30">
        <f>IF(K29&lt;=0,BK30,MAX(0,$F$13+BK30-K29-BL30))</f>
        <v/>
      </c>
      <c r="BO30">
        <f>IF(L29&lt;=0,0,L29*$E$14/12)</f>
        <v/>
      </c>
      <c r="BP30">
        <f>IF(L29&lt;=0,0,MIN(L29+BO30,$F$14+BN30))</f>
        <v/>
      </c>
      <c r="BQ30">
        <f>IF(L29&lt;=0,BN30,MAX(0,$F$14+BN30-L29-BO30))</f>
        <v/>
      </c>
      <c r="BR30">
        <f>IF(M29&lt;=0,0,M29*$E$15/12)</f>
        <v/>
      </c>
      <c r="BS30">
        <f>IF(M29&lt;=0,0,MIN(M29+BR30,$F$15+BQ30))</f>
        <v/>
      </c>
      <c r="BT30">
        <f>IF(M29&lt;=0,BQ30,MAX(0,$F$15+BQ30-M29-BR30))</f>
        <v/>
      </c>
      <c r="BU30">
        <f>IF(N29&lt;=0,0,N29*$E$16/12)</f>
        <v/>
      </c>
      <c r="BV30">
        <f>IF(N29&lt;=0,0,MIN(N29+BU30,$F$16+BT30))</f>
        <v/>
      </c>
      <c r="BW30">
        <f>IF(N29&lt;=0,BT30,MAX(0,$F$16+BT30-N29-BU30))</f>
        <v/>
      </c>
      <c r="BX30">
        <f>IF(O29&lt;=0,0,O29*$E$17/12)</f>
        <v/>
      </c>
      <c r="BY30">
        <f>IF(O29&lt;=0,0,MIN(O29+BX30,$F$17+BW30))</f>
        <v/>
      </c>
      <c r="BZ30">
        <f>IF(O29&lt;=0,BW30,MAX(0,$F$17+BW30-O29-BX30))</f>
        <v/>
      </c>
      <c r="CA30">
        <f>IF(P29&lt;=0,0,P29*$E$18/12)</f>
        <v/>
      </c>
      <c r="CB30">
        <f>IF(P29&lt;=0,0,MIN(P29+CA30,$F$18+BZ30))</f>
        <v/>
      </c>
      <c r="CC30">
        <f>IF(P29&lt;=0,BZ30,MAX(0,$F$18+BZ30-P29-CA30))</f>
        <v/>
      </c>
      <c r="CD30">
        <f>IF(Q29&lt;=0,0,Q29*$E$19/12)</f>
        <v/>
      </c>
      <c r="CE30">
        <f>IF(Q29&lt;=0,0,MIN(Q29+CD30,$F$19+CC30))</f>
        <v/>
      </c>
      <c r="CF30">
        <f>IF(Q29&lt;=0,CC30,MAX(0,$F$19+CC30-Q29-CD30))</f>
        <v/>
      </c>
      <c r="CG30">
        <f>IF(R29&lt;=0,0,R29*$E$20/12)</f>
        <v/>
      </c>
      <c r="CH30">
        <f>IF(R29&lt;=0,0,MIN(R29+CG30,$F$20+CF30))</f>
        <v/>
      </c>
      <c r="CI30">
        <f>IF(R29&lt;=0,CF30,MAX(0,$F$20+CF30-R29-CG30))</f>
        <v/>
      </c>
      <c r="CJ30">
        <f>IF(S29&lt;=0,0,S29*$E$21/12)</f>
        <v/>
      </c>
      <c r="CK30">
        <f>IF(S29&lt;=0,0,MIN(S29+CJ30,$F$21+CI30))</f>
        <v/>
      </c>
      <c r="CL30">
        <f>IF(S29&lt;=0,CI30,MAX(0,$F$21+CI30-S29-CJ30))</f>
        <v/>
      </c>
      <c r="CM30">
        <f>IF(T29&lt;=0,0,T29*$E$22/12)</f>
        <v/>
      </c>
      <c r="CN30">
        <f>IF(T29&lt;=0,0,MIN(T29+CM30,$F$22+CL30))</f>
        <v/>
      </c>
      <c r="CO30">
        <f>IF(T29&lt;=0,CL30,MAX(0,$F$22+CL30-T29-CM30))</f>
        <v/>
      </c>
      <c r="CP30">
        <f>IF(U29&lt;=0,0,U29*$E$23/12)</f>
        <v/>
      </c>
      <c r="CQ30">
        <f>IF(U29&lt;=0,0,MIN(U29+CP30,$F$23+CO30))</f>
        <v/>
      </c>
      <c r="CR30">
        <f>IF(U29&lt;=0,CO30,MAX(0,$F$23+CO30-U29-CP30))</f>
        <v/>
      </c>
      <c r="CS30">
        <f>IF(V29&lt;=0,0,V29*$E$24/12)</f>
        <v/>
      </c>
      <c r="CT30">
        <f>IF(V29&lt;=0,0,MIN(V29+CS30,$F$24+CR30))</f>
        <v/>
      </c>
      <c r="CU30">
        <f>IF(V29&lt;=0,CR30,MAX(0,$F$24+CR30-V29-CS30))</f>
        <v/>
      </c>
    </row>
    <row r="31">
      <c r="B31" s="39" t="n">
        <v>5</v>
      </c>
      <c r="C31" s="13">
        <f>IF(C30&lt;=0,0,MAX(0,C30+AN31-AO31))</f>
        <v/>
      </c>
      <c r="D31" s="13">
        <f>IF(D30&lt;=0,0,MAX(0,D30+AQ31-AR31))</f>
        <v/>
      </c>
      <c r="E31" s="13">
        <f>IF(E30&lt;=0,0,MAX(0,E30+AT31-AU31))</f>
        <v/>
      </c>
      <c r="F31" s="13">
        <f>IF(F30&lt;=0,0,MAX(0,F30+AW31-AX31))</f>
        <v/>
      </c>
      <c r="G31" s="13">
        <f>IF(G30&lt;=0,0,MAX(0,G30+AZ31-BA31))</f>
        <v/>
      </c>
      <c r="H31" s="13">
        <f>IF(H30&lt;=0,0,MAX(0,H30+BC31-BD31))</f>
        <v/>
      </c>
      <c r="I31" s="13">
        <f>IF(I30&lt;=0,0,MAX(0,I30+BF31-BG31))</f>
        <v/>
      </c>
      <c r="J31" s="13">
        <f>IF(J30&lt;=0,0,MAX(0,J30+BI31-BJ31))</f>
        <v/>
      </c>
      <c r="K31" s="13">
        <f>IF(K30&lt;=0,0,MAX(0,K30+BL31-BM31))</f>
        <v/>
      </c>
      <c r="L31" s="13">
        <f>IF(L30&lt;=0,0,MAX(0,L30+BO31-BP31))</f>
        <v/>
      </c>
      <c r="M31" s="13">
        <f>IF(M30&lt;=0,0,MAX(0,M30+BR31-BS31))</f>
        <v/>
      </c>
      <c r="N31" s="13">
        <f>IF(N30&lt;=0,0,MAX(0,N30+BU31-BV31))</f>
        <v/>
      </c>
      <c r="O31" s="13">
        <f>IF(O30&lt;=0,0,MAX(0,O30+BX31-BY31))</f>
        <v/>
      </c>
      <c r="P31" s="13">
        <f>IF(P30&lt;=0,0,MAX(0,P30+CA31-CB31))</f>
        <v/>
      </c>
      <c r="Q31" s="13">
        <f>IF(Q30&lt;=0,0,MAX(0,Q30+CD31-CE31))</f>
        <v/>
      </c>
      <c r="R31" s="13">
        <f>IF(R30&lt;=0,0,MAX(0,R30+CG31-CH31))</f>
        <v/>
      </c>
      <c r="S31" s="13">
        <f>IF(S30&lt;=0,0,MAX(0,S30+CJ31-CK31))</f>
        <v/>
      </c>
      <c r="T31" s="13">
        <f>IF(T30&lt;=0,0,MAX(0,T30+CM31-CN31))</f>
        <v/>
      </c>
      <c r="U31" s="13">
        <f>IF(U30&lt;=0,0,MAX(0,U30+CP31-CQ31))</f>
        <v/>
      </c>
      <c r="V31" s="13">
        <f>IF(V30&lt;=0,0,MAX(0,V30+CS31-CT31))</f>
        <v/>
      </c>
      <c r="W31" s="13">
        <f>AO31+AR31+AU31+AX31+BA31+BD31+BG31+BJ31+BM31+BP31+BS31+BV31+BY31+CB31+CE31+CH31+CK31+CN31+CQ31+CT31</f>
        <v/>
      </c>
      <c r="X31" s="13">
        <f>AN31+AQ31+AT31+AW31+AZ31+BC31+BF31+BI31+BL31+BO31+BR31+BU31+BX31+CA31+CD31+CG31+CJ31+CM31+CP31+CS31</f>
        <v/>
      </c>
      <c r="Y31" s="27">
        <f>C31+D31+E31+F31+G31+H31+I31+J31+K31+L31+M31+N31+O31+P31+Q31+R31+S31+T31+U31+V31</f>
        <v/>
      </c>
      <c r="AN31">
        <f>IF(C30&lt;=0,0,C30*$E$5/12)</f>
        <v/>
      </c>
      <c r="AO31">
        <f>IF(C30&lt;=0,0,MIN(C30+AN31,$F$5+(Dashboard!$C$11+IF(C30&lt;=0,$F$5,0)+IF(D30&lt;=0,$F$6,0)+IF(E30&lt;=0,$F$7,0)+IF(F30&lt;=0,$F$8,0)+IF(G30&lt;=0,$F$9,0)+IF(H30&lt;=0,$F$10,0)+IF(I30&lt;=0,$F$11,0)+IF(J30&lt;=0,$F$12,0)+IF(K30&lt;=0,$F$13,0)+IF(L30&lt;=0,$F$14,0)+IF(M30&lt;=0,$F$15,0)+IF(N30&lt;=0,$F$16,0)+IF(O30&lt;=0,$F$17,0)+IF(P30&lt;=0,$F$18,0)+IF(Q30&lt;=0,$F$19,0)+IF(R30&lt;=0,$F$20,0)+IF(S30&lt;=0,$F$21,0)+IF(T30&lt;=0,$F$22,0)+IF(U30&lt;=0,$F$23,0)+IF(V30&lt;=0,$F$24,0))))</f>
        <v/>
      </c>
      <c r="AP31">
        <f>IF(C30&lt;=0,(Dashboard!$C$11+IF(C30&lt;=0,$F$5,0)+IF(D30&lt;=0,$F$6,0)+IF(E30&lt;=0,$F$7,0)+IF(F30&lt;=0,$F$8,0)+IF(G30&lt;=0,$F$9,0)+IF(H30&lt;=0,$F$10,0)+IF(I30&lt;=0,$F$11,0)+IF(J30&lt;=0,$F$12,0)+IF(K30&lt;=0,$F$13,0)+IF(L30&lt;=0,$F$14,0)+IF(M30&lt;=0,$F$15,0)+IF(N30&lt;=0,$F$16,0)+IF(O30&lt;=0,$F$17,0)+IF(P30&lt;=0,$F$18,0)+IF(Q30&lt;=0,$F$19,0)+IF(R30&lt;=0,$F$20,0)+IF(S30&lt;=0,$F$21,0)+IF(T30&lt;=0,$F$22,0)+IF(U30&lt;=0,$F$23,0)+IF(V30&lt;=0,$F$24,0)),MAX(0,$F$5+(Dashboard!$C$11+IF(C30&lt;=0,$F$5,0)+IF(D30&lt;=0,$F$6,0)+IF(E30&lt;=0,$F$7,0)+IF(F30&lt;=0,$F$8,0)+IF(G30&lt;=0,$F$9,0)+IF(H30&lt;=0,$F$10,0)+IF(I30&lt;=0,$F$11,0)+IF(J30&lt;=0,$F$12,0)+IF(K30&lt;=0,$F$13,0)+IF(L30&lt;=0,$F$14,0)+IF(M30&lt;=0,$F$15,0)+IF(N30&lt;=0,$F$16,0)+IF(O30&lt;=0,$F$17,0)+IF(P30&lt;=0,$F$18,0)+IF(Q30&lt;=0,$F$19,0)+IF(R30&lt;=0,$F$20,0)+IF(S30&lt;=0,$F$21,0)+IF(T30&lt;=0,$F$22,0)+IF(U30&lt;=0,$F$23,0)+IF(V30&lt;=0,$F$24,0))-C30-AN31))</f>
        <v/>
      </c>
      <c r="AQ31">
        <f>IF(D30&lt;=0,0,D30*$E$6/12)</f>
        <v/>
      </c>
      <c r="AR31">
        <f>IF(D30&lt;=0,0,MIN(D30+AQ31,$F$6+AP31))</f>
        <v/>
      </c>
      <c r="AS31">
        <f>IF(D30&lt;=0,AP31,MAX(0,$F$6+AP31-D30-AQ31))</f>
        <v/>
      </c>
      <c r="AT31">
        <f>IF(E30&lt;=0,0,E30*$E$7/12)</f>
        <v/>
      </c>
      <c r="AU31">
        <f>IF(E30&lt;=0,0,MIN(E30+AT31,$F$7+AS31))</f>
        <v/>
      </c>
      <c r="AV31">
        <f>IF(E30&lt;=0,AS31,MAX(0,$F$7+AS31-E30-AT31))</f>
        <v/>
      </c>
      <c r="AW31">
        <f>IF(F30&lt;=0,0,F30*$E$8/12)</f>
        <v/>
      </c>
      <c r="AX31">
        <f>IF(F30&lt;=0,0,MIN(F30+AW31,$F$8+AV31))</f>
        <v/>
      </c>
      <c r="AY31">
        <f>IF(F30&lt;=0,AV31,MAX(0,$F$8+AV31-F30-AW31))</f>
        <v/>
      </c>
      <c r="AZ31">
        <f>IF(G30&lt;=0,0,G30*$E$9/12)</f>
        <v/>
      </c>
      <c r="BA31">
        <f>IF(G30&lt;=0,0,MIN(G30+AZ31,$F$9+AY31))</f>
        <v/>
      </c>
      <c r="BB31">
        <f>IF(G30&lt;=0,AY31,MAX(0,$F$9+AY31-G30-AZ31))</f>
        <v/>
      </c>
      <c r="BC31">
        <f>IF(H30&lt;=0,0,H30*$E$10/12)</f>
        <v/>
      </c>
      <c r="BD31">
        <f>IF(H30&lt;=0,0,MIN(H30+BC31,$F$10+BB31))</f>
        <v/>
      </c>
      <c r="BE31">
        <f>IF(H30&lt;=0,BB31,MAX(0,$F$10+BB31-H30-BC31))</f>
        <v/>
      </c>
      <c r="BF31">
        <f>IF(I30&lt;=0,0,I30*$E$11/12)</f>
        <v/>
      </c>
      <c r="BG31">
        <f>IF(I30&lt;=0,0,MIN(I30+BF31,$F$11+BE31))</f>
        <v/>
      </c>
      <c r="BH31">
        <f>IF(I30&lt;=0,BE31,MAX(0,$F$11+BE31-I30-BF31))</f>
        <v/>
      </c>
      <c r="BI31">
        <f>IF(J30&lt;=0,0,J30*$E$12/12)</f>
        <v/>
      </c>
      <c r="BJ31">
        <f>IF(J30&lt;=0,0,MIN(J30+BI31,$F$12+BH31))</f>
        <v/>
      </c>
      <c r="BK31">
        <f>IF(J30&lt;=0,BH31,MAX(0,$F$12+BH31-J30-BI31))</f>
        <v/>
      </c>
      <c r="BL31">
        <f>IF(K30&lt;=0,0,K30*$E$13/12)</f>
        <v/>
      </c>
      <c r="BM31">
        <f>IF(K30&lt;=0,0,MIN(K30+BL31,$F$13+BK31))</f>
        <v/>
      </c>
      <c r="BN31">
        <f>IF(K30&lt;=0,BK31,MAX(0,$F$13+BK31-K30-BL31))</f>
        <v/>
      </c>
      <c r="BO31">
        <f>IF(L30&lt;=0,0,L30*$E$14/12)</f>
        <v/>
      </c>
      <c r="BP31">
        <f>IF(L30&lt;=0,0,MIN(L30+BO31,$F$14+BN31))</f>
        <v/>
      </c>
      <c r="BQ31">
        <f>IF(L30&lt;=0,BN31,MAX(0,$F$14+BN31-L30-BO31))</f>
        <v/>
      </c>
      <c r="BR31">
        <f>IF(M30&lt;=0,0,M30*$E$15/12)</f>
        <v/>
      </c>
      <c r="BS31">
        <f>IF(M30&lt;=0,0,MIN(M30+BR31,$F$15+BQ31))</f>
        <v/>
      </c>
      <c r="BT31">
        <f>IF(M30&lt;=0,BQ31,MAX(0,$F$15+BQ31-M30-BR31))</f>
        <v/>
      </c>
      <c r="BU31">
        <f>IF(N30&lt;=0,0,N30*$E$16/12)</f>
        <v/>
      </c>
      <c r="BV31">
        <f>IF(N30&lt;=0,0,MIN(N30+BU31,$F$16+BT31))</f>
        <v/>
      </c>
      <c r="BW31">
        <f>IF(N30&lt;=0,BT31,MAX(0,$F$16+BT31-N30-BU31))</f>
        <v/>
      </c>
      <c r="BX31">
        <f>IF(O30&lt;=0,0,O30*$E$17/12)</f>
        <v/>
      </c>
      <c r="BY31">
        <f>IF(O30&lt;=0,0,MIN(O30+BX31,$F$17+BW31))</f>
        <v/>
      </c>
      <c r="BZ31">
        <f>IF(O30&lt;=0,BW31,MAX(0,$F$17+BW31-O30-BX31))</f>
        <v/>
      </c>
      <c r="CA31">
        <f>IF(P30&lt;=0,0,P30*$E$18/12)</f>
        <v/>
      </c>
      <c r="CB31">
        <f>IF(P30&lt;=0,0,MIN(P30+CA31,$F$18+BZ31))</f>
        <v/>
      </c>
      <c r="CC31">
        <f>IF(P30&lt;=0,BZ31,MAX(0,$F$18+BZ31-P30-CA31))</f>
        <v/>
      </c>
      <c r="CD31">
        <f>IF(Q30&lt;=0,0,Q30*$E$19/12)</f>
        <v/>
      </c>
      <c r="CE31">
        <f>IF(Q30&lt;=0,0,MIN(Q30+CD31,$F$19+CC31))</f>
        <v/>
      </c>
      <c r="CF31">
        <f>IF(Q30&lt;=0,CC31,MAX(0,$F$19+CC31-Q30-CD31))</f>
        <v/>
      </c>
      <c r="CG31">
        <f>IF(R30&lt;=0,0,R30*$E$20/12)</f>
        <v/>
      </c>
      <c r="CH31">
        <f>IF(R30&lt;=0,0,MIN(R30+CG31,$F$20+CF31))</f>
        <v/>
      </c>
      <c r="CI31">
        <f>IF(R30&lt;=0,CF31,MAX(0,$F$20+CF31-R30-CG31))</f>
        <v/>
      </c>
      <c r="CJ31">
        <f>IF(S30&lt;=0,0,S30*$E$21/12)</f>
        <v/>
      </c>
      <c r="CK31">
        <f>IF(S30&lt;=0,0,MIN(S30+CJ31,$F$21+CI31))</f>
        <v/>
      </c>
      <c r="CL31">
        <f>IF(S30&lt;=0,CI31,MAX(0,$F$21+CI31-S30-CJ31))</f>
        <v/>
      </c>
      <c r="CM31">
        <f>IF(T30&lt;=0,0,T30*$E$22/12)</f>
        <v/>
      </c>
      <c r="CN31">
        <f>IF(T30&lt;=0,0,MIN(T30+CM31,$F$22+CL31))</f>
        <v/>
      </c>
      <c r="CO31">
        <f>IF(T30&lt;=0,CL31,MAX(0,$F$22+CL31-T30-CM31))</f>
        <v/>
      </c>
      <c r="CP31">
        <f>IF(U30&lt;=0,0,U30*$E$23/12)</f>
        <v/>
      </c>
      <c r="CQ31">
        <f>IF(U30&lt;=0,0,MIN(U30+CP31,$F$23+CO31))</f>
        <v/>
      </c>
      <c r="CR31">
        <f>IF(U30&lt;=0,CO31,MAX(0,$F$23+CO31-U30-CP31))</f>
        <v/>
      </c>
      <c r="CS31">
        <f>IF(V30&lt;=0,0,V30*$E$24/12)</f>
        <v/>
      </c>
      <c r="CT31">
        <f>IF(V30&lt;=0,0,MIN(V30+CS31,$F$24+CR31))</f>
        <v/>
      </c>
      <c r="CU31">
        <f>IF(V30&lt;=0,CR31,MAX(0,$F$24+CR31-V30-CS31))</f>
        <v/>
      </c>
    </row>
    <row r="32">
      <c r="B32" s="39" t="n">
        <v>6</v>
      </c>
      <c r="C32" s="13">
        <f>IF(C31&lt;=0,0,MAX(0,C31+AN32-AO32))</f>
        <v/>
      </c>
      <c r="D32" s="13">
        <f>IF(D31&lt;=0,0,MAX(0,D31+AQ32-AR32))</f>
        <v/>
      </c>
      <c r="E32" s="13">
        <f>IF(E31&lt;=0,0,MAX(0,E31+AT32-AU32))</f>
        <v/>
      </c>
      <c r="F32" s="13">
        <f>IF(F31&lt;=0,0,MAX(0,F31+AW32-AX32))</f>
        <v/>
      </c>
      <c r="G32" s="13">
        <f>IF(G31&lt;=0,0,MAX(0,G31+AZ32-BA32))</f>
        <v/>
      </c>
      <c r="H32" s="13">
        <f>IF(H31&lt;=0,0,MAX(0,H31+BC32-BD32))</f>
        <v/>
      </c>
      <c r="I32" s="13">
        <f>IF(I31&lt;=0,0,MAX(0,I31+BF32-BG32))</f>
        <v/>
      </c>
      <c r="J32" s="13">
        <f>IF(J31&lt;=0,0,MAX(0,J31+BI32-BJ32))</f>
        <v/>
      </c>
      <c r="K32" s="13">
        <f>IF(K31&lt;=0,0,MAX(0,K31+BL32-BM32))</f>
        <v/>
      </c>
      <c r="L32" s="13">
        <f>IF(L31&lt;=0,0,MAX(0,L31+BO32-BP32))</f>
        <v/>
      </c>
      <c r="M32" s="13">
        <f>IF(M31&lt;=0,0,MAX(0,M31+BR32-BS32))</f>
        <v/>
      </c>
      <c r="N32" s="13">
        <f>IF(N31&lt;=0,0,MAX(0,N31+BU32-BV32))</f>
        <v/>
      </c>
      <c r="O32" s="13">
        <f>IF(O31&lt;=0,0,MAX(0,O31+BX32-BY32))</f>
        <v/>
      </c>
      <c r="P32" s="13">
        <f>IF(P31&lt;=0,0,MAX(0,P31+CA32-CB32))</f>
        <v/>
      </c>
      <c r="Q32" s="13">
        <f>IF(Q31&lt;=0,0,MAX(0,Q31+CD32-CE32))</f>
        <v/>
      </c>
      <c r="R32" s="13">
        <f>IF(R31&lt;=0,0,MAX(0,R31+CG32-CH32))</f>
        <v/>
      </c>
      <c r="S32" s="13">
        <f>IF(S31&lt;=0,0,MAX(0,S31+CJ32-CK32))</f>
        <v/>
      </c>
      <c r="T32" s="13">
        <f>IF(T31&lt;=0,0,MAX(0,T31+CM32-CN32))</f>
        <v/>
      </c>
      <c r="U32" s="13">
        <f>IF(U31&lt;=0,0,MAX(0,U31+CP32-CQ32))</f>
        <v/>
      </c>
      <c r="V32" s="13">
        <f>IF(V31&lt;=0,0,MAX(0,V31+CS32-CT32))</f>
        <v/>
      </c>
      <c r="W32" s="13">
        <f>AO32+AR32+AU32+AX32+BA32+BD32+BG32+BJ32+BM32+BP32+BS32+BV32+BY32+CB32+CE32+CH32+CK32+CN32+CQ32+CT32</f>
        <v/>
      </c>
      <c r="X32" s="13">
        <f>AN32+AQ32+AT32+AW32+AZ32+BC32+BF32+BI32+BL32+BO32+BR32+BU32+BX32+CA32+CD32+CG32+CJ32+CM32+CP32+CS32</f>
        <v/>
      </c>
      <c r="Y32" s="27">
        <f>C32+D32+E32+F32+G32+H32+I32+J32+K32+L32+M32+N32+O32+P32+Q32+R32+S32+T32+U32+V32</f>
        <v/>
      </c>
      <c r="AN32">
        <f>IF(C31&lt;=0,0,C31*$E$5/12)</f>
        <v/>
      </c>
      <c r="AO32">
        <f>IF(C31&lt;=0,0,MIN(C31+AN32,$F$5+(Dashboard!$C$11+IF(C31&lt;=0,$F$5,0)+IF(D31&lt;=0,$F$6,0)+IF(E31&lt;=0,$F$7,0)+IF(F31&lt;=0,$F$8,0)+IF(G31&lt;=0,$F$9,0)+IF(H31&lt;=0,$F$10,0)+IF(I31&lt;=0,$F$11,0)+IF(J31&lt;=0,$F$12,0)+IF(K31&lt;=0,$F$13,0)+IF(L31&lt;=0,$F$14,0)+IF(M31&lt;=0,$F$15,0)+IF(N31&lt;=0,$F$16,0)+IF(O31&lt;=0,$F$17,0)+IF(P31&lt;=0,$F$18,0)+IF(Q31&lt;=0,$F$19,0)+IF(R31&lt;=0,$F$20,0)+IF(S31&lt;=0,$F$21,0)+IF(T31&lt;=0,$F$22,0)+IF(U31&lt;=0,$F$23,0)+IF(V31&lt;=0,$F$24,0))))</f>
        <v/>
      </c>
      <c r="AP32">
        <f>IF(C31&lt;=0,(Dashboard!$C$11+IF(C31&lt;=0,$F$5,0)+IF(D31&lt;=0,$F$6,0)+IF(E31&lt;=0,$F$7,0)+IF(F31&lt;=0,$F$8,0)+IF(G31&lt;=0,$F$9,0)+IF(H31&lt;=0,$F$10,0)+IF(I31&lt;=0,$F$11,0)+IF(J31&lt;=0,$F$12,0)+IF(K31&lt;=0,$F$13,0)+IF(L31&lt;=0,$F$14,0)+IF(M31&lt;=0,$F$15,0)+IF(N31&lt;=0,$F$16,0)+IF(O31&lt;=0,$F$17,0)+IF(P31&lt;=0,$F$18,0)+IF(Q31&lt;=0,$F$19,0)+IF(R31&lt;=0,$F$20,0)+IF(S31&lt;=0,$F$21,0)+IF(T31&lt;=0,$F$22,0)+IF(U31&lt;=0,$F$23,0)+IF(V31&lt;=0,$F$24,0)),MAX(0,$F$5+(Dashboard!$C$11+IF(C31&lt;=0,$F$5,0)+IF(D31&lt;=0,$F$6,0)+IF(E31&lt;=0,$F$7,0)+IF(F31&lt;=0,$F$8,0)+IF(G31&lt;=0,$F$9,0)+IF(H31&lt;=0,$F$10,0)+IF(I31&lt;=0,$F$11,0)+IF(J31&lt;=0,$F$12,0)+IF(K31&lt;=0,$F$13,0)+IF(L31&lt;=0,$F$14,0)+IF(M31&lt;=0,$F$15,0)+IF(N31&lt;=0,$F$16,0)+IF(O31&lt;=0,$F$17,0)+IF(P31&lt;=0,$F$18,0)+IF(Q31&lt;=0,$F$19,0)+IF(R31&lt;=0,$F$20,0)+IF(S31&lt;=0,$F$21,0)+IF(T31&lt;=0,$F$22,0)+IF(U31&lt;=0,$F$23,0)+IF(V31&lt;=0,$F$24,0))-C31-AN32))</f>
        <v/>
      </c>
      <c r="AQ32">
        <f>IF(D31&lt;=0,0,D31*$E$6/12)</f>
        <v/>
      </c>
      <c r="AR32">
        <f>IF(D31&lt;=0,0,MIN(D31+AQ32,$F$6+AP32))</f>
        <v/>
      </c>
      <c r="AS32">
        <f>IF(D31&lt;=0,AP32,MAX(0,$F$6+AP32-D31-AQ32))</f>
        <v/>
      </c>
      <c r="AT32">
        <f>IF(E31&lt;=0,0,E31*$E$7/12)</f>
        <v/>
      </c>
      <c r="AU32">
        <f>IF(E31&lt;=0,0,MIN(E31+AT32,$F$7+AS32))</f>
        <v/>
      </c>
      <c r="AV32">
        <f>IF(E31&lt;=0,AS32,MAX(0,$F$7+AS32-E31-AT32))</f>
        <v/>
      </c>
      <c r="AW32">
        <f>IF(F31&lt;=0,0,F31*$E$8/12)</f>
        <v/>
      </c>
      <c r="AX32">
        <f>IF(F31&lt;=0,0,MIN(F31+AW32,$F$8+AV32))</f>
        <v/>
      </c>
      <c r="AY32">
        <f>IF(F31&lt;=0,AV32,MAX(0,$F$8+AV32-F31-AW32))</f>
        <v/>
      </c>
      <c r="AZ32">
        <f>IF(G31&lt;=0,0,G31*$E$9/12)</f>
        <v/>
      </c>
      <c r="BA32">
        <f>IF(G31&lt;=0,0,MIN(G31+AZ32,$F$9+AY32))</f>
        <v/>
      </c>
      <c r="BB32">
        <f>IF(G31&lt;=0,AY32,MAX(0,$F$9+AY32-G31-AZ32))</f>
        <v/>
      </c>
      <c r="BC32">
        <f>IF(H31&lt;=0,0,H31*$E$10/12)</f>
        <v/>
      </c>
      <c r="BD32">
        <f>IF(H31&lt;=0,0,MIN(H31+BC32,$F$10+BB32))</f>
        <v/>
      </c>
      <c r="BE32">
        <f>IF(H31&lt;=0,BB32,MAX(0,$F$10+BB32-H31-BC32))</f>
        <v/>
      </c>
      <c r="BF32">
        <f>IF(I31&lt;=0,0,I31*$E$11/12)</f>
        <v/>
      </c>
      <c r="BG32">
        <f>IF(I31&lt;=0,0,MIN(I31+BF32,$F$11+BE32))</f>
        <v/>
      </c>
      <c r="BH32">
        <f>IF(I31&lt;=0,BE32,MAX(0,$F$11+BE32-I31-BF32))</f>
        <v/>
      </c>
      <c r="BI32">
        <f>IF(J31&lt;=0,0,J31*$E$12/12)</f>
        <v/>
      </c>
      <c r="BJ32">
        <f>IF(J31&lt;=0,0,MIN(J31+BI32,$F$12+BH32))</f>
        <v/>
      </c>
      <c r="BK32">
        <f>IF(J31&lt;=0,BH32,MAX(0,$F$12+BH32-J31-BI32))</f>
        <v/>
      </c>
      <c r="BL32">
        <f>IF(K31&lt;=0,0,K31*$E$13/12)</f>
        <v/>
      </c>
      <c r="BM32">
        <f>IF(K31&lt;=0,0,MIN(K31+BL32,$F$13+BK32))</f>
        <v/>
      </c>
      <c r="BN32">
        <f>IF(K31&lt;=0,BK32,MAX(0,$F$13+BK32-K31-BL32))</f>
        <v/>
      </c>
      <c r="BO32">
        <f>IF(L31&lt;=0,0,L31*$E$14/12)</f>
        <v/>
      </c>
      <c r="BP32">
        <f>IF(L31&lt;=0,0,MIN(L31+BO32,$F$14+BN32))</f>
        <v/>
      </c>
      <c r="BQ32">
        <f>IF(L31&lt;=0,BN32,MAX(0,$F$14+BN32-L31-BO32))</f>
        <v/>
      </c>
      <c r="BR32">
        <f>IF(M31&lt;=0,0,M31*$E$15/12)</f>
        <v/>
      </c>
      <c r="BS32">
        <f>IF(M31&lt;=0,0,MIN(M31+BR32,$F$15+BQ32))</f>
        <v/>
      </c>
      <c r="BT32">
        <f>IF(M31&lt;=0,BQ32,MAX(0,$F$15+BQ32-M31-BR32))</f>
        <v/>
      </c>
      <c r="BU32">
        <f>IF(N31&lt;=0,0,N31*$E$16/12)</f>
        <v/>
      </c>
      <c r="BV32">
        <f>IF(N31&lt;=0,0,MIN(N31+BU32,$F$16+BT32))</f>
        <v/>
      </c>
      <c r="BW32">
        <f>IF(N31&lt;=0,BT32,MAX(0,$F$16+BT32-N31-BU32))</f>
        <v/>
      </c>
      <c r="BX32">
        <f>IF(O31&lt;=0,0,O31*$E$17/12)</f>
        <v/>
      </c>
      <c r="BY32">
        <f>IF(O31&lt;=0,0,MIN(O31+BX32,$F$17+BW32))</f>
        <v/>
      </c>
      <c r="BZ32">
        <f>IF(O31&lt;=0,BW32,MAX(0,$F$17+BW32-O31-BX32))</f>
        <v/>
      </c>
      <c r="CA32">
        <f>IF(P31&lt;=0,0,P31*$E$18/12)</f>
        <v/>
      </c>
      <c r="CB32">
        <f>IF(P31&lt;=0,0,MIN(P31+CA32,$F$18+BZ32))</f>
        <v/>
      </c>
      <c r="CC32">
        <f>IF(P31&lt;=0,BZ32,MAX(0,$F$18+BZ32-P31-CA32))</f>
        <v/>
      </c>
      <c r="CD32">
        <f>IF(Q31&lt;=0,0,Q31*$E$19/12)</f>
        <v/>
      </c>
      <c r="CE32">
        <f>IF(Q31&lt;=0,0,MIN(Q31+CD32,$F$19+CC32))</f>
        <v/>
      </c>
      <c r="CF32">
        <f>IF(Q31&lt;=0,CC32,MAX(0,$F$19+CC32-Q31-CD32))</f>
        <v/>
      </c>
      <c r="CG32">
        <f>IF(R31&lt;=0,0,R31*$E$20/12)</f>
        <v/>
      </c>
      <c r="CH32">
        <f>IF(R31&lt;=0,0,MIN(R31+CG32,$F$20+CF32))</f>
        <v/>
      </c>
      <c r="CI32">
        <f>IF(R31&lt;=0,CF32,MAX(0,$F$20+CF32-R31-CG32))</f>
        <v/>
      </c>
      <c r="CJ32">
        <f>IF(S31&lt;=0,0,S31*$E$21/12)</f>
        <v/>
      </c>
      <c r="CK32">
        <f>IF(S31&lt;=0,0,MIN(S31+CJ32,$F$21+CI32))</f>
        <v/>
      </c>
      <c r="CL32">
        <f>IF(S31&lt;=0,CI32,MAX(0,$F$21+CI32-S31-CJ32))</f>
        <v/>
      </c>
      <c r="CM32">
        <f>IF(T31&lt;=0,0,T31*$E$22/12)</f>
        <v/>
      </c>
      <c r="CN32">
        <f>IF(T31&lt;=0,0,MIN(T31+CM32,$F$22+CL32))</f>
        <v/>
      </c>
      <c r="CO32">
        <f>IF(T31&lt;=0,CL32,MAX(0,$F$22+CL32-T31-CM32))</f>
        <v/>
      </c>
      <c r="CP32">
        <f>IF(U31&lt;=0,0,U31*$E$23/12)</f>
        <v/>
      </c>
      <c r="CQ32">
        <f>IF(U31&lt;=0,0,MIN(U31+CP32,$F$23+CO32))</f>
        <v/>
      </c>
      <c r="CR32">
        <f>IF(U31&lt;=0,CO32,MAX(0,$F$23+CO32-U31-CP32))</f>
        <v/>
      </c>
      <c r="CS32">
        <f>IF(V31&lt;=0,0,V31*$E$24/12)</f>
        <v/>
      </c>
      <c r="CT32">
        <f>IF(V31&lt;=0,0,MIN(V31+CS32,$F$24+CR32))</f>
        <v/>
      </c>
      <c r="CU32">
        <f>IF(V31&lt;=0,CR32,MAX(0,$F$24+CR32-V31-CS32))</f>
        <v/>
      </c>
    </row>
    <row r="33">
      <c r="B33" s="39" t="n">
        <v>7</v>
      </c>
      <c r="C33" s="13">
        <f>IF(C32&lt;=0,0,MAX(0,C32+AN33-AO33))</f>
        <v/>
      </c>
      <c r="D33" s="13">
        <f>IF(D32&lt;=0,0,MAX(0,D32+AQ33-AR33))</f>
        <v/>
      </c>
      <c r="E33" s="13">
        <f>IF(E32&lt;=0,0,MAX(0,E32+AT33-AU33))</f>
        <v/>
      </c>
      <c r="F33" s="13">
        <f>IF(F32&lt;=0,0,MAX(0,F32+AW33-AX33))</f>
        <v/>
      </c>
      <c r="G33" s="13">
        <f>IF(G32&lt;=0,0,MAX(0,G32+AZ33-BA33))</f>
        <v/>
      </c>
      <c r="H33" s="13">
        <f>IF(H32&lt;=0,0,MAX(0,H32+BC33-BD33))</f>
        <v/>
      </c>
      <c r="I33" s="13">
        <f>IF(I32&lt;=0,0,MAX(0,I32+BF33-BG33))</f>
        <v/>
      </c>
      <c r="J33" s="13">
        <f>IF(J32&lt;=0,0,MAX(0,J32+BI33-BJ33))</f>
        <v/>
      </c>
      <c r="K33" s="13">
        <f>IF(K32&lt;=0,0,MAX(0,K32+BL33-BM33))</f>
        <v/>
      </c>
      <c r="L33" s="13">
        <f>IF(L32&lt;=0,0,MAX(0,L32+BO33-BP33))</f>
        <v/>
      </c>
      <c r="M33" s="13">
        <f>IF(M32&lt;=0,0,MAX(0,M32+BR33-BS33))</f>
        <v/>
      </c>
      <c r="N33" s="13">
        <f>IF(N32&lt;=0,0,MAX(0,N32+BU33-BV33))</f>
        <v/>
      </c>
      <c r="O33" s="13">
        <f>IF(O32&lt;=0,0,MAX(0,O32+BX33-BY33))</f>
        <v/>
      </c>
      <c r="P33" s="13">
        <f>IF(P32&lt;=0,0,MAX(0,P32+CA33-CB33))</f>
        <v/>
      </c>
      <c r="Q33" s="13">
        <f>IF(Q32&lt;=0,0,MAX(0,Q32+CD33-CE33))</f>
        <v/>
      </c>
      <c r="R33" s="13">
        <f>IF(R32&lt;=0,0,MAX(0,R32+CG33-CH33))</f>
        <v/>
      </c>
      <c r="S33" s="13">
        <f>IF(S32&lt;=0,0,MAX(0,S32+CJ33-CK33))</f>
        <v/>
      </c>
      <c r="T33" s="13">
        <f>IF(T32&lt;=0,0,MAX(0,T32+CM33-CN33))</f>
        <v/>
      </c>
      <c r="U33" s="13">
        <f>IF(U32&lt;=0,0,MAX(0,U32+CP33-CQ33))</f>
        <v/>
      </c>
      <c r="V33" s="13">
        <f>IF(V32&lt;=0,0,MAX(0,V32+CS33-CT33))</f>
        <v/>
      </c>
      <c r="W33" s="13">
        <f>AO33+AR33+AU33+AX33+BA33+BD33+BG33+BJ33+BM33+BP33+BS33+BV33+BY33+CB33+CE33+CH33+CK33+CN33+CQ33+CT33</f>
        <v/>
      </c>
      <c r="X33" s="13">
        <f>AN33+AQ33+AT33+AW33+AZ33+BC33+BF33+BI33+BL33+BO33+BR33+BU33+BX33+CA33+CD33+CG33+CJ33+CM33+CP33+CS33</f>
        <v/>
      </c>
      <c r="Y33" s="27">
        <f>C33+D33+E33+F33+G33+H33+I33+J33+K33+L33+M33+N33+O33+P33+Q33+R33+S33+T33+U33+V33</f>
        <v/>
      </c>
      <c r="AN33">
        <f>IF(C32&lt;=0,0,C32*$E$5/12)</f>
        <v/>
      </c>
      <c r="AO33">
        <f>IF(C32&lt;=0,0,MIN(C32+AN33,$F$5+(Dashboard!$C$11+IF(C32&lt;=0,$F$5,0)+IF(D32&lt;=0,$F$6,0)+IF(E32&lt;=0,$F$7,0)+IF(F32&lt;=0,$F$8,0)+IF(G32&lt;=0,$F$9,0)+IF(H32&lt;=0,$F$10,0)+IF(I32&lt;=0,$F$11,0)+IF(J32&lt;=0,$F$12,0)+IF(K32&lt;=0,$F$13,0)+IF(L32&lt;=0,$F$14,0)+IF(M32&lt;=0,$F$15,0)+IF(N32&lt;=0,$F$16,0)+IF(O32&lt;=0,$F$17,0)+IF(P32&lt;=0,$F$18,0)+IF(Q32&lt;=0,$F$19,0)+IF(R32&lt;=0,$F$20,0)+IF(S32&lt;=0,$F$21,0)+IF(T32&lt;=0,$F$22,0)+IF(U32&lt;=0,$F$23,0)+IF(V32&lt;=0,$F$24,0))))</f>
        <v/>
      </c>
      <c r="AP33">
        <f>IF(C32&lt;=0,(Dashboard!$C$11+IF(C32&lt;=0,$F$5,0)+IF(D32&lt;=0,$F$6,0)+IF(E32&lt;=0,$F$7,0)+IF(F32&lt;=0,$F$8,0)+IF(G32&lt;=0,$F$9,0)+IF(H32&lt;=0,$F$10,0)+IF(I32&lt;=0,$F$11,0)+IF(J32&lt;=0,$F$12,0)+IF(K32&lt;=0,$F$13,0)+IF(L32&lt;=0,$F$14,0)+IF(M32&lt;=0,$F$15,0)+IF(N32&lt;=0,$F$16,0)+IF(O32&lt;=0,$F$17,0)+IF(P32&lt;=0,$F$18,0)+IF(Q32&lt;=0,$F$19,0)+IF(R32&lt;=0,$F$20,0)+IF(S32&lt;=0,$F$21,0)+IF(T32&lt;=0,$F$22,0)+IF(U32&lt;=0,$F$23,0)+IF(V32&lt;=0,$F$24,0)),MAX(0,$F$5+(Dashboard!$C$11+IF(C32&lt;=0,$F$5,0)+IF(D32&lt;=0,$F$6,0)+IF(E32&lt;=0,$F$7,0)+IF(F32&lt;=0,$F$8,0)+IF(G32&lt;=0,$F$9,0)+IF(H32&lt;=0,$F$10,0)+IF(I32&lt;=0,$F$11,0)+IF(J32&lt;=0,$F$12,0)+IF(K32&lt;=0,$F$13,0)+IF(L32&lt;=0,$F$14,0)+IF(M32&lt;=0,$F$15,0)+IF(N32&lt;=0,$F$16,0)+IF(O32&lt;=0,$F$17,0)+IF(P32&lt;=0,$F$18,0)+IF(Q32&lt;=0,$F$19,0)+IF(R32&lt;=0,$F$20,0)+IF(S32&lt;=0,$F$21,0)+IF(T32&lt;=0,$F$22,0)+IF(U32&lt;=0,$F$23,0)+IF(V32&lt;=0,$F$24,0))-C32-AN33))</f>
        <v/>
      </c>
      <c r="AQ33">
        <f>IF(D32&lt;=0,0,D32*$E$6/12)</f>
        <v/>
      </c>
      <c r="AR33">
        <f>IF(D32&lt;=0,0,MIN(D32+AQ33,$F$6+AP33))</f>
        <v/>
      </c>
      <c r="AS33">
        <f>IF(D32&lt;=0,AP33,MAX(0,$F$6+AP33-D32-AQ33))</f>
        <v/>
      </c>
      <c r="AT33">
        <f>IF(E32&lt;=0,0,E32*$E$7/12)</f>
        <v/>
      </c>
      <c r="AU33">
        <f>IF(E32&lt;=0,0,MIN(E32+AT33,$F$7+AS33))</f>
        <v/>
      </c>
      <c r="AV33">
        <f>IF(E32&lt;=0,AS33,MAX(0,$F$7+AS33-E32-AT33))</f>
        <v/>
      </c>
      <c r="AW33">
        <f>IF(F32&lt;=0,0,F32*$E$8/12)</f>
        <v/>
      </c>
      <c r="AX33">
        <f>IF(F32&lt;=0,0,MIN(F32+AW33,$F$8+AV33))</f>
        <v/>
      </c>
      <c r="AY33">
        <f>IF(F32&lt;=0,AV33,MAX(0,$F$8+AV33-F32-AW33))</f>
        <v/>
      </c>
      <c r="AZ33">
        <f>IF(G32&lt;=0,0,G32*$E$9/12)</f>
        <v/>
      </c>
      <c r="BA33">
        <f>IF(G32&lt;=0,0,MIN(G32+AZ33,$F$9+AY33))</f>
        <v/>
      </c>
      <c r="BB33">
        <f>IF(G32&lt;=0,AY33,MAX(0,$F$9+AY33-G32-AZ33))</f>
        <v/>
      </c>
      <c r="BC33">
        <f>IF(H32&lt;=0,0,H32*$E$10/12)</f>
        <v/>
      </c>
      <c r="BD33">
        <f>IF(H32&lt;=0,0,MIN(H32+BC33,$F$10+BB33))</f>
        <v/>
      </c>
      <c r="BE33">
        <f>IF(H32&lt;=0,BB33,MAX(0,$F$10+BB33-H32-BC33))</f>
        <v/>
      </c>
      <c r="BF33">
        <f>IF(I32&lt;=0,0,I32*$E$11/12)</f>
        <v/>
      </c>
      <c r="BG33">
        <f>IF(I32&lt;=0,0,MIN(I32+BF33,$F$11+BE33))</f>
        <v/>
      </c>
      <c r="BH33">
        <f>IF(I32&lt;=0,BE33,MAX(0,$F$11+BE33-I32-BF33))</f>
        <v/>
      </c>
      <c r="BI33">
        <f>IF(J32&lt;=0,0,J32*$E$12/12)</f>
        <v/>
      </c>
      <c r="BJ33">
        <f>IF(J32&lt;=0,0,MIN(J32+BI33,$F$12+BH33))</f>
        <v/>
      </c>
      <c r="BK33">
        <f>IF(J32&lt;=0,BH33,MAX(0,$F$12+BH33-J32-BI33))</f>
        <v/>
      </c>
      <c r="BL33">
        <f>IF(K32&lt;=0,0,K32*$E$13/12)</f>
        <v/>
      </c>
      <c r="BM33">
        <f>IF(K32&lt;=0,0,MIN(K32+BL33,$F$13+BK33))</f>
        <v/>
      </c>
      <c r="BN33">
        <f>IF(K32&lt;=0,BK33,MAX(0,$F$13+BK33-K32-BL33))</f>
        <v/>
      </c>
      <c r="BO33">
        <f>IF(L32&lt;=0,0,L32*$E$14/12)</f>
        <v/>
      </c>
      <c r="BP33">
        <f>IF(L32&lt;=0,0,MIN(L32+BO33,$F$14+BN33))</f>
        <v/>
      </c>
      <c r="BQ33">
        <f>IF(L32&lt;=0,BN33,MAX(0,$F$14+BN33-L32-BO33))</f>
        <v/>
      </c>
      <c r="BR33">
        <f>IF(M32&lt;=0,0,M32*$E$15/12)</f>
        <v/>
      </c>
      <c r="BS33">
        <f>IF(M32&lt;=0,0,MIN(M32+BR33,$F$15+BQ33))</f>
        <v/>
      </c>
      <c r="BT33">
        <f>IF(M32&lt;=0,BQ33,MAX(0,$F$15+BQ33-M32-BR33))</f>
        <v/>
      </c>
      <c r="BU33">
        <f>IF(N32&lt;=0,0,N32*$E$16/12)</f>
        <v/>
      </c>
      <c r="BV33">
        <f>IF(N32&lt;=0,0,MIN(N32+BU33,$F$16+BT33))</f>
        <v/>
      </c>
      <c r="BW33">
        <f>IF(N32&lt;=0,BT33,MAX(0,$F$16+BT33-N32-BU33))</f>
        <v/>
      </c>
      <c r="BX33">
        <f>IF(O32&lt;=0,0,O32*$E$17/12)</f>
        <v/>
      </c>
      <c r="BY33">
        <f>IF(O32&lt;=0,0,MIN(O32+BX33,$F$17+BW33))</f>
        <v/>
      </c>
      <c r="BZ33">
        <f>IF(O32&lt;=0,BW33,MAX(0,$F$17+BW33-O32-BX33))</f>
        <v/>
      </c>
      <c r="CA33">
        <f>IF(P32&lt;=0,0,P32*$E$18/12)</f>
        <v/>
      </c>
      <c r="CB33">
        <f>IF(P32&lt;=0,0,MIN(P32+CA33,$F$18+BZ33))</f>
        <v/>
      </c>
      <c r="CC33">
        <f>IF(P32&lt;=0,BZ33,MAX(0,$F$18+BZ33-P32-CA33))</f>
        <v/>
      </c>
      <c r="CD33">
        <f>IF(Q32&lt;=0,0,Q32*$E$19/12)</f>
        <v/>
      </c>
      <c r="CE33">
        <f>IF(Q32&lt;=0,0,MIN(Q32+CD33,$F$19+CC33))</f>
        <v/>
      </c>
      <c r="CF33">
        <f>IF(Q32&lt;=0,CC33,MAX(0,$F$19+CC33-Q32-CD33))</f>
        <v/>
      </c>
      <c r="CG33">
        <f>IF(R32&lt;=0,0,R32*$E$20/12)</f>
        <v/>
      </c>
      <c r="CH33">
        <f>IF(R32&lt;=0,0,MIN(R32+CG33,$F$20+CF33))</f>
        <v/>
      </c>
      <c r="CI33">
        <f>IF(R32&lt;=0,CF33,MAX(0,$F$20+CF33-R32-CG33))</f>
        <v/>
      </c>
      <c r="CJ33">
        <f>IF(S32&lt;=0,0,S32*$E$21/12)</f>
        <v/>
      </c>
      <c r="CK33">
        <f>IF(S32&lt;=0,0,MIN(S32+CJ33,$F$21+CI33))</f>
        <v/>
      </c>
      <c r="CL33">
        <f>IF(S32&lt;=0,CI33,MAX(0,$F$21+CI33-S32-CJ33))</f>
        <v/>
      </c>
      <c r="CM33">
        <f>IF(T32&lt;=0,0,T32*$E$22/12)</f>
        <v/>
      </c>
      <c r="CN33">
        <f>IF(T32&lt;=0,0,MIN(T32+CM33,$F$22+CL33))</f>
        <v/>
      </c>
      <c r="CO33">
        <f>IF(T32&lt;=0,CL33,MAX(0,$F$22+CL33-T32-CM33))</f>
        <v/>
      </c>
      <c r="CP33">
        <f>IF(U32&lt;=0,0,U32*$E$23/12)</f>
        <v/>
      </c>
      <c r="CQ33">
        <f>IF(U32&lt;=0,0,MIN(U32+CP33,$F$23+CO33))</f>
        <v/>
      </c>
      <c r="CR33">
        <f>IF(U32&lt;=0,CO33,MAX(0,$F$23+CO33-U32-CP33))</f>
        <v/>
      </c>
      <c r="CS33">
        <f>IF(V32&lt;=0,0,V32*$E$24/12)</f>
        <v/>
      </c>
      <c r="CT33">
        <f>IF(V32&lt;=0,0,MIN(V32+CS33,$F$24+CR33))</f>
        <v/>
      </c>
      <c r="CU33">
        <f>IF(V32&lt;=0,CR33,MAX(0,$F$24+CR33-V32-CS33))</f>
        <v/>
      </c>
    </row>
    <row r="34">
      <c r="B34" s="39" t="n">
        <v>8</v>
      </c>
      <c r="C34" s="13">
        <f>IF(C33&lt;=0,0,MAX(0,C33+AN34-AO34))</f>
        <v/>
      </c>
      <c r="D34" s="13">
        <f>IF(D33&lt;=0,0,MAX(0,D33+AQ34-AR34))</f>
        <v/>
      </c>
      <c r="E34" s="13">
        <f>IF(E33&lt;=0,0,MAX(0,E33+AT34-AU34))</f>
        <v/>
      </c>
      <c r="F34" s="13">
        <f>IF(F33&lt;=0,0,MAX(0,F33+AW34-AX34))</f>
        <v/>
      </c>
      <c r="G34" s="13">
        <f>IF(G33&lt;=0,0,MAX(0,G33+AZ34-BA34))</f>
        <v/>
      </c>
      <c r="H34" s="13">
        <f>IF(H33&lt;=0,0,MAX(0,H33+BC34-BD34))</f>
        <v/>
      </c>
      <c r="I34" s="13">
        <f>IF(I33&lt;=0,0,MAX(0,I33+BF34-BG34))</f>
        <v/>
      </c>
      <c r="J34" s="13">
        <f>IF(J33&lt;=0,0,MAX(0,J33+BI34-BJ34))</f>
        <v/>
      </c>
      <c r="K34" s="13">
        <f>IF(K33&lt;=0,0,MAX(0,K33+BL34-BM34))</f>
        <v/>
      </c>
      <c r="L34" s="13">
        <f>IF(L33&lt;=0,0,MAX(0,L33+BO34-BP34))</f>
        <v/>
      </c>
      <c r="M34" s="13">
        <f>IF(M33&lt;=0,0,MAX(0,M33+BR34-BS34))</f>
        <v/>
      </c>
      <c r="N34" s="13">
        <f>IF(N33&lt;=0,0,MAX(0,N33+BU34-BV34))</f>
        <v/>
      </c>
      <c r="O34" s="13">
        <f>IF(O33&lt;=0,0,MAX(0,O33+BX34-BY34))</f>
        <v/>
      </c>
      <c r="P34" s="13">
        <f>IF(P33&lt;=0,0,MAX(0,P33+CA34-CB34))</f>
        <v/>
      </c>
      <c r="Q34" s="13">
        <f>IF(Q33&lt;=0,0,MAX(0,Q33+CD34-CE34))</f>
        <v/>
      </c>
      <c r="R34" s="13">
        <f>IF(R33&lt;=0,0,MAX(0,R33+CG34-CH34))</f>
        <v/>
      </c>
      <c r="S34" s="13">
        <f>IF(S33&lt;=0,0,MAX(0,S33+CJ34-CK34))</f>
        <v/>
      </c>
      <c r="T34" s="13">
        <f>IF(T33&lt;=0,0,MAX(0,T33+CM34-CN34))</f>
        <v/>
      </c>
      <c r="U34" s="13">
        <f>IF(U33&lt;=0,0,MAX(0,U33+CP34-CQ34))</f>
        <v/>
      </c>
      <c r="V34" s="13">
        <f>IF(V33&lt;=0,0,MAX(0,V33+CS34-CT34))</f>
        <v/>
      </c>
      <c r="W34" s="13">
        <f>AO34+AR34+AU34+AX34+BA34+BD34+BG34+BJ34+BM34+BP34+BS34+BV34+BY34+CB34+CE34+CH34+CK34+CN34+CQ34+CT34</f>
        <v/>
      </c>
      <c r="X34" s="13">
        <f>AN34+AQ34+AT34+AW34+AZ34+BC34+BF34+BI34+BL34+BO34+BR34+BU34+BX34+CA34+CD34+CG34+CJ34+CM34+CP34+CS34</f>
        <v/>
      </c>
      <c r="Y34" s="27">
        <f>C34+D34+E34+F34+G34+H34+I34+J34+K34+L34+M34+N34+O34+P34+Q34+R34+S34+T34+U34+V34</f>
        <v/>
      </c>
      <c r="AN34">
        <f>IF(C33&lt;=0,0,C33*$E$5/12)</f>
        <v/>
      </c>
      <c r="AO34">
        <f>IF(C33&lt;=0,0,MIN(C33+AN34,$F$5+(Dashboard!$C$11+IF(C33&lt;=0,$F$5,0)+IF(D33&lt;=0,$F$6,0)+IF(E33&lt;=0,$F$7,0)+IF(F33&lt;=0,$F$8,0)+IF(G33&lt;=0,$F$9,0)+IF(H33&lt;=0,$F$10,0)+IF(I33&lt;=0,$F$11,0)+IF(J33&lt;=0,$F$12,0)+IF(K33&lt;=0,$F$13,0)+IF(L33&lt;=0,$F$14,0)+IF(M33&lt;=0,$F$15,0)+IF(N33&lt;=0,$F$16,0)+IF(O33&lt;=0,$F$17,0)+IF(P33&lt;=0,$F$18,0)+IF(Q33&lt;=0,$F$19,0)+IF(R33&lt;=0,$F$20,0)+IF(S33&lt;=0,$F$21,0)+IF(T33&lt;=0,$F$22,0)+IF(U33&lt;=0,$F$23,0)+IF(V33&lt;=0,$F$24,0))))</f>
        <v/>
      </c>
      <c r="AP34">
        <f>IF(C33&lt;=0,(Dashboard!$C$11+IF(C33&lt;=0,$F$5,0)+IF(D33&lt;=0,$F$6,0)+IF(E33&lt;=0,$F$7,0)+IF(F33&lt;=0,$F$8,0)+IF(G33&lt;=0,$F$9,0)+IF(H33&lt;=0,$F$10,0)+IF(I33&lt;=0,$F$11,0)+IF(J33&lt;=0,$F$12,0)+IF(K33&lt;=0,$F$13,0)+IF(L33&lt;=0,$F$14,0)+IF(M33&lt;=0,$F$15,0)+IF(N33&lt;=0,$F$16,0)+IF(O33&lt;=0,$F$17,0)+IF(P33&lt;=0,$F$18,0)+IF(Q33&lt;=0,$F$19,0)+IF(R33&lt;=0,$F$20,0)+IF(S33&lt;=0,$F$21,0)+IF(T33&lt;=0,$F$22,0)+IF(U33&lt;=0,$F$23,0)+IF(V33&lt;=0,$F$24,0)),MAX(0,$F$5+(Dashboard!$C$11+IF(C33&lt;=0,$F$5,0)+IF(D33&lt;=0,$F$6,0)+IF(E33&lt;=0,$F$7,0)+IF(F33&lt;=0,$F$8,0)+IF(G33&lt;=0,$F$9,0)+IF(H33&lt;=0,$F$10,0)+IF(I33&lt;=0,$F$11,0)+IF(J33&lt;=0,$F$12,0)+IF(K33&lt;=0,$F$13,0)+IF(L33&lt;=0,$F$14,0)+IF(M33&lt;=0,$F$15,0)+IF(N33&lt;=0,$F$16,0)+IF(O33&lt;=0,$F$17,0)+IF(P33&lt;=0,$F$18,0)+IF(Q33&lt;=0,$F$19,0)+IF(R33&lt;=0,$F$20,0)+IF(S33&lt;=0,$F$21,0)+IF(T33&lt;=0,$F$22,0)+IF(U33&lt;=0,$F$23,0)+IF(V33&lt;=0,$F$24,0))-C33-AN34))</f>
        <v/>
      </c>
      <c r="AQ34">
        <f>IF(D33&lt;=0,0,D33*$E$6/12)</f>
        <v/>
      </c>
      <c r="AR34">
        <f>IF(D33&lt;=0,0,MIN(D33+AQ34,$F$6+AP34))</f>
        <v/>
      </c>
      <c r="AS34">
        <f>IF(D33&lt;=0,AP34,MAX(0,$F$6+AP34-D33-AQ34))</f>
        <v/>
      </c>
      <c r="AT34">
        <f>IF(E33&lt;=0,0,E33*$E$7/12)</f>
        <v/>
      </c>
      <c r="AU34">
        <f>IF(E33&lt;=0,0,MIN(E33+AT34,$F$7+AS34))</f>
        <v/>
      </c>
      <c r="AV34">
        <f>IF(E33&lt;=0,AS34,MAX(0,$F$7+AS34-E33-AT34))</f>
        <v/>
      </c>
      <c r="AW34">
        <f>IF(F33&lt;=0,0,F33*$E$8/12)</f>
        <v/>
      </c>
      <c r="AX34">
        <f>IF(F33&lt;=0,0,MIN(F33+AW34,$F$8+AV34))</f>
        <v/>
      </c>
      <c r="AY34">
        <f>IF(F33&lt;=0,AV34,MAX(0,$F$8+AV34-F33-AW34))</f>
        <v/>
      </c>
      <c r="AZ34">
        <f>IF(G33&lt;=0,0,G33*$E$9/12)</f>
        <v/>
      </c>
      <c r="BA34">
        <f>IF(G33&lt;=0,0,MIN(G33+AZ34,$F$9+AY34))</f>
        <v/>
      </c>
      <c r="BB34">
        <f>IF(G33&lt;=0,AY34,MAX(0,$F$9+AY34-G33-AZ34))</f>
        <v/>
      </c>
      <c r="BC34">
        <f>IF(H33&lt;=0,0,H33*$E$10/12)</f>
        <v/>
      </c>
      <c r="BD34">
        <f>IF(H33&lt;=0,0,MIN(H33+BC34,$F$10+BB34))</f>
        <v/>
      </c>
      <c r="BE34">
        <f>IF(H33&lt;=0,BB34,MAX(0,$F$10+BB34-H33-BC34))</f>
        <v/>
      </c>
      <c r="BF34">
        <f>IF(I33&lt;=0,0,I33*$E$11/12)</f>
        <v/>
      </c>
      <c r="BG34">
        <f>IF(I33&lt;=0,0,MIN(I33+BF34,$F$11+BE34))</f>
        <v/>
      </c>
      <c r="BH34">
        <f>IF(I33&lt;=0,BE34,MAX(0,$F$11+BE34-I33-BF34))</f>
        <v/>
      </c>
      <c r="BI34">
        <f>IF(J33&lt;=0,0,J33*$E$12/12)</f>
        <v/>
      </c>
      <c r="BJ34">
        <f>IF(J33&lt;=0,0,MIN(J33+BI34,$F$12+BH34))</f>
        <v/>
      </c>
      <c r="BK34">
        <f>IF(J33&lt;=0,BH34,MAX(0,$F$12+BH34-J33-BI34))</f>
        <v/>
      </c>
      <c r="BL34">
        <f>IF(K33&lt;=0,0,K33*$E$13/12)</f>
        <v/>
      </c>
      <c r="BM34">
        <f>IF(K33&lt;=0,0,MIN(K33+BL34,$F$13+BK34))</f>
        <v/>
      </c>
      <c r="BN34">
        <f>IF(K33&lt;=0,BK34,MAX(0,$F$13+BK34-K33-BL34))</f>
        <v/>
      </c>
      <c r="BO34">
        <f>IF(L33&lt;=0,0,L33*$E$14/12)</f>
        <v/>
      </c>
      <c r="BP34">
        <f>IF(L33&lt;=0,0,MIN(L33+BO34,$F$14+BN34))</f>
        <v/>
      </c>
      <c r="BQ34">
        <f>IF(L33&lt;=0,BN34,MAX(0,$F$14+BN34-L33-BO34))</f>
        <v/>
      </c>
      <c r="BR34">
        <f>IF(M33&lt;=0,0,M33*$E$15/12)</f>
        <v/>
      </c>
      <c r="BS34">
        <f>IF(M33&lt;=0,0,MIN(M33+BR34,$F$15+BQ34))</f>
        <v/>
      </c>
      <c r="BT34">
        <f>IF(M33&lt;=0,BQ34,MAX(0,$F$15+BQ34-M33-BR34))</f>
        <v/>
      </c>
      <c r="BU34">
        <f>IF(N33&lt;=0,0,N33*$E$16/12)</f>
        <v/>
      </c>
      <c r="BV34">
        <f>IF(N33&lt;=0,0,MIN(N33+BU34,$F$16+BT34))</f>
        <v/>
      </c>
      <c r="BW34">
        <f>IF(N33&lt;=0,BT34,MAX(0,$F$16+BT34-N33-BU34))</f>
        <v/>
      </c>
      <c r="BX34">
        <f>IF(O33&lt;=0,0,O33*$E$17/12)</f>
        <v/>
      </c>
      <c r="BY34">
        <f>IF(O33&lt;=0,0,MIN(O33+BX34,$F$17+BW34))</f>
        <v/>
      </c>
      <c r="BZ34">
        <f>IF(O33&lt;=0,BW34,MAX(0,$F$17+BW34-O33-BX34))</f>
        <v/>
      </c>
      <c r="CA34">
        <f>IF(P33&lt;=0,0,P33*$E$18/12)</f>
        <v/>
      </c>
      <c r="CB34">
        <f>IF(P33&lt;=0,0,MIN(P33+CA34,$F$18+BZ34))</f>
        <v/>
      </c>
      <c r="CC34">
        <f>IF(P33&lt;=0,BZ34,MAX(0,$F$18+BZ34-P33-CA34))</f>
        <v/>
      </c>
      <c r="CD34">
        <f>IF(Q33&lt;=0,0,Q33*$E$19/12)</f>
        <v/>
      </c>
      <c r="CE34">
        <f>IF(Q33&lt;=0,0,MIN(Q33+CD34,$F$19+CC34))</f>
        <v/>
      </c>
      <c r="CF34">
        <f>IF(Q33&lt;=0,CC34,MAX(0,$F$19+CC34-Q33-CD34))</f>
        <v/>
      </c>
      <c r="CG34">
        <f>IF(R33&lt;=0,0,R33*$E$20/12)</f>
        <v/>
      </c>
      <c r="CH34">
        <f>IF(R33&lt;=0,0,MIN(R33+CG34,$F$20+CF34))</f>
        <v/>
      </c>
      <c r="CI34">
        <f>IF(R33&lt;=0,CF34,MAX(0,$F$20+CF34-R33-CG34))</f>
        <v/>
      </c>
      <c r="CJ34">
        <f>IF(S33&lt;=0,0,S33*$E$21/12)</f>
        <v/>
      </c>
      <c r="CK34">
        <f>IF(S33&lt;=0,0,MIN(S33+CJ34,$F$21+CI34))</f>
        <v/>
      </c>
      <c r="CL34">
        <f>IF(S33&lt;=0,CI34,MAX(0,$F$21+CI34-S33-CJ34))</f>
        <v/>
      </c>
      <c r="CM34">
        <f>IF(T33&lt;=0,0,T33*$E$22/12)</f>
        <v/>
      </c>
      <c r="CN34">
        <f>IF(T33&lt;=0,0,MIN(T33+CM34,$F$22+CL34))</f>
        <v/>
      </c>
      <c r="CO34">
        <f>IF(T33&lt;=0,CL34,MAX(0,$F$22+CL34-T33-CM34))</f>
        <v/>
      </c>
      <c r="CP34">
        <f>IF(U33&lt;=0,0,U33*$E$23/12)</f>
        <v/>
      </c>
      <c r="CQ34">
        <f>IF(U33&lt;=0,0,MIN(U33+CP34,$F$23+CO34))</f>
        <v/>
      </c>
      <c r="CR34">
        <f>IF(U33&lt;=0,CO34,MAX(0,$F$23+CO34-U33-CP34))</f>
        <v/>
      </c>
      <c r="CS34">
        <f>IF(V33&lt;=0,0,V33*$E$24/12)</f>
        <v/>
      </c>
      <c r="CT34">
        <f>IF(V33&lt;=0,0,MIN(V33+CS34,$F$24+CR34))</f>
        <v/>
      </c>
      <c r="CU34">
        <f>IF(V33&lt;=0,CR34,MAX(0,$F$24+CR34-V33-CS34))</f>
        <v/>
      </c>
    </row>
    <row r="35">
      <c r="B35" s="39" t="n">
        <v>9</v>
      </c>
      <c r="C35" s="13">
        <f>IF(C34&lt;=0,0,MAX(0,C34+AN35-AO35))</f>
        <v/>
      </c>
      <c r="D35" s="13">
        <f>IF(D34&lt;=0,0,MAX(0,D34+AQ35-AR35))</f>
        <v/>
      </c>
      <c r="E35" s="13">
        <f>IF(E34&lt;=0,0,MAX(0,E34+AT35-AU35))</f>
        <v/>
      </c>
      <c r="F35" s="13">
        <f>IF(F34&lt;=0,0,MAX(0,F34+AW35-AX35))</f>
        <v/>
      </c>
      <c r="G35" s="13">
        <f>IF(G34&lt;=0,0,MAX(0,G34+AZ35-BA35))</f>
        <v/>
      </c>
      <c r="H35" s="13">
        <f>IF(H34&lt;=0,0,MAX(0,H34+BC35-BD35))</f>
        <v/>
      </c>
      <c r="I35" s="13">
        <f>IF(I34&lt;=0,0,MAX(0,I34+BF35-BG35))</f>
        <v/>
      </c>
      <c r="J35" s="13">
        <f>IF(J34&lt;=0,0,MAX(0,J34+BI35-BJ35))</f>
        <v/>
      </c>
      <c r="K35" s="13">
        <f>IF(K34&lt;=0,0,MAX(0,K34+BL35-BM35))</f>
        <v/>
      </c>
      <c r="L35" s="13">
        <f>IF(L34&lt;=0,0,MAX(0,L34+BO35-BP35))</f>
        <v/>
      </c>
      <c r="M35" s="13">
        <f>IF(M34&lt;=0,0,MAX(0,M34+BR35-BS35))</f>
        <v/>
      </c>
      <c r="N35" s="13">
        <f>IF(N34&lt;=0,0,MAX(0,N34+BU35-BV35))</f>
        <v/>
      </c>
      <c r="O35" s="13">
        <f>IF(O34&lt;=0,0,MAX(0,O34+BX35-BY35))</f>
        <v/>
      </c>
      <c r="P35" s="13">
        <f>IF(P34&lt;=0,0,MAX(0,P34+CA35-CB35))</f>
        <v/>
      </c>
      <c r="Q35" s="13">
        <f>IF(Q34&lt;=0,0,MAX(0,Q34+CD35-CE35))</f>
        <v/>
      </c>
      <c r="R35" s="13">
        <f>IF(R34&lt;=0,0,MAX(0,R34+CG35-CH35))</f>
        <v/>
      </c>
      <c r="S35" s="13">
        <f>IF(S34&lt;=0,0,MAX(0,S34+CJ35-CK35))</f>
        <v/>
      </c>
      <c r="T35" s="13">
        <f>IF(T34&lt;=0,0,MAX(0,T34+CM35-CN35))</f>
        <v/>
      </c>
      <c r="U35" s="13">
        <f>IF(U34&lt;=0,0,MAX(0,U34+CP35-CQ35))</f>
        <v/>
      </c>
      <c r="V35" s="13">
        <f>IF(V34&lt;=0,0,MAX(0,V34+CS35-CT35))</f>
        <v/>
      </c>
      <c r="W35" s="13">
        <f>AO35+AR35+AU35+AX35+BA35+BD35+BG35+BJ35+BM35+BP35+BS35+BV35+BY35+CB35+CE35+CH35+CK35+CN35+CQ35+CT35</f>
        <v/>
      </c>
      <c r="X35" s="13">
        <f>AN35+AQ35+AT35+AW35+AZ35+BC35+BF35+BI35+BL35+BO35+BR35+BU35+BX35+CA35+CD35+CG35+CJ35+CM35+CP35+CS35</f>
        <v/>
      </c>
      <c r="Y35" s="27">
        <f>C35+D35+E35+F35+G35+H35+I35+J35+K35+L35+M35+N35+O35+P35+Q35+R35+S35+T35+U35+V35</f>
        <v/>
      </c>
      <c r="AN35">
        <f>IF(C34&lt;=0,0,C34*$E$5/12)</f>
        <v/>
      </c>
      <c r="AO35">
        <f>IF(C34&lt;=0,0,MIN(C34+AN35,$F$5+(Dashboard!$C$11+IF(C34&lt;=0,$F$5,0)+IF(D34&lt;=0,$F$6,0)+IF(E34&lt;=0,$F$7,0)+IF(F34&lt;=0,$F$8,0)+IF(G34&lt;=0,$F$9,0)+IF(H34&lt;=0,$F$10,0)+IF(I34&lt;=0,$F$11,0)+IF(J34&lt;=0,$F$12,0)+IF(K34&lt;=0,$F$13,0)+IF(L34&lt;=0,$F$14,0)+IF(M34&lt;=0,$F$15,0)+IF(N34&lt;=0,$F$16,0)+IF(O34&lt;=0,$F$17,0)+IF(P34&lt;=0,$F$18,0)+IF(Q34&lt;=0,$F$19,0)+IF(R34&lt;=0,$F$20,0)+IF(S34&lt;=0,$F$21,0)+IF(T34&lt;=0,$F$22,0)+IF(U34&lt;=0,$F$23,0)+IF(V34&lt;=0,$F$24,0))))</f>
        <v/>
      </c>
      <c r="AP35">
        <f>IF(C34&lt;=0,(Dashboard!$C$11+IF(C34&lt;=0,$F$5,0)+IF(D34&lt;=0,$F$6,0)+IF(E34&lt;=0,$F$7,0)+IF(F34&lt;=0,$F$8,0)+IF(G34&lt;=0,$F$9,0)+IF(H34&lt;=0,$F$10,0)+IF(I34&lt;=0,$F$11,0)+IF(J34&lt;=0,$F$12,0)+IF(K34&lt;=0,$F$13,0)+IF(L34&lt;=0,$F$14,0)+IF(M34&lt;=0,$F$15,0)+IF(N34&lt;=0,$F$16,0)+IF(O34&lt;=0,$F$17,0)+IF(P34&lt;=0,$F$18,0)+IF(Q34&lt;=0,$F$19,0)+IF(R34&lt;=0,$F$20,0)+IF(S34&lt;=0,$F$21,0)+IF(T34&lt;=0,$F$22,0)+IF(U34&lt;=0,$F$23,0)+IF(V34&lt;=0,$F$24,0)),MAX(0,$F$5+(Dashboard!$C$11+IF(C34&lt;=0,$F$5,0)+IF(D34&lt;=0,$F$6,0)+IF(E34&lt;=0,$F$7,0)+IF(F34&lt;=0,$F$8,0)+IF(G34&lt;=0,$F$9,0)+IF(H34&lt;=0,$F$10,0)+IF(I34&lt;=0,$F$11,0)+IF(J34&lt;=0,$F$12,0)+IF(K34&lt;=0,$F$13,0)+IF(L34&lt;=0,$F$14,0)+IF(M34&lt;=0,$F$15,0)+IF(N34&lt;=0,$F$16,0)+IF(O34&lt;=0,$F$17,0)+IF(P34&lt;=0,$F$18,0)+IF(Q34&lt;=0,$F$19,0)+IF(R34&lt;=0,$F$20,0)+IF(S34&lt;=0,$F$21,0)+IF(T34&lt;=0,$F$22,0)+IF(U34&lt;=0,$F$23,0)+IF(V34&lt;=0,$F$24,0))-C34-AN35))</f>
        <v/>
      </c>
      <c r="AQ35">
        <f>IF(D34&lt;=0,0,D34*$E$6/12)</f>
        <v/>
      </c>
      <c r="AR35">
        <f>IF(D34&lt;=0,0,MIN(D34+AQ35,$F$6+AP35))</f>
        <v/>
      </c>
      <c r="AS35">
        <f>IF(D34&lt;=0,AP35,MAX(0,$F$6+AP35-D34-AQ35))</f>
        <v/>
      </c>
      <c r="AT35">
        <f>IF(E34&lt;=0,0,E34*$E$7/12)</f>
        <v/>
      </c>
      <c r="AU35">
        <f>IF(E34&lt;=0,0,MIN(E34+AT35,$F$7+AS35))</f>
        <v/>
      </c>
      <c r="AV35">
        <f>IF(E34&lt;=0,AS35,MAX(0,$F$7+AS35-E34-AT35))</f>
        <v/>
      </c>
      <c r="AW35">
        <f>IF(F34&lt;=0,0,F34*$E$8/12)</f>
        <v/>
      </c>
      <c r="AX35">
        <f>IF(F34&lt;=0,0,MIN(F34+AW35,$F$8+AV35))</f>
        <v/>
      </c>
      <c r="AY35">
        <f>IF(F34&lt;=0,AV35,MAX(0,$F$8+AV35-F34-AW35))</f>
        <v/>
      </c>
      <c r="AZ35">
        <f>IF(G34&lt;=0,0,G34*$E$9/12)</f>
        <v/>
      </c>
      <c r="BA35">
        <f>IF(G34&lt;=0,0,MIN(G34+AZ35,$F$9+AY35))</f>
        <v/>
      </c>
      <c r="BB35">
        <f>IF(G34&lt;=0,AY35,MAX(0,$F$9+AY35-G34-AZ35))</f>
        <v/>
      </c>
      <c r="BC35">
        <f>IF(H34&lt;=0,0,H34*$E$10/12)</f>
        <v/>
      </c>
      <c r="BD35">
        <f>IF(H34&lt;=0,0,MIN(H34+BC35,$F$10+BB35))</f>
        <v/>
      </c>
      <c r="BE35">
        <f>IF(H34&lt;=0,BB35,MAX(0,$F$10+BB35-H34-BC35))</f>
        <v/>
      </c>
      <c r="BF35">
        <f>IF(I34&lt;=0,0,I34*$E$11/12)</f>
        <v/>
      </c>
      <c r="BG35">
        <f>IF(I34&lt;=0,0,MIN(I34+BF35,$F$11+BE35))</f>
        <v/>
      </c>
      <c r="BH35">
        <f>IF(I34&lt;=0,BE35,MAX(0,$F$11+BE35-I34-BF35))</f>
        <v/>
      </c>
      <c r="BI35">
        <f>IF(J34&lt;=0,0,J34*$E$12/12)</f>
        <v/>
      </c>
      <c r="BJ35">
        <f>IF(J34&lt;=0,0,MIN(J34+BI35,$F$12+BH35))</f>
        <v/>
      </c>
      <c r="BK35">
        <f>IF(J34&lt;=0,BH35,MAX(0,$F$12+BH35-J34-BI35))</f>
        <v/>
      </c>
      <c r="BL35">
        <f>IF(K34&lt;=0,0,K34*$E$13/12)</f>
        <v/>
      </c>
      <c r="BM35">
        <f>IF(K34&lt;=0,0,MIN(K34+BL35,$F$13+BK35))</f>
        <v/>
      </c>
      <c r="BN35">
        <f>IF(K34&lt;=0,BK35,MAX(0,$F$13+BK35-K34-BL35))</f>
        <v/>
      </c>
      <c r="BO35">
        <f>IF(L34&lt;=0,0,L34*$E$14/12)</f>
        <v/>
      </c>
      <c r="BP35">
        <f>IF(L34&lt;=0,0,MIN(L34+BO35,$F$14+BN35))</f>
        <v/>
      </c>
      <c r="BQ35">
        <f>IF(L34&lt;=0,BN35,MAX(0,$F$14+BN35-L34-BO35))</f>
        <v/>
      </c>
      <c r="BR35">
        <f>IF(M34&lt;=0,0,M34*$E$15/12)</f>
        <v/>
      </c>
      <c r="BS35">
        <f>IF(M34&lt;=0,0,MIN(M34+BR35,$F$15+BQ35))</f>
        <v/>
      </c>
      <c r="BT35">
        <f>IF(M34&lt;=0,BQ35,MAX(0,$F$15+BQ35-M34-BR35))</f>
        <v/>
      </c>
      <c r="BU35">
        <f>IF(N34&lt;=0,0,N34*$E$16/12)</f>
        <v/>
      </c>
      <c r="BV35">
        <f>IF(N34&lt;=0,0,MIN(N34+BU35,$F$16+BT35))</f>
        <v/>
      </c>
      <c r="BW35">
        <f>IF(N34&lt;=0,BT35,MAX(0,$F$16+BT35-N34-BU35))</f>
        <v/>
      </c>
      <c r="BX35">
        <f>IF(O34&lt;=0,0,O34*$E$17/12)</f>
        <v/>
      </c>
      <c r="BY35">
        <f>IF(O34&lt;=0,0,MIN(O34+BX35,$F$17+BW35))</f>
        <v/>
      </c>
      <c r="BZ35">
        <f>IF(O34&lt;=0,BW35,MAX(0,$F$17+BW35-O34-BX35))</f>
        <v/>
      </c>
      <c r="CA35">
        <f>IF(P34&lt;=0,0,P34*$E$18/12)</f>
        <v/>
      </c>
      <c r="CB35">
        <f>IF(P34&lt;=0,0,MIN(P34+CA35,$F$18+BZ35))</f>
        <v/>
      </c>
      <c r="CC35">
        <f>IF(P34&lt;=0,BZ35,MAX(0,$F$18+BZ35-P34-CA35))</f>
        <v/>
      </c>
      <c r="CD35">
        <f>IF(Q34&lt;=0,0,Q34*$E$19/12)</f>
        <v/>
      </c>
      <c r="CE35">
        <f>IF(Q34&lt;=0,0,MIN(Q34+CD35,$F$19+CC35))</f>
        <v/>
      </c>
      <c r="CF35">
        <f>IF(Q34&lt;=0,CC35,MAX(0,$F$19+CC35-Q34-CD35))</f>
        <v/>
      </c>
      <c r="CG35">
        <f>IF(R34&lt;=0,0,R34*$E$20/12)</f>
        <v/>
      </c>
      <c r="CH35">
        <f>IF(R34&lt;=0,0,MIN(R34+CG35,$F$20+CF35))</f>
        <v/>
      </c>
      <c r="CI35">
        <f>IF(R34&lt;=0,CF35,MAX(0,$F$20+CF35-R34-CG35))</f>
        <v/>
      </c>
      <c r="CJ35">
        <f>IF(S34&lt;=0,0,S34*$E$21/12)</f>
        <v/>
      </c>
      <c r="CK35">
        <f>IF(S34&lt;=0,0,MIN(S34+CJ35,$F$21+CI35))</f>
        <v/>
      </c>
      <c r="CL35">
        <f>IF(S34&lt;=0,CI35,MAX(0,$F$21+CI35-S34-CJ35))</f>
        <v/>
      </c>
      <c r="CM35">
        <f>IF(T34&lt;=0,0,T34*$E$22/12)</f>
        <v/>
      </c>
      <c r="CN35">
        <f>IF(T34&lt;=0,0,MIN(T34+CM35,$F$22+CL35))</f>
        <v/>
      </c>
      <c r="CO35">
        <f>IF(T34&lt;=0,CL35,MAX(0,$F$22+CL35-T34-CM35))</f>
        <v/>
      </c>
      <c r="CP35">
        <f>IF(U34&lt;=0,0,U34*$E$23/12)</f>
        <v/>
      </c>
      <c r="CQ35">
        <f>IF(U34&lt;=0,0,MIN(U34+CP35,$F$23+CO35))</f>
        <v/>
      </c>
      <c r="CR35">
        <f>IF(U34&lt;=0,CO35,MAX(0,$F$23+CO35-U34-CP35))</f>
        <v/>
      </c>
      <c r="CS35">
        <f>IF(V34&lt;=0,0,V34*$E$24/12)</f>
        <v/>
      </c>
      <c r="CT35">
        <f>IF(V34&lt;=0,0,MIN(V34+CS35,$F$24+CR35))</f>
        <v/>
      </c>
      <c r="CU35">
        <f>IF(V34&lt;=0,CR35,MAX(0,$F$24+CR35-V34-CS35))</f>
        <v/>
      </c>
    </row>
    <row r="36">
      <c r="B36" s="39" t="n">
        <v>10</v>
      </c>
      <c r="C36" s="13">
        <f>IF(C35&lt;=0,0,MAX(0,C35+AN36-AO36))</f>
        <v/>
      </c>
      <c r="D36" s="13">
        <f>IF(D35&lt;=0,0,MAX(0,D35+AQ36-AR36))</f>
        <v/>
      </c>
      <c r="E36" s="13">
        <f>IF(E35&lt;=0,0,MAX(0,E35+AT36-AU36))</f>
        <v/>
      </c>
      <c r="F36" s="13">
        <f>IF(F35&lt;=0,0,MAX(0,F35+AW36-AX36))</f>
        <v/>
      </c>
      <c r="G36" s="13">
        <f>IF(G35&lt;=0,0,MAX(0,G35+AZ36-BA36))</f>
        <v/>
      </c>
      <c r="H36" s="13">
        <f>IF(H35&lt;=0,0,MAX(0,H35+BC36-BD36))</f>
        <v/>
      </c>
      <c r="I36" s="13">
        <f>IF(I35&lt;=0,0,MAX(0,I35+BF36-BG36))</f>
        <v/>
      </c>
      <c r="J36" s="13">
        <f>IF(J35&lt;=0,0,MAX(0,J35+BI36-BJ36))</f>
        <v/>
      </c>
      <c r="K36" s="13">
        <f>IF(K35&lt;=0,0,MAX(0,K35+BL36-BM36))</f>
        <v/>
      </c>
      <c r="L36" s="13">
        <f>IF(L35&lt;=0,0,MAX(0,L35+BO36-BP36))</f>
        <v/>
      </c>
      <c r="M36" s="13">
        <f>IF(M35&lt;=0,0,MAX(0,M35+BR36-BS36))</f>
        <v/>
      </c>
      <c r="N36" s="13">
        <f>IF(N35&lt;=0,0,MAX(0,N35+BU36-BV36))</f>
        <v/>
      </c>
      <c r="O36" s="13">
        <f>IF(O35&lt;=0,0,MAX(0,O35+BX36-BY36))</f>
        <v/>
      </c>
      <c r="P36" s="13">
        <f>IF(P35&lt;=0,0,MAX(0,P35+CA36-CB36))</f>
        <v/>
      </c>
      <c r="Q36" s="13">
        <f>IF(Q35&lt;=0,0,MAX(0,Q35+CD36-CE36))</f>
        <v/>
      </c>
      <c r="R36" s="13">
        <f>IF(R35&lt;=0,0,MAX(0,R35+CG36-CH36))</f>
        <v/>
      </c>
      <c r="S36" s="13">
        <f>IF(S35&lt;=0,0,MAX(0,S35+CJ36-CK36))</f>
        <v/>
      </c>
      <c r="T36" s="13">
        <f>IF(T35&lt;=0,0,MAX(0,T35+CM36-CN36))</f>
        <v/>
      </c>
      <c r="U36" s="13">
        <f>IF(U35&lt;=0,0,MAX(0,U35+CP36-CQ36))</f>
        <v/>
      </c>
      <c r="V36" s="13">
        <f>IF(V35&lt;=0,0,MAX(0,V35+CS36-CT36))</f>
        <v/>
      </c>
      <c r="W36" s="13">
        <f>AO36+AR36+AU36+AX36+BA36+BD36+BG36+BJ36+BM36+BP36+BS36+BV36+BY36+CB36+CE36+CH36+CK36+CN36+CQ36+CT36</f>
        <v/>
      </c>
      <c r="X36" s="13">
        <f>AN36+AQ36+AT36+AW36+AZ36+BC36+BF36+BI36+BL36+BO36+BR36+BU36+BX36+CA36+CD36+CG36+CJ36+CM36+CP36+CS36</f>
        <v/>
      </c>
      <c r="Y36" s="27">
        <f>C36+D36+E36+F36+G36+H36+I36+J36+K36+L36+M36+N36+O36+P36+Q36+R36+S36+T36+U36+V36</f>
        <v/>
      </c>
      <c r="AN36">
        <f>IF(C35&lt;=0,0,C35*$E$5/12)</f>
        <v/>
      </c>
      <c r="AO36">
        <f>IF(C35&lt;=0,0,MIN(C35+AN36,$F$5+(Dashboard!$C$11+IF(C35&lt;=0,$F$5,0)+IF(D35&lt;=0,$F$6,0)+IF(E35&lt;=0,$F$7,0)+IF(F35&lt;=0,$F$8,0)+IF(G35&lt;=0,$F$9,0)+IF(H35&lt;=0,$F$10,0)+IF(I35&lt;=0,$F$11,0)+IF(J35&lt;=0,$F$12,0)+IF(K35&lt;=0,$F$13,0)+IF(L35&lt;=0,$F$14,0)+IF(M35&lt;=0,$F$15,0)+IF(N35&lt;=0,$F$16,0)+IF(O35&lt;=0,$F$17,0)+IF(P35&lt;=0,$F$18,0)+IF(Q35&lt;=0,$F$19,0)+IF(R35&lt;=0,$F$20,0)+IF(S35&lt;=0,$F$21,0)+IF(T35&lt;=0,$F$22,0)+IF(U35&lt;=0,$F$23,0)+IF(V35&lt;=0,$F$24,0))))</f>
        <v/>
      </c>
      <c r="AP36">
        <f>IF(C35&lt;=0,(Dashboard!$C$11+IF(C35&lt;=0,$F$5,0)+IF(D35&lt;=0,$F$6,0)+IF(E35&lt;=0,$F$7,0)+IF(F35&lt;=0,$F$8,0)+IF(G35&lt;=0,$F$9,0)+IF(H35&lt;=0,$F$10,0)+IF(I35&lt;=0,$F$11,0)+IF(J35&lt;=0,$F$12,0)+IF(K35&lt;=0,$F$13,0)+IF(L35&lt;=0,$F$14,0)+IF(M35&lt;=0,$F$15,0)+IF(N35&lt;=0,$F$16,0)+IF(O35&lt;=0,$F$17,0)+IF(P35&lt;=0,$F$18,0)+IF(Q35&lt;=0,$F$19,0)+IF(R35&lt;=0,$F$20,0)+IF(S35&lt;=0,$F$21,0)+IF(T35&lt;=0,$F$22,0)+IF(U35&lt;=0,$F$23,0)+IF(V35&lt;=0,$F$24,0)),MAX(0,$F$5+(Dashboard!$C$11+IF(C35&lt;=0,$F$5,0)+IF(D35&lt;=0,$F$6,0)+IF(E35&lt;=0,$F$7,0)+IF(F35&lt;=0,$F$8,0)+IF(G35&lt;=0,$F$9,0)+IF(H35&lt;=0,$F$10,0)+IF(I35&lt;=0,$F$11,0)+IF(J35&lt;=0,$F$12,0)+IF(K35&lt;=0,$F$13,0)+IF(L35&lt;=0,$F$14,0)+IF(M35&lt;=0,$F$15,0)+IF(N35&lt;=0,$F$16,0)+IF(O35&lt;=0,$F$17,0)+IF(P35&lt;=0,$F$18,0)+IF(Q35&lt;=0,$F$19,0)+IF(R35&lt;=0,$F$20,0)+IF(S35&lt;=0,$F$21,0)+IF(T35&lt;=0,$F$22,0)+IF(U35&lt;=0,$F$23,0)+IF(V35&lt;=0,$F$24,0))-C35-AN36))</f>
        <v/>
      </c>
      <c r="AQ36">
        <f>IF(D35&lt;=0,0,D35*$E$6/12)</f>
        <v/>
      </c>
      <c r="AR36">
        <f>IF(D35&lt;=0,0,MIN(D35+AQ36,$F$6+AP36))</f>
        <v/>
      </c>
      <c r="AS36">
        <f>IF(D35&lt;=0,AP36,MAX(0,$F$6+AP36-D35-AQ36))</f>
        <v/>
      </c>
      <c r="AT36">
        <f>IF(E35&lt;=0,0,E35*$E$7/12)</f>
        <v/>
      </c>
      <c r="AU36">
        <f>IF(E35&lt;=0,0,MIN(E35+AT36,$F$7+AS36))</f>
        <v/>
      </c>
      <c r="AV36">
        <f>IF(E35&lt;=0,AS36,MAX(0,$F$7+AS36-E35-AT36))</f>
        <v/>
      </c>
      <c r="AW36">
        <f>IF(F35&lt;=0,0,F35*$E$8/12)</f>
        <v/>
      </c>
      <c r="AX36">
        <f>IF(F35&lt;=0,0,MIN(F35+AW36,$F$8+AV36))</f>
        <v/>
      </c>
      <c r="AY36">
        <f>IF(F35&lt;=0,AV36,MAX(0,$F$8+AV36-F35-AW36))</f>
        <v/>
      </c>
      <c r="AZ36">
        <f>IF(G35&lt;=0,0,G35*$E$9/12)</f>
        <v/>
      </c>
      <c r="BA36">
        <f>IF(G35&lt;=0,0,MIN(G35+AZ36,$F$9+AY36))</f>
        <v/>
      </c>
      <c r="BB36">
        <f>IF(G35&lt;=0,AY36,MAX(0,$F$9+AY36-G35-AZ36))</f>
        <v/>
      </c>
      <c r="BC36">
        <f>IF(H35&lt;=0,0,H35*$E$10/12)</f>
        <v/>
      </c>
      <c r="BD36">
        <f>IF(H35&lt;=0,0,MIN(H35+BC36,$F$10+BB36))</f>
        <v/>
      </c>
      <c r="BE36">
        <f>IF(H35&lt;=0,BB36,MAX(0,$F$10+BB36-H35-BC36))</f>
        <v/>
      </c>
      <c r="BF36">
        <f>IF(I35&lt;=0,0,I35*$E$11/12)</f>
        <v/>
      </c>
      <c r="BG36">
        <f>IF(I35&lt;=0,0,MIN(I35+BF36,$F$11+BE36))</f>
        <v/>
      </c>
      <c r="BH36">
        <f>IF(I35&lt;=0,BE36,MAX(0,$F$11+BE36-I35-BF36))</f>
        <v/>
      </c>
      <c r="BI36">
        <f>IF(J35&lt;=0,0,J35*$E$12/12)</f>
        <v/>
      </c>
      <c r="BJ36">
        <f>IF(J35&lt;=0,0,MIN(J35+BI36,$F$12+BH36))</f>
        <v/>
      </c>
      <c r="BK36">
        <f>IF(J35&lt;=0,BH36,MAX(0,$F$12+BH36-J35-BI36))</f>
        <v/>
      </c>
      <c r="BL36">
        <f>IF(K35&lt;=0,0,K35*$E$13/12)</f>
        <v/>
      </c>
      <c r="BM36">
        <f>IF(K35&lt;=0,0,MIN(K35+BL36,$F$13+BK36))</f>
        <v/>
      </c>
      <c r="BN36">
        <f>IF(K35&lt;=0,BK36,MAX(0,$F$13+BK36-K35-BL36))</f>
        <v/>
      </c>
      <c r="BO36">
        <f>IF(L35&lt;=0,0,L35*$E$14/12)</f>
        <v/>
      </c>
      <c r="BP36">
        <f>IF(L35&lt;=0,0,MIN(L35+BO36,$F$14+BN36))</f>
        <v/>
      </c>
      <c r="BQ36">
        <f>IF(L35&lt;=0,BN36,MAX(0,$F$14+BN36-L35-BO36))</f>
        <v/>
      </c>
      <c r="BR36">
        <f>IF(M35&lt;=0,0,M35*$E$15/12)</f>
        <v/>
      </c>
      <c r="BS36">
        <f>IF(M35&lt;=0,0,MIN(M35+BR36,$F$15+BQ36))</f>
        <v/>
      </c>
      <c r="BT36">
        <f>IF(M35&lt;=0,BQ36,MAX(0,$F$15+BQ36-M35-BR36))</f>
        <v/>
      </c>
      <c r="BU36">
        <f>IF(N35&lt;=0,0,N35*$E$16/12)</f>
        <v/>
      </c>
      <c r="BV36">
        <f>IF(N35&lt;=0,0,MIN(N35+BU36,$F$16+BT36))</f>
        <v/>
      </c>
      <c r="BW36">
        <f>IF(N35&lt;=0,BT36,MAX(0,$F$16+BT36-N35-BU36))</f>
        <v/>
      </c>
      <c r="BX36">
        <f>IF(O35&lt;=0,0,O35*$E$17/12)</f>
        <v/>
      </c>
      <c r="BY36">
        <f>IF(O35&lt;=0,0,MIN(O35+BX36,$F$17+BW36))</f>
        <v/>
      </c>
      <c r="BZ36">
        <f>IF(O35&lt;=0,BW36,MAX(0,$F$17+BW36-O35-BX36))</f>
        <v/>
      </c>
      <c r="CA36">
        <f>IF(P35&lt;=0,0,P35*$E$18/12)</f>
        <v/>
      </c>
      <c r="CB36">
        <f>IF(P35&lt;=0,0,MIN(P35+CA36,$F$18+BZ36))</f>
        <v/>
      </c>
      <c r="CC36">
        <f>IF(P35&lt;=0,BZ36,MAX(0,$F$18+BZ36-P35-CA36))</f>
        <v/>
      </c>
      <c r="CD36">
        <f>IF(Q35&lt;=0,0,Q35*$E$19/12)</f>
        <v/>
      </c>
      <c r="CE36">
        <f>IF(Q35&lt;=0,0,MIN(Q35+CD36,$F$19+CC36))</f>
        <v/>
      </c>
      <c r="CF36">
        <f>IF(Q35&lt;=0,CC36,MAX(0,$F$19+CC36-Q35-CD36))</f>
        <v/>
      </c>
      <c r="CG36">
        <f>IF(R35&lt;=0,0,R35*$E$20/12)</f>
        <v/>
      </c>
      <c r="CH36">
        <f>IF(R35&lt;=0,0,MIN(R35+CG36,$F$20+CF36))</f>
        <v/>
      </c>
      <c r="CI36">
        <f>IF(R35&lt;=0,CF36,MAX(0,$F$20+CF36-R35-CG36))</f>
        <v/>
      </c>
      <c r="CJ36">
        <f>IF(S35&lt;=0,0,S35*$E$21/12)</f>
        <v/>
      </c>
      <c r="CK36">
        <f>IF(S35&lt;=0,0,MIN(S35+CJ36,$F$21+CI36))</f>
        <v/>
      </c>
      <c r="CL36">
        <f>IF(S35&lt;=0,CI36,MAX(0,$F$21+CI36-S35-CJ36))</f>
        <v/>
      </c>
      <c r="CM36">
        <f>IF(T35&lt;=0,0,T35*$E$22/12)</f>
        <v/>
      </c>
      <c r="CN36">
        <f>IF(T35&lt;=0,0,MIN(T35+CM36,$F$22+CL36))</f>
        <v/>
      </c>
      <c r="CO36">
        <f>IF(T35&lt;=0,CL36,MAX(0,$F$22+CL36-T35-CM36))</f>
        <v/>
      </c>
      <c r="CP36">
        <f>IF(U35&lt;=0,0,U35*$E$23/12)</f>
        <v/>
      </c>
      <c r="CQ36">
        <f>IF(U35&lt;=0,0,MIN(U35+CP36,$F$23+CO36))</f>
        <v/>
      </c>
      <c r="CR36">
        <f>IF(U35&lt;=0,CO36,MAX(0,$F$23+CO36-U35-CP36))</f>
        <v/>
      </c>
      <c r="CS36">
        <f>IF(V35&lt;=0,0,V35*$E$24/12)</f>
        <v/>
      </c>
      <c r="CT36">
        <f>IF(V35&lt;=0,0,MIN(V35+CS36,$F$24+CR36))</f>
        <v/>
      </c>
      <c r="CU36">
        <f>IF(V35&lt;=0,CR36,MAX(0,$F$24+CR36-V35-CS36))</f>
        <v/>
      </c>
    </row>
    <row r="37">
      <c r="B37" s="39" t="n">
        <v>11</v>
      </c>
      <c r="C37" s="13">
        <f>IF(C36&lt;=0,0,MAX(0,C36+AN37-AO37))</f>
        <v/>
      </c>
      <c r="D37" s="13">
        <f>IF(D36&lt;=0,0,MAX(0,D36+AQ37-AR37))</f>
        <v/>
      </c>
      <c r="E37" s="13">
        <f>IF(E36&lt;=0,0,MAX(0,E36+AT37-AU37))</f>
        <v/>
      </c>
      <c r="F37" s="13">
        <f>IF(F36&lt;=0,0,MAX(0,F36+AW37-AX37))</f>
        <v/>
      </c>
      <c r="G37" s="13">
        <f>IF(G36&lt;=0,0,MAX(0,G36+AZ37-BA37))</f>
        <v/>
      </c>
      <c r="H37" s="13">
        <f>IF(H36&lt;=0,0,MAX(0,H36+BC37-BD37))</f>
        <v/>
      </c>
      <c r="I37" s="13">
        <f>IF(I36&lt;=0,0,MAX(0,I36+BF37-BG37))</f>
        <v/>
      </c>
      <c r="J37" s="13">
        <f>IF(J36&lt;=0,0,MAX(0,J36+BI37-BJ37))</f>
        <v/>
      </c>
      <c r="K37" s="13">
        <f>IF(K36&lt;=0,0,MAX(0,K36+BL37-BM37))</f>
        <v/>
      </c>
      <c r="L37" s="13">
        <f>IF(L36&lt;=0,0,MAX(0,L36+BO37-BP37))</f>
        <v/>
      </c>
      <c r="M37" s="13">
        <f>IF(M36&lt;=0,0,MAX(0,M36+BR37-BS37))</f>
        <v/>
      </c>
      <c r="N37" s="13">
        <f>IF(N36&lt;=0,0,MAX(0,N36+BU37-BV37))</f>
        <v/>
      </c>
      <c r="O37" s="13">
        <f>IF(O36&lt;=0,0,MAX(0,O36+BX37-BY37))</f>
        <v/>
      </c>
      <c r="P37" s="13">
        <f>IF(P36&lt;=0,0,MAX(0,P36+CA37-CB37))</f>
        <v/>
      </c>
      <c r="Q37" s="13">
        <f>IF(Q36&lt;=0,0,MAX(0,Q36+CD37-CE37))</f>
        <v/>
      </c>
      <c r="R37" s="13">
        <f>IF(R36&lt;=0,0,MAX(0,R36+CG37-CH37))</f>
        <v/>
      </c>
      <c r="S37" s="13">
        <f>IF(S36&lt;=0,0,MAX(0,S36+CJ37-CK37))</f>
        <v/>
      </c>
      <c r="T37" s="13">
        <f>IF(T36&lt;=0,0,MAX(0,T36+CM37-CN37))</f>
        <v/>
      </c>
      <c r="U37" s="13">
        <f>IF(U36&lt;=0,0,MAX(0,U36+CP37-CQ37))</f>
        <v/>
      </c>
      <c r="V37" s="13">
        <f>IF(V36&lt;=0,0,MAX(0,V36+CS37-CT37))</f>
        <v/>
      </c>
      <c r="W37" s="13">
        <f>AO37+AR37+AU37+AX37+BA37+BD37+BG37+BJ37+BM37+BP37+BS37+BV37+BY37+CB37+CE37+CH37+CK37+CN37+CQ37+CT37</f>
        <v/>
      </c>
      <c r="X37" s="13">
        <f>AN37+AQ37+AT37+AW37+AZ37+BC37+BF37+BI37+BL37+BO37+BR37+BU37+BX37+CA37+CD37+CG37+CJ37+CM37+CP37+CS37</f>
        <v/>
      </c>
      <c r="Y37" s="27">
        <f>C37+D37+E37+F37+G37+H37+I37+J37+K37+L37+M37+N37+O37+P37+Q37+R37+S37+T37+U37+V37</f>
        <v/>
      </c>
      <c r="AN37">
        <f>IF(C36&lt;=0,0,C36*$E$5/12)</f>
        <v/>
      </c>
      <c r="AO37">
        <f>IF(C36&lt;=0,0,MIN(C36+AN37,$F$5+(Dashboard!$C$11+IF(C36&lt;=0,$F$5,0)+IF(D36&lt;=0,$F$6,0)+IF(E36&lt;=0,$F$7,0)+IF(F36&lt;=0,$F$8,0)+IF(G36&lt;=0,$F$9,0)+IF(H36&lt;=0,$F$10,0)+IF(I36&lt;=0,$F$11,0)+IF(J36&lt;=0,$F$12,0)+IF(K36&lt;=0,$F$13,0)+IF(L36&lt;=0,$F$14,0)+IF(M36&lt;=0,$F$15,0)+IF(N36&lt;=0,$F$16,0)+IF(O36&lt;=0,$F$17,0)+IF(P36&lt;=0,$F$18,0)+IF(Q36&lt;=0,$F$19,0)+IF(R36&lt;=0,$F$20,0)+IF(S36&lt;=0,$F$21,0)+IF(T36&lt;=0,$F$22,0)+IF(U36&lt;=0,$F$23,0)+IF(V36&lt;=0,$F$24,0))))</f>
        <v/>
      </c>
      <c r="AP37">
        <f>IF(C36&lt;=0,(Dashboard!$C$11+IF(C36&lt;=0,$F$5,0)+IF(D36&lt;=0,$F$6,0)+IF(E36&lt;=0,$F$7,0)+IF(F36&lt;=0,$F$8,0)+IF(G36&lt;=0,$F$9,0)+IF(H36&lt;=0,$F$10,0)+IF(I36&lt;=0,$F$11,0)+IF(J36&lt;=0,$F$12,0)+IF(K36&lt;=0,$F$13,0)+IF(L36&lt;=0,$F$14,0)+IF(M36&lt;=0,$F$15,0)+IF(N36&lt;=0,$F$16,0)+IF(O36&lt;=0,$F$17,0)+IF(P36&lt;=0,$F$18,0)+IF(Q36&lt;=0,$F$19,0)+IF(R36&lt;=0,$F$20,0)+IF(S36&lt;=0,$F$21,0)+IF(T36&lt;=0,$F$22,0)+IF(U36&lt;=0,$F$23,0)+IF(V36&lt;=0,$F$24,0)),MAX(0,$F$5+(Dashboard!$C$11+IF(C36&lt;=0,$F$5,0)+IF(D36&lt;=0,$F$6,0)+IF(E36&lt;=0,$F$7,0)+IF(F36&lt;=0,$F$8,0)+IF(G36&lt;=0,$F$9,0)+IF(H36&lt;=0,$F$10,0)+IF(I36&lt;=0,$F$11,0)+IF(J36&lt;=0,$F$12,0)+IF(K36&lt;=0,$F$13,0)+IF(L36&lt;=0,$F$14,0)+IF(M36&lt;=0,$F$15,0)+IF(N36&lt;=0,$F$16,0)+IF(O36&lt;=0,$F$17,0)+IF(P36&lt;=0,$F$18,0)+IF(Q36&lt;=0,$F$19,0)+IF(R36&lt;=0,$F$20,0)+IF(S36&lt;=0,$F$21,0)+IF(T36&lt;=0,$F$22,0)+IF(U36&lt;=0,$F$23,0)+IF(V36&lt;=0,$F$24,0))-C36-AN37))</f>
        <v/>
      </c>
      <c r="AQ37">
        <f>IF(D36&lt;=0,0,D36*$E$6/12)</f>
        <v/>
      </c>
      <c r="AR37">
        <f>IF(D36&lt;=0,0,MIN(D36+AQ37,$F$6+AP37))</f>
        <v/>
      </c>
      <c r="AS37">
        <f>IF(D36&lt;=0,AP37,MAX(0,$F$6+AP37-D36-AQ37))</f>
        <v/>
      </c>
      <c r="AT37">
        <f>IF(E36&lt;=0,0,E36*$E$7/12)</f>
        <v/>
      </c>
      <c r="AU37">
        <f>IF(E36&lt;=0,0,MIN(E36+AT37,$F$7+AS37))</f>
        <v/>
      </c>
      <c r="AV37">
        <f>IF(E36&lt;=0,AS37,MAX(0,$F$7+AS37-E36-AT37))</f>
        <v/>
      </c>
      <c r="AW37">
        <f>IF(F36&lt;=0,0,F36*$E$8/12)</f>
        <v/>
      </c>
      <c r="AX37">
        <f>IF(F36&lt;=0,0,MIN(F36+AW37,$F$8+AV37))</f>
        <v/>
      </c>
      <c r="AY37">
        <f>IF(F36&lt;=0,AV37,MAX(0,$F$8+AV37-F36-AW37))</f>
        <v/>
      </c>
      <c r="AZ37">
        <f>IF(G36&lt;=0,0,G36*$E$9/12)</f>
        <v/>
      </c>
      <c r="BA37">
        <f>IF(G36&lt;=0,0,MIN(G36+AZ37,$F$9+AY37))</f>
        <v/>
      </c>
      <c r="BB37">
        <f>IF(G36&lt;=0,AY37,MAX(0,$F$9+AY37-G36-AZ37))</f>
        <v/>
      </c>
      <c r="BC37">
        <f>IF(H36&lt;=0,0,H36*$E$10/12)</f>
        <v/>
      </c>
      <c r="BD37">
        <f>IF(H36&lt;=0,0,MIN(H36+BC37,$F$10+BB37))</f>
        <v/>
      </c>
      <c r="BE37">
        <f>IF(H36&lt;=0,BB37,MAX(0,$F$10+BB37-H36-BC37))</f>
        <v/>
      </c>
      <c r="BF37">
        <f>IF(I36&lt;=0,0,I36*$E$11/12)</f>
        <v/>
      </c>
      <c r="BG37">
        <f>IF(I36&lt;=0,0,MIN(I36+BF37,$F$11+BE37))</f>
        <v/>
      </c>
      <c r="BH37">
        <f>IF(I36&lt;=0,BE37,MAX(0,$F$11+BE37-I36-BF37))</f>
        <v/>
      </c>
      <c r="BI37">
        <f>IF(J36&lt;=0,0,J36*$E$12/12)</f>
        <v/>
      </c>
      <c r="BJ37">
        <f>IF(J36&lt;=0,0,MIN(J36+BI37,$F$12+BH37))</f>
        <v/>
      </c>
      <c r="BK37">
        <f>IF(J36&lt;=0,BH37,MAX(0,$F$12+BH37-J36-BI37))</f>
        <v/>
      </c>
      <c r="BL37">
        <f>IF(K36&lt;=0,0,K36*$E$13/12)</f>
        <v/>
      </c>
      <c r="BM37">
        <f>IF(K36&lt;=0,0,MIN(K36+BL37,$F$13+BK37))</f>
        <v/>
      </c>
      <c r="BN37">
        <f>IF(K36&lt;=0,BK37,MAX(0,$F$13+BK37-K36-BL37))</f>
        <v/>
      </c>
      <c r="BO37">
        <f>IF(L36&lt;=0,0,L36*$E$14/12)</f>
        <v/>
      </c>
      <c r="BP37">
        <f>IF(L36&lt;=0,0,MIN(L36+BO37,$F$14+BN37))</f>
        <v/>
      </c>
      <c r="BQ37">
        <f>IF(L36&lt;=0,BN37,MAX(0,$F$14+BN37-L36-BO37))</f>
        <v/>
      </c>
      <c r="BR37">
        <f>IF(M36&lt;=0,0,M36*$E$15/12)</f>
        <v/>
      </c>
      <c r="BS37">
        <f>IF(M36&lt;=0,0,MIN(M36+BR37,$F$15+BQ37))</f>
        <v/>
      </c>
      <c r="BT37">
        <f>IF(M36&lt;=0,BQ37,MAX(0,$F$15+BQ37-M36-BR37))</f>
        <v/>
      </c>
      <c r="BU37">
        <f>IF(N36&lt;=0,0,N36*$E$16/12)</f>
        <v/>
      </c>
      <c r="BV37">
        <f>IF(N36&lt;=0,0,MIN(N36+BU37,$F$16+BT37))</f>
        <v/>
      </c>
      <c r="BW37">
        <f>IF(N36&lt;=0,BT37,MAX(0,$F$16+BT37-N36-BU37))</f>
        <v/>
      </c>
      <c r="BX37">
        <f>IF(O36&lt;=0,0,O36*$E$17/12)</f>
        <v/>
      </c>
      <c r="BY37">
        <f>IF(O36&lt;=0,0,MIN(O36+BX37,$F$17+BW37))</f>
        <v/>
      </c>
      <c r="BZ37">
        <f>IF(O36&lt;=0,BW37,MAX(0,$F$17+BW37-O36-BX37))</f>
        <v/>
      </c>
      <c r="CA37">
        <f>IF(P36&lt;=0,0,P36*$E$18/12)</f>
        <v/>
      </c>
      <c r="CB37">
        <f>IF(P36&lt;=0,0,MIN(P36+CA37,$F$18+BZ37))</f>
        <v/>
      </c>
      <c r="CC37">
        <f>IF(P36&lt;=0,BZ37,MAX(0,$F$18+BZ37-P36-CA37))</f>
        <v/>
      </c>
      <c r="CD37">
        <f>IF(Q36&lt;=0,0,Q36*$E$19/12)</f>
        <v/>
      </c>
      <c r="CE37">
        <f>IF(Q36&lt;=0,0,MIN(Q36+CD37,$F$19+CC37))</f>
        <v/>
      </c>
      <c r="CF37">
        <f>IF(Q36&lt;=0,CC37,MAX(0,$F$19+CC37-Q36-CD37))</f>
        <v/>
      </c>
      <c r="CG37">
        <f>IF(R36&lt;=0,0,R36*$E$20/12)</f>
        <v/>
      </c>
      <c r="CH37">
        <f>IF(R36&lt;=0,0,MIN(R36+CG37,$F$20+CF37))</f>
        <v/>
      </c>
      <c r="CI37">
        <f>IF(R36&lt;=0,CF37,MAX(0,$F$20+CF37-R36-CG37))</f>
        <v/>
      </c>
      <c r="CJ37">
        <f>IF(S36&lt;=0,0,S36*$E$21/12)</f>
        <v/>
      </c>
      <c r="CK37">
        <f>IF(S36&lt;=0,0,MIN(S36+CJ37,$F$21+CI37))</f>
        <v/>
      </c>
      <c r="CL37">
        <f>IF(S36&lt;=0,CI37,MAX(0,$F$21+CI37-S36-CJ37))</f>
        <v/>
      </c>
      <c r="CM37">
        <f>IF(T36&lt;=0,0,T36*$E$22/12)</f>
        <v/>
      </c>
      <c r="CN37">
        <f>IF(T36&lt;=0,0,MIN(T36+CM37,$F$22+CL37))</f>
        <v/>
      </c>
      <c r="CO37">
        <f>IF(T36&lt;=0,CL37,MAX(0,$F$22+CL37-T36-CM37))</f>
        <v/>
      </c>
      <c r="CP37">
        <f>IF(U36&lt;=0,0,U36*$E$23/12)</f>
        <v/>
      </c>
      <c r="CQ37">
        <f>IF(U36&lt;=0,0,MIN(U36+CP37,$F$23+CO37))</f>
        <v/>
      </c>
      <c r="CR37">
        <f>IF(U36&lt;=0,CO37,MAX(0,$F$23+CO37-U36-CP37))</f>
        <v/>
      </c>
      <c r="CS37">
        <f>IF(V36&lt;=0,0,V36*$E$24/12)</f>
        <v/>
      </c>
      <c r="CT37">
        <f>IF(V36&lt;=0,0,MIN(V36+CS37,$F$24+CR37))</f>
        <v/>
      </c>
      <c r="CU37">
        <f>IF(V36&lt;=0,CR37,MAX(0,$F$24+CR37-V36-CS37))</f>
        <v/>
      </c>
    </row>
    <row r="38">
      <c r="B38" s="39" t="n">
        <v>12</v>
      </c>
      <c r="C38" s="13">
        <f>IF(C37&lt;=0,0,MAX(0,C37+AN38-AO38))</f>
        <v/>
      </c>
      <c r="D38" s="13">
        <f>IF(D37&lt;=0,0,MAX(0,D37+AQ38-AR38))</f>
        <v/>
      </c>
      <c r="E38" s="13">
        <f>IF(E37&lt;=0,0,MAX(0,E37+AT38-AU38))</f>
        <v/>
      </c>
      <c r="F38" s="13">
        <f>IF(F37&lt;=0,0,MAX(0,F37+AW38-AX38))</f>
        <v/>
      </c>
      <c r="G38" s="13">
        <f>IF(G37&lt;=0,0,MAX(0,G37+AZ38-BA38))</f>
        <v/>
      </c>
      <c r="H38" s="13">
        <f>IF(H37&lt;=0,0,MAX(0,H37+BC38-BD38))</f>
        <v/>
      </c>
      <c r="I38" s="13">
        <f>IF(I37&lt;=0,0,MAX(0,I37+BF38-BG38))</f>
        <v/>
      </c>
      <c r="J38" s="13">
        <f>IF(J37&lt;=0,0,MAX(0,J37+BI38-BJ38))</f>
        <v/>
      </c>
      <c r="K38" s="13">
        <f>IF(K37&lt;=0,0,MAX(0,K37+BL38-BM38))</f>
        <v/>
      </c>
      <c r="L38" s="13">
        <f>IF(L37&lt;=0,0,MAX(0,L37+BO38-BP38))</f>
        <v/>
      </c>
      <c r="M38" s="13">
        <f>IF(M37&lt;=0,0,MAX(0,M37+BR38-BS38))</f>
        <v/>
      </c>
      <c r="N38" s="13">
        <f>IF(N37&lt;=0,0,MAX(0,N37+BU38-BV38))</f>
        <v/>
      </c>
      <c r="O38" s="13">
        <f>IF(O37&lt;=0,0,MAX(0,O37+BX38-BY38))</f>
        <v/>
      </c>
      <c r="P38" s="13">
        <f>IF(P37&lt;=0,0,MAX(0,P37+CA38-CB38))</f>
        <v/>
      </c>
      <c r="Q38" s="13">
        <f>IF(Q37&lt;=0,0,MAX(0,Q37+CD38-CE38))</f>
        <v/>
      </c>
      <c r="R38" s="13">
        <f>IF(R37&lt;=0,0,MAX(0,R37+CG38-CH38))</f>
        <v/>
      </c>
      <c r="S38" s="13">
        <f>IF(S37&lt;=0,0,MAX(0,S37+CJ38-CK38))</f>
        <v/>
      </c>
      <c r="T38" s="13">
        <f>IF(T37&lt;=0,0,MAX(0,T37+CM38-CN38))</f>
        <v/>
      </c>
      <c r="U38" s="13">
        <f>IF(U37&lt;=0,0,MAX(0,U37+CP38-CQ38))</f>
        <v/>
      </c>
      <c r="V38" s="13">
        <f>IF(V37&lt;=0,0,MAX(0,V37+CS38-CT38))</f>
        <v/>
      </c>
      <c r="W38" s="13">
        <f>AO38+AR38+AU38+AX38+BA38+BD38+BG38+BJ38+BM38+BP38+BS38+BV38+BY38+CB38+CE38+CH38+CK38+CN38+CQ38+CT38</f>
        <v/>
      </c>
      <c r="X38" s="13">
        <f>AN38+AQ38+AT38+AW38+AZ38+BC38+BF38+BI38+BL38+BO38+BR38+BU38+BX38+CA38+CD38+CG38+CJ38+CM38+CP38+CS38</f>
        <v/>
      </c>
      <c r="Y38" s="27">
        <f>C38+D38+E38+F38+G38+H38+I38+J38+K38+L38+M38+N38+O38+P38+Q38+R38+S38+T38+U38+V38</f>
        <v/>
      </c>
      <c r="AN38">
        <f>IF(C37&lt;=0,0,C37*$E$5/12)</f>
        <v/>
      </c>
      <c r="AO38">
        <f>IF(C37&lt;=0,0,MIN(C37+AN38,$F$5+(Dashboard!$C$11+IF(C37&lt;=0,$F$5,0)+IF(D37&lt;=0,$F$6,0)+IF(E37&lt;=0,$F$7,0)+IF(F37&lt;=0,$F$8,0)+IF(G37&lt;=0,$F$9,0)+IF(H37&lt;=0,$F$10,0)+IF(I37&lt;=0,$F$11,0)+IF(J37&lt;=0,$F$12,0)+IF(K37&lt;=0,$F$13,0)+IF(L37&lt;=0,$F$14,0)+IF(M37&lt;=0,$F$15,0)+IF(N37&lt;=0,$F$16,0)+IF(O37&lt;=0,$F$17,0)+IF(P37&lt;=0,$F$18,0)+IF(Q37&lt;=0,$F$19,0)+IF(R37&lt;=0,$F$20,0)+IF(S37&lt;=0,$F$21,0)+IF(T37&lt;=0,$F$22,0)+IF(U37&lt;=0,$F$23,0)+IF(V37&lt;=0,$F$24,0))))</f>
        <v/>
      </c>
      <c r="AP38">
        <f>IF(C37&lt;=0,(Dashboard!$C$11+IF(C37&lt;=0,$F$5,0)+IF(D37&lt;=0,$F$6,0)+IF(E37&lt;=0,$F$7,0)+IF(F37&lt;=0,$F$8,0)+IF(G37&lt;=0,$F$9,0)+IF(H37&lt;=0,$F$10,0)+IF(I37&lt;=0,$F$11,0)+IF(J37&lt;=0,$F$12,0)+IF(K37&lt;=0,$F$13,0)+IF(L37&lt;=0,$F$14,0)+IF(M37&lt;=0,$F$15,0)+IF(N37&lt;=0,$F$16,0)+IF(O37&lt;=0,$F$17,0)+IF(P37&lt;=0,$F$18,0)+IF(Q37&lt;=0,$F$19,0)+IF(R37&lt;=0,$F$20,0)+IF(S37&lt;=0,$F$21,0)+IF(T37&lt;=0,$F$22,0)+IF(U37&lt;=0,$F$23,0)+IF(V37&lt;=0,$F$24,0)),MAX(0,$F$5+(Dashboard!$C$11+IF(C37&lt;=0,$F$5,0)+IF(D37&lt;=0,$F$6,0)+IF(E37&lt;=0,$F$7,0)+IF(F37&lt;=0,$F$8,0)+IF(G37&lt;=0,$F$9,0)+IF(H37&lt;=0,$F$10,0)+IF(I37&lt;=0,$F$11,0)+IF(J37&lt;=0,$F$12,0)+IF(K37&lt;=0,$F$13,0)+IF(L37&lt;=0,$F$14,0)+IF(M37&lt;=0,$F$15,0)+IF(N37&lt;=0,$F$16,0)+IF(O37&lt;=0,$F$17,0)+IF(P37&lt;=0,$F$18,0)+IF(Q37&lt;=0,$F$19,0)+IF(R37&lt;=0,$F$20,0)+IF(S37&lt;=0,$F$21,0)+IF(T37&lt;=0,$F$22,0)+IF(U37&lt;=0,$F$23,0)+IF(V37&lt;=0,$F$24,0))-C37-AN38))</f>
        <v/>
      </c>
      <c r="AQ38">
        <f>IF(D37&lt;=0,0,D37*$E$6/12)</f>
        <v/>
      </c>
      <c r="AR38">
        <f>IF(D37&lt;=0,0,MIN(D37+AQ38,$F$6+AP38))</f>
        <v/>
      </c>
      <c r="AS38">
        <f>IF(D37&lt;=0,AP38,MAX(0,$F$6+AP38-D37-AQ38))</f>
        <v/>
      </c>
      <c r="AT38">
        <f>IF(E37&lt;=0,0,E37*$E$7/12)</f>
        <v/>
      </c>
      <c r="AU38">
        <f>IF(E37&lt;=0,0,MIN(E37+AT38,$F$7+AS38))</f>
        <v/>
      </c>
      <c r="AV38">
        <f>IF(E37&lt;=0,AS38,MAX(0,$F$7+AS38-E37-AT38))</f>
        <v/>
      </c>
      <c r="AW38">
        <f>IF(F37&lt;=0,0,F37*$E$8/12)</f>
        <v/>
      </c>
      <c r="AX38">
        <f>IF(F37&lt;=0,0,MIN(F37+AW38,$F$8+AV38))</f>
        <v/>
      </c>
      <c r="AY38">
        <f>IF(F37&lt;=0,AV38,MAX(0,$F$8+AV38-F37-AW38))</f>
        <v/>
      </c>
      <c r="AZ38">
        <f>IF(G37&lt;=0,0,G37*$E$9/12)</f>
        <v/>
      </c>
      <c r="BA38">
        <f>IF(G37&lt;=0,0,MIN(G37+AZ38,$F$9+AY38))</f>
        <v/>
      </c>
      <c r="BB38">
        <f>IF(G37&lt;=0,AY38,MAX(0,$F$9+AY38-G37-AZ38))</f>
        <v/>
      </c>
      <c r="BC38">
        <f>IF(H37&lt;=0,0,H37*$E$10/12)</f>
        <v/>
      </c>
      <c r="BD38">
        <f>IF(H37&lt;=0,0,MIN(H37+BC38,$F$10+BB38))</f>
        <v/>
      </c>
      <c r="BE38">
        <f>IF(H37&lt;=0,BB38,MAX(0,$F$10+BB38-H37-BC38))</f>
        <v/>
      </c>
      <c r="BF38">
        <f>IF(I37&lt;=0,0,I37*$E$11/12)</f>
        <v/>
      </c>
      <c r="BG38">
        <f>IF(I37&lt;=0,0,MIN(I37+BF38,$F$11+BE38))</f>
        <v/>
      </c>
      <c r="BH38">
        <f>IF(I37&lt;=0,BE38,MAX(0,$F$11+BE38-I37-BF38))</f>
        <v/>
      </c>
      <c r="BI38">
        <f>IF(J37&lt;=0,0,J37*$E$12/12)</f>
        <v/>
      </c>
      <c r="BJ38">
        <f>IF(J37&lt;=0,0,MIN(J37+BI38,$F$12+BH38))</f>
        <v/>
      </c>
      <c r="BK38">
        <f>IF(J37&lt;=0,BH38,MAX(0,$F$12+BH38-J37-BI38))</f>
        <v/>
      </c>
      <c r="BL38">
        <f>IF(K37&lt;=0,0,K37*$E$13/12)</f>
        <v/>
      </c>
      <c r="BM38">
        <f>IF(K37&lt;=0,0,MIN(K37+BL38,$F$13+BK38))</f>
        <v/>
      </c>
      <c r="BN38">
        <f>IF(K37&lt;=0,BK38,MAX(0,$F$13+BK38-K37-BL38))</f>
        <v/>
      </c>
      <c r="BO38">
        <f>IF(L37&lt;=0,0,L37*$E$14/12)</f>
        <v/>
      </c>
      <c r="BP38">
        <f>IF(L37&lt;=0,0,MIN(L37+BO38,$F$14+BN38))</f>
        <v/>
      </c>
      <c r="BQ38">
        <f>IF(L37&lt;=0,BN38,MAX(0,$F$14+BN38-L37-BO38))</f>
        <v/>
      </c>
      <c r="BR38">
        <f>IF(M37&lt;=0,0,M37*$E$15/12)</f>
        <v/>
      </c>
      <c r="BS38">
        <f>IF(M37&lt;=0,0,MIN(M37+BR38,$F$15+BQ38))</f>
        <v/>
      </c>
      <c r="BT38">
        <f>IF(M37&lt;=0,BQ38,MAX(0,$F$15+BQ38-M37-BR38))</f>
        <v/>
      </c>
      <c r="BU38">
        <f>IF(N37&lt;=0,0,N37*$E$16/12)</f>
        <v/>
      </c>
      <c r="BV38">
        <f>IF(N37&lt;=0,0,MIN(N37+BU38,$F$16+BT38))</f>
        <v/>
      </c>
      <c r="BW38">
        <f>IF(N37&lt;=0,BT38,MAX(0,$F$16+BT38-N37-BU38))</f>
        <v/>
      </c>
      <c r="BX38">
        <f>IF(O37&lt;=0,0,O37*$E$17/12)</f>
        <v/>
      </c>
      <c r="BY38">
        <f>IF(O37&lt;=0,0,MIN(O37+BX38,$F$17+BW38))</f>
        <v/>
      </c>
      <c r="BZ38">
        <f>IF(O37&lt;=0,BW38,MAX(0,$F$17+BW38-O37-BX38))</f>
        <v/>
      </c>
      <c r="CA38">
        <f>IF(P37&lt;=0,0,P37*$E$18/12)</f>
        <v/>
      </c>
      <c r="CB38">
        <f>IF(P37&lt;=0,0,MIN(P37+CA38,$F$18+BZ38))</f>
        <v/>
      </c>
      <c r="CC38">
        <f>IF(P37&lt;=0,BZ38,MAX(0,$F$18+BZ38-P37-CA38))</f>
        <v/>
      </c>
      <c r="CD38">
        <f>IF(Q37&lt;=0,0,Q37*$E$19/12)</f>
        <v/>
      </c>
      <c r="CE38">
        <f>IF(Q37&lt;=0,0,MIN(Q37+CD38,$F$19+CC38))</f>
        <v/>
      </c>
      <c r="CF38">
        <f>IF(Q37&lt;=0,CC38,MAX(0,$F$19+CC38-Q37-CD38))</f>
        <v/>
      </c>
      <c r="CG38">
        <f>IF(R37&lt;=0,0,R37*$E$20/12)</f>
        <v/>
      </c>
      <c r="CH38">
        <f>IF(R37&lt;=0,0,MIN(R37+CG38,$F$20+CF38))</f>
        <v/>
      </c>
      <c r="CI38">
        <f>IF(R37&lt;=0,CF38,MAX(0,$F$20+CF38-R37-CG38))</f>
        <v/>
      </c>
      <c r="CJ38">
        <f>IF(S37&lt;=0,0,S37*$E$21/12)</f>
        <v/>
      </c>
      <c r="CK38">
        <f>IF(S37&lt;=0,0,MIN(S37+CJ38,$F$21+CI38))</f>
        <v/>
      </c>
      <c r="CL38">
        <f>IF(S37&lt;=0,CI38,MAX(0,$F$21+CI38-S37-CJ38))</f>
        <v/>
      </c>
      <c r="CM38">
        <f>IF(T37&lt;=0,0,T37*$E$22/12)</f>
        <v/>
      </c>
      <c r="CN38">
        <f>IF(T37&lt;=0,0,MIN(T37+CM38,$F$22+CL38))</f>
        <v/>
      </c>
      <c r="CO38">
        <f>IF(T37&lt;=0,CL38,MAX(0,$F$22+CL38-T37-CM38))</f>
        <v/>
      </c>
      <c r="CP38">
        <f>IF(U37&lt;=0,0,U37*$E$23/12)</f>
        <v/>
      </c>
      <c r="CQ38">
        <f>IF(U37&lt;=0,0,MIN(U37+CP38,$F$23+CO38))</f>
        <v/>
      </c>
      <c r="CR38">
        <f>IF(U37&lt;=0,CO38,MAX(0,$F$23+CO38-U37-CP38))</f>
        <v/>
      </c>
      <c r="CS38">
        <f>IF(V37&lt;=0,0,V37*$E$24/12)</f>
        <v/>
      </c>
      <c r="CT38">
        <f>IF(V37&lt;=0,0,MIN(V37+CS38,$F$24+CR38))</f>
        <v/>
      </c>
      <c r="CU38">
        <f>IF(V37&lt;=0,CR38,MAX(0,$F$24+CR38-V37-CS38))</f>
        <v/>
      </c>
    </row>
    <row r="39">
      <c r="B39" s="39" t="n">
        <v>13</v>
      </c>
      <c r="C39" s="13">
        <f>IF(C38&lt;=0,0,MAX(0,C38+AN39-AO39))</f>
        <v/>
      </c>
      <c r="D39" s="13">
        <f>IF(D38&lt;=0,0,MAX(0,D38+AQ39-AR39))</f>
        <v/>
      </c>
      <c r="E39" s="13">
        <f>IF(E38&lt;=0,0,MAX(0,E38+AT39-AU39))</f>
        <v/>
      </c>
      <c r="F39" s="13">
        <f>IF(F38&lt;=0,0,MAX(0,F38+AW39-AX39))</f>
        <v/>
      </c>
      <c r="G39" s="13">
        <f>IF(G38&lt;=0,0,MAX(0,G38+AZ39-BA39))</f>
        <v/>
      </c>
      <c r="H39" s="13">
        <f>IF(H38&lt;=0,0,MAX(0,H38+BC39-BD39))</f>
        <v/>
      </c>
      <c r="I39" s="13">
        <f>IF(I38&lt;=0,0,MAX(0,I38+BF39-BG39))</f>
        <v/>
      </c>
      <c r="J39" s="13">
        <f>IF(J38&lt;=0,0,MAX(0,J38+BI39-BJ39))</f>
        <v/>
      </c>
      <c r="K39" s="13">
        <f>IF(K38&lt;=0,0,MAX(0,K38+BL39-BM39))</f>
        <v/>
      </c>
      <c r="L39" s="13">
        <f>IF(L38&lt;=0,0,MAX(0,L38+BO39-BP39))</f>
        <v/>
      </c>
      <c r="M39" s="13">
        <f>IF(M38&lt;=0,0,MAX(0,M38+BR39-BS39))</f>
        <v/>
      </c>
      <c r="N39" s="13">
        <f>IF(N38&lt;=0,0,MAX(0,N38+BU39-BV39))</f>
        <v/>
      </c>
      <c r="O39" s="13">
        <f>IF(O38&lt;=0,0,MAX(0,O38+BX39-BY39))</f>
        <v/>
      </c>
      <c r="P39" s="13">
        <f>IF(P38&lt;=0,0,MAX(0,P38+CA39-CB39))</f>
        <v/>
      </c>
      <c r="Q39" s="13">
        <f>IF(Q38&lt;=0,0,MAX(0,Q38+CD39-CE39))</f>
        <v/>
      </c>
      <c r="R39" s="13">
        <f>IF(R38&lt;=0,0,MAX(0,R38+CG39-CH39))</f>
        <v/>
      </c>
      <c r="S39" s="13">
        <f>IF(S38&lt;=0,0,MAX(0,S38+CJ39-CK39))</f>
        <v/>
      </c>
      <c r="T39" s="13">
        <f>IF(T38&lt;=0,0,MAX(0,T38+CM39-CN39))</f>
        <v/>
      </c>
      <c r="U39" s="13">
        <f>IF(U38&lt;=0,0,MAX(0,U38+CP39-CQ39))</f>
        <v/>
      </c>
      <c r="V39" s="13">
        <f>IF(V38&lt;=0,0,MAX(0,V38+CS39-CT39))</f>
        <v/>
      </c>
      <c r="W39" s="13">
        <f>AO39+AR39+AU39+AX39+BA39+BD39+BG39+BJ39+BM39+BP39+BS39+BV39+BY39+CB39+CE39+CH39+CK39+CN39+CQ39+CT39</f>
        <v/>
      </c>
      <c r="X39" s="13">
        <f>AN39+AQ39+AT39+AW39+AZ39+BC39+BF39+BI39+BL39+BO39+BR39+BU39+BX39+CA39+CD39+CG39+CJ39+CM39+CP39+CS39</f>
        <v/>
      </c>
      <c r="Y39" s="27">
        <f>C39+D39+E39+F39+G39+H39+I39+J39+K39+L39+M39+N39+O39+P39+Q39+R39+S39+T39+U39+V39</f>
        <v/>
      </c>
      <c r="AN39">
        <f>IF(C38&lt;=0,0,C38*$E$5/12)</f>
        <v/>
      </c>
      <c r="AO39">
        <f>IF(C38&lt;=0,0,MIN(C38+AN39,$F$5+(Dashboard!$C$11+IF(C38&lt;=0,$F$5,0)+IF(D38&lt;=0,$F$6,0)+IF(E38&lt;=0,$F$7,0)+IF(F38&lt;=0,$F$8,0)+IF(G38&lt;=0,$F$9,0)+IF(H38&lt;=0,$F$10,0)+IF(I38&lt;=0,$F$11,0)+IF(J38&lt;=0,$F$12,0)+IF(K38&lt;=0,$F$13,0)+IF(L38&lt;=0,$F$14,0)+IF(M38&lt;=0,$F$15,0)+IF(N38&lt;=0,$F$16,0)+IF(O38&lt;=0,$F$17,0)+IF(P38&lt;=0,$F$18,0)+IF(Q38&lt;=0,$F$19,0)+IF(R38&lt;=0,$F$20,0)+IF(S38&lt;=0,$F$21,0)+IF(T38&lt;=0,$F$22,0)+IF(U38&lt;=0,$F$23,0)+IF(V38&lt;=0,$F$24,0))))</f>
        <v/>
      </c>
      <c r="AP39">
        <f>IF(C38&lt;=0,(Dashboard!$C$11+IF(C38&lt;=0,$F$5,0)+IF(D38&lt;=0,$F$6,0)+IF(E38&lt;=0,$F$7,0)+IF(F38&lt;=0,$F$8,0)+IF(G38&lt;=0,$F$9,0)+IF(H38&lt;=0,$F$10,0)+IF(I38&lt;=0,$F$11,0)+IF(J38&lt;=0,$F$12,0)+IF(K38&lt;=0,$F$13,0)+IF(L38&lt;=0,$F$14,0)+IF(M38&lt;=0,$F$15,0)+IF(N38&lt;=0,$F$16,0)+IF(O38&lt;=0,$F$17,0)+IF(P38&lt;=0,$F$18,0)+IF(Q38&lt;=0,$F$19,0)+IF(R38&lt;=0,$F$20,0)+IF(S38&lt;=0,$F$21,0)+IF(T38&lt;=0,$F$22,0)+IF(U38&lt;=0,$F$23,0)+IF(V38&lt;=0,$F$24,0)),MAX(0,$F$5+(Dashboard!$C$11+IF(C38&lt;=0,$F$5,0)+IF(D38&lt;=0,$F$6,0)+IF(E38&lt;=0,$F$7,0)+IF(F38&lt;=0,$F$8,0)+IF(G38&lt;=0,$F$9,0)+IF(H38&lt;=0,$F$10,0)+IF(I38&lt;=0,$F$11,0)+IF(J38&lt;=0,$F$12,0)+IF(K38&lt;=0,$F$13,0)+IF(L38&lt;=0,$F$14,0)+IF(M38&lt;=0,$F$15,0)+IF(N38&lt;=0,$F$16,0)+IF(O38&lt;=0,$F$17,0)+IF(P38&lt;=0,$F$18,0)+IF(Q38&lt;=0,$F$19,0)+IF(R38&lt;=0,$F$20,0)+IF(S38&lt;=0,$F$21,0)+IF(T38&lt;=0,$F$22,0)+IF(U38&lt;=0,$F$23,0)+IF(V38&lt;=0,$F$24,0))-C38-AN39))</f>
        <v/>
      </c>
      <c r="AQ39">
        <f>IF(D38&lt;=0,0,D38*$E$6/12)</f>
        <v/>
      </c>
      <c r="AR39">
        <f>IF(D38&lt;=0,0,MIN(D38+AQ39,$F$6+AP39))</f>
        <v/>
      </c>
      <c r="AS39">
        <f>IF(D38&lt;=0,AP39,MAX(0,$F$6+AP39-D38-AQ39))</f>
        <v/>
      </c>
      <c r="AT39">
        <f>IF(E38&lt;=0,0,E38*$E$7/12)</f>
        <v/>
      </c>
      <c r="AU39">
        <f>IF(E38&lt;=0,0,MIN(E38+AT39,$F$7+AS39))</f>
        <v/>
      </c>
      <c r="AV39">
        <f>IF(E38&lt;=0,AS39,MAX(0,$F$7+AS39-E38-AT39))</f>
        <v/>
      </c>
      <c r="AW39">
        <f>IF(F38&lt;=0,0,F38*$E$8/12)</f>
        <v/>
      </c>
      <c r="AX39">
        <f>IF(F38&lt;=0,0,MIN(F38+AW39,$F$8+AV39))</f>
        <v/>
      </c>
      <c r="AY39">
        <f>IF(F38&lt;=0,AV39,MAX(0,$F$8+AV39-F38-AW39))</f>
        <v/>
      </c>
      <c r="AZ39">
        <f>IF(G38&lt;=0,0,G38*$E$9/12)</f>
        <v/>
      </c>
      <c r="BA39">
        <f>IF(G38&lt;=0,0,MIN(G38+AZ39,$F$9+AY39))</f>
        <v/>
      </c>
      <c r="BB39">
        <f>IF(G38&lt;=0,AY39,MAX(0,$F$9+AY39-G38-AZ39))</f>
        <v/>
      </c>
      <c r="BC39">
        <f>IF(H38&lt;=0,0,H38*$E$10/12)</f>
        <v/>
      </c>
      <c r="BD39">
        <f>IF(H38&lt;=0,0,MIN(H38+BC39,$F$10+BB39))</f>
        <v/>
      </c>
      <c r="BE39">
        <f>IF(H38&lt;=0,BB39,MAX(0,$F$10+BB39-H38-BC39))</f>
        <v/>
      </c>
      <c r="BF39">
        <f>IF(I38&lt;=0,0,I38*$E$11/12)</f>
        <v/>
      </c>
      <c r="BG39">
        <f>IF(I38&lt;=0,0,MIN(I38+BF39,$F$11+BE39))</f>
        <v/>
      </c>
      <c r="BH39">
        <f>IF(I38&lt;=0,BE39,MAX(0,$F$11+BE39-I38-BF39))</f>
        <v/>
      </c>
      <c r="BI39">
        <f>IF(J38&lt;=0,0,J38*$E$12/12)</f>
        <v/>
      </c>
      <c r="BJ39">
        <f>IF(J38&lt;=0,0,MIN(J38+BI39,$F$12+BH39))</f>
        <v/>
      </c>
      <c r="BK39">
        <f>IF(J38&lt;=0,BH39,MAX(0,$F$12+BH39-J38-BI39))</f>
        <v/>
      </c>
      <c r="BL39">
        <f>IF(K38&lt;=0,0,K38*$E$13/12)</f>
        <v/>
      </c>
      <c r="BM39">
        <f>IF(K38&lt;=0,0,MIN(K38+BL39,$F$13+BK39))</f>
        <v/>
      </c>
      <c r="BN39">
        <f>IF(K38&lt;=0,BK39,MAX(0,$F$13+BK39-K38-BL39))</f>
        <v/>
      </c>
      <c r="BO39">
        <f>IF(L38&lt;=0,0,L38*$E$14/12)</f>
        <v/>
      </c>
      <c r="BP39">
        <f>IF(L38&lt;=0,0,MIN(L38+BO39,$F$14+BN39))</f>
        <v/>
      </c>
      <c r="BQ39">
        <f>IF(L38&lt;=0,BN39,MAX(0,$F$14+BN39-L38-BO39))</f>
        <v/>
      </c>
      <c r="BR39">
        <f>IF(M38&lt;=0,0,M38*$E$15/12)</f>
        <v/>
      </c>
      <c r="BS39">
        <f>IF(M38&lt;=0,0,MIN(M38+BR39,$F$15+BQ39))</f>
        <v/>
      </c>
      <c r="BT39">
        <f>IF(M38&lt;=0,BQ39,MAX(0,$F$15+BQ39-M38-BR39))</f>
        <v/>
      </c>
      <c r="BU39">
        <f>IF(N38&lt;=0,0,N38*$E$16/12)</f>
        <v/>
      </c>
      <c r="BV39">
        <f>IF(N38&lt;=0,0,MIN(N38+BU39,$F$16+BT39))</f>
        <v/>
      </c>
      <c r="BW39">
        <f>IF(N38&lt;=0,BT39,MAX(0,$F$16+BT39-N38-BU39))</f>
        <v/>
      </c>
      <c r="BX39">
        <f>IF(O38&lt;=0,0,O38*$E$17/12)</f>
        <v/>
      </c>
      <c r="BY39">
        <f>IF(O38&lt;=0,0,MIN(O38+BX39,$F$17+BW39))</f>
        <v/>
      </c>
      <c r="BZ39">
        <f>IF(O38&lt;=0,BW39,MAX(0,$F$17+BW39-O38-BX39))</f>
        <v/>
      </c>
      <c r="CA39">
        <f>IF(P38&lt;=0,0,P38*$E$18/12)</f>
        <v/>
      </c>
      <c r="CB39">
        <f>IF(P38&lt;=0,0,MIN(P38+CA39,$F$18+BZ39))</f>
        <v/>
      </c>
      <c r="CC39">
        <f>IF(P38&lt;=0,BZ39,MAX(0,$F$18+BZ39-P38-CA39))</f>
        <v/>
      </c>
      <c r="CD39">
        <f>IF(Q38&lt;=0,0,Q38*$E$19/12)</f>
        <v/>
      </c>
      <c r="CE39">
        <f>IF(Q38&lt;=0,0,MIN(Q38+CD39,$F$19+CC39))</f>
        <v/>
      </c>
      <c r="CF39">
        <f>IF(Q38&lt;=0,CC39,MAX(0,$F$19+CC39-Q38-CD39))</f>
        <v/>
      </c>
      <c r="CG39">
        <f>IF(R38&lt;=0,0,R38*$E$20/12)</f>
        <v/>
      </c>
      <c r="CH39">
        <f>IF(R38&lt;=0,0,MIN(R38+CG39,$F$20+CF39))</f>
        <v/>
      </c>
      <c r="CI39">
        <f>IF(R38&lt;=0,CF39,MAX(0,$F$20+CF39-R38-CG39))</f>
        <v/>
      </c>
      <c r="CJ39">
        <f>IF(S38&lt;=0,0,S38*$E$21/12)</f>
        <v/>
      </c>
      <c r="CK39">
        <f>IF(S38&lt;=0,0,MIN(S38+CJ39,$F$21+CI39))</f>
        <v/>
      </c>
      <c r="CL39">
        <f>IF(S38&lt;=0,CI39,MAX(0,$F$21+CI39-S38-CJ39))</f>
        <v/>
      </c>
      <c r="CM39">
        <f>IF(T38&lt;=0,0,T38*$E$22/12)</f>
        <v/>
      </c>
      <c r="CN39">
        <f>IF(T38&lt;=0,0,MIN(T38+CM39,$F$22+CL39))</f>
        <v/>
      </c>
      <c r="CO39">
        <f>IF(T38&lt;=0,CL39,MAX(0,$F$22+CL39-T38-CM39))</f>
        <v/>
      </c>
      <c r="CP39">
        <f>IF(U38&lt;=0,0,U38*$E$23/12)</f>
        <v/>
      </c>
      <c r="CQ39">
        <f>IF(U38&lt;=0,0,MIN(U38+CP39,$F$23+CO39))</f>
        <v/>
      </c>
      <c r="CR39">
        <f>IF(U38&lt;=0,CO39,MAX(0,$F$23+CO39-U38-CP39))</f>
        <v/>
      </c>
      <c r="CS39">
        <f>IF(V38&lt;=0,0,V38*$E$24/12)</f>
        <v/>
      </c>
      <c r="CT39">
        <f>IF(V38&lt;=0,0,MIN(V38+CS39,$F$24+CR39))</f>
        <v/>
      </c>
      <c r="CU39">
        <f>IF(V38&lt;=0,CR39,MAX(0,$F$24+CR39-V38-CS39))</f>
        <v/>
      </c>
    </row>
    <row r="40">
      <c r="B40" s="39" t="n">
        <v>14</v>
      </c>
      <c r="C40" s="13">
        <f>IF(C39&lt;=0,0,MAX(0,C39+AN40-AO40))</f>
        <v/>
      </c>
      <c r="D40" s="13">
        <f>IF(D39&lt;=0,0,MAX(0,D39+AQ40-AR40))</f>
        <v/>
      </c>
      <c r="E40" s="13">
        <f>IF(E39&lt;=0,0,MAX(0,E39+AT40-AU40))</f>
        <v/>
      </c>
      <c r="F40" s="13">
        <f>IF(F39&lt;=0,0,MAX(0,F39+AW40-AX40))</f>
        <v/>
      </c>
      <c r="G40" s="13">
        <f>IF(G39&lt;=0,0,MAX(0,G39+AZ40-BA40))</f>
        <v/>
      </c>
      <c r="H40" s="13">
        <f>IF(H39&lt;=0,0,MAX(0,H39+BC40-BD40))</f>
        <v/>
      </c>
      <c r="I40" s="13">
        <f>IF(I39&lt;=0,0,MAX(0,I39+BF40-BG40))</f>
        <v/>
      </c>
      <c r="J40" s="13">
        <f>IF(J39&lt;=0,0,MAX(0,J39+BI40-BJ40))</f>
        <v/>
      </c>
      <c r="K40" s="13">
        <f>IF(K39&lt;=0,0,MAX(0,K39+BL40-BM40))</f>
        <v/>
      </c>
      <c r="L40" s="13">
        <f>IF(L39&lt;=0,0,MAX(0,L39+BO40-BP40))</f>
        <v/>
      </c>
      <c r="M40" s="13">
        <f>IF(M39&lt;=0,0,MAX(0,M39+BR40-BS40))</f>
        <v/>
      </c>
      <c r="N40" s="13">
        <f>IF(N39&lt;=0,0,MAX(0,N39+BU40-BV40))</f>
        <v/>
      </c>
      <c r="O40" s="13">
        <f>IF(O39&lt;=0,0,MAX(0,O39+BX40-BY40))</f>
        <v/>
      </c>
      <c r="P40" s="13">
        <f>IF(P39&lt;=0,0,MAX(0,P39+CA40-CB40))</f>
        <v/>
      </c>
      <c r="Q40" s="13">
        <f>IF(Q39&lt;=0,0,MAX(0,Q39+CD40-CE40))</f>
        <v/>
      </c>
      <c r="R40" s="13">
        <f>IF(R39&lt;=0,0,MAX(0,R39+CG40-CH40))</f>
        <v/>
      </c>
      <c r="S40" s="13">
        <f>IF(S39&lt;=0,0,MAX(0,S39+CJ40-CK40))</f>
        <v/>
      </c>
      <c r="T40" s="13">
        <f>IF(T39&lt;=0,0,MAX(0,T39+CM40-CN40))</f>
        <v/>
      </c>
      <c r="U40" s="13">
        <f>IF(U39&lt;=0,0,MAX(0,U39+CP40-CQ40))</f>
        <v/>
      </c>
      <c r="V40" s="13">
        <f>IF(V39&lt;=0,0,MAX(0,V39+CS40-CT40))</f>
        <v/>
      </c>
      <c r="W40" s="13">
        <f>AO40+AR40+AU40+AX40+BA40+BD40+BG40+BJ40+BM40+BP40+BS40+BV40+BY40+CB40+CE40+CH40+CK40+CN40+CQ40+CT40</f>
        <v/>
      </c>
      <c r="X40" s="13">
        <f>AN40+AQ40+AT40+AW40+AZ40+BC40+BF40+BI40+BL40+BO40+BR40+BU40+BX40+CA40+CD40+CG40+CJ40+CM40+CP40+CS40</f>
        <v/>
      </c>
      <c r="Y40" s="27">
        <f>C40+D40+E40+F40+G40+H40+I40+J40+K40+L40+M40+N40+O40+P40+Q40+R40+S40+T40+U40+V40</f>
        <v/>
      </c>
      <c r="AN40">
        <f>IF(C39&lt;=0,0,C39*$E$5/12)</f>
        <v/>
      </c>
      <c r="AO40">
        <f>IF(C39&lt;=0,0,MIN(C39+AN40,$F$5+(Dashboard!$C$11+IF(C39&lt;=0,$F$5,0)+IF(D39&lt;=0,$F$6,0)+IF(E39&lt;=0,$F$7,0)+IF(F39&lt;=0,$F$8,0)+IF(G39&lt;=0,$F$9,0)+IF(H39&lt;=0,$F$10,0)+IF(I39&lt;=0,$F$11,0)+IF(J39&lt;=0,$F$12,0)+IF(K39&lt;=0,$F$13,0)+IF(L39&lt;=0,$F$14,0)+IF(M39&lt;=0,$F$15,0)+IF(N39&lt;=0,$F$16,0)+IF(O39&lt;=0,$F$17,0)+IF(P39&lt;=0,$F$18,0)+IF(Q39&lt;=0,$F$19,0)+IF(R39&lt;=0,$F$20,0)+IF(S39&lt;=0,$F$21,0)+IF(T39&lt;=0,$F$22,0)+IF(U39&lt;=0,$F$23,0)+IF(V39&lt;=0,$F$24,0))))</f>
        <v/>
      </c>
      <c r="AP40">
        <f>IF(C39&lt;=0,(Dashboard!$C$11+IF(C39&lt;=0,$F$5,0)+IF(D39&lt;=0,$F$6,0)+IF(E39&lt;=0,$F$7,0)+IF(F39&lt;=0,$F$8,0)+IF(G39&lt;=0,$F$9,0)+IF(H39&lt;=0,$F$10,0)+IF(I39&lt;=0,$F$11,0)+IF(J39&lt;=0,$F$12,0)+IF(K39&lt;=0,$F$13,0)+IF(L39&lt;=0,$F$14,0)+IF(M39&lt;=0,$F$15,0)+IF(N39&lt;=0,$F$16,0)+IF(O39&lt;=0,$F$17,0)+IF(P39&lt;=0,$F$18,0)+IF(Q39&lt;=0,$F$19,0)+IF(R39&lt;=0,$F$20,0)+IF(S39&lt;=0,$F$21,0)+IF(T39&lt;=0,$F$22,0)+IF(U39&lt;=0,$F$23,0)+IF(V39&lt;=0,$F$24,0)),MAX(0,$F$5+(Dashboard!$C$11+IF(C39&lt;=0,$F$5,0)+IF(D39&lt;=0,$F$6,0)+IF(E39&lt;=0,$F$7,0)+IF(F39&lt;=0,$F$8,0)+IF(G39&lt;=0,$F$9,0)+IF(H39&lt;=0,$F$10,0)+IF(I39&lt;=0,$F$11,0)+IF(J39&lt;=0,$F$12,0)+IF(K39&lt;=0,$F$13,0)+IF(L39&lt;=0,$F$14,0)+IF(M39&lt;=0,$F$15,0)+IF(N39&lt;=0,$F$16,0)+IF(O39&lt;=0,$F$17,0)+IF(P39&lt;=0,$F$18,0)+IF(Q39&lt;=0,$F$19,0)+IF(R39&lt;=0,$F$20,0)+IF(S39&lt;=0,$F$21,0)+IF(T39&lt;=0,$F$22,0)+IF(U39&lt;=0,$F$23,0)+IF(V39&lt;=0,$F$24,0))-C39-AN40))</f>
        <v/>
      </c>
      <c r="AQ40">
        <f>IF(D39&lt;=0,0,D39*$E$6/12)</f>
        <v/>
      </c>
      <c r="AR40">
        <f>IF(D39&lt;=0,0,MIN(D39+AQ40,$F$6+AP40))</f>
        <v/>
      </c>
      <c r="AS40">
        <f>IF(D39&lt;=0,AP40,MAX(0,$F$6+AP40-D39-AQ40))</f>
        <v/>
      </c>
      <c r="AT40">
        <f>IF(E39&lt;=0,0,E39*$E$7/12)</f>
        <v/>
      </c>
      <c r="AU40">
        <f>IF(E39&lt;=0,0,MIN(E39+AT40,$F$7+AS40))</f>
        <v/>
      </c>
      <c r="AV40">
        <f>IF(E39&lt;=0,AS40,MAX(0,$F$7+AS40-E39-AT40))</f>
        <v/>
      </c>
      <c r="AW40">
        <f>IF(F39&lt;=0,0,F39*$E$8/12)</f>
        <v/>
      </c>
      <c r="AX40">
        <f>IF(F39&lt;=0,0,MIN(F39+AW40,$F$8+AV40))</f>
        <v/>
      </c>
      <c r="AY40">
        <f>IF(F39&lt;=0,AV40,MAX(0,$F$8+AV40-F39-AW40))</f>
        <v/>
      </c>
      <c r="AZ40">
        <f>IF(G39&lt;=0,0,G39*$E$9/12)</f>
        <v/>
      </c>
      <c r="BA40">
        <f>IF(G39&lt;=0,0,MIN(G39+AZ40,$F$9+AY40))</f>
        <v/>
      </c>
      <c r="BB40">
        <f>IF(G39&lt;=0,AY40,MAX(0,$F$9+AY40-G39-AZ40))</f>
        <v/>
      </c>
      <c r="BC40">
        <f>IF(H39&lt;=0,0,H39*$E$10/12)</f>
        <v/>
      </c>
      <c r="BD40">
        <f>IF(H39&lt;=0,0,MIN(H39+BC40,$F$10+BB40))</f>
        <v/>
      </c>
      <c r="BE40">
        <f>IF(H39&lt;=0,BB40,MAX(0,$F$10+BB40-H39-BC40))</f>
        <v/>
      </c>
      <c r="BF40">
        <f>IF(I39&lt;=0,0,I39*$E$11/12)</f>
        <v/>
      </c>
      <c r="BG40">
        <f>IF(I39&lt;=0,0,MIN(I39+BF40,$F$11+BE40))</f>
        <v/>
      </c>
      <c r="BH40">
        <f>IF(I39&lt;=0,BE40,MAX(0,$F$11+BE40-I39-BF40))</f>
        <v/>
      </c>
      <c r="BI40">
        <f>IF(J39&lt;=0,0,J39*$E$12/12)</f>
        <v/>
      </c>
      <c r="BJ40">
        <f>IF(J39&lt;=0,0,MIN(J39+BI40,$F$12+BH40))</f>
        <v/>
      </c>
      <c r="BK40">
        <f>IF(J39&lt;=0,BH40,MAX(0,$F$12+BH40-J39-BI40))</f>
        <v/>
      </c>
      <c r="BL40">
        <f>IF(K39&lt;=0,0,K39*$E$13/12)</f>
        <v/>
      </c>
      <c r="BM40">
        <f>IF(K39&lt;=0,0,MIN(K39+BL40,$F$13+BK40))</f>
        <v/>
      </c>
      <c r="BN40">
        <f>IF(K39&lt;=0,BK40,MAX(0,$F$13+BK40-K39-BL40))</f>
        <v/>
      </c>
      <c r="BO40">
        <f>IF(L39&lt;=0,0,L39*$E$14/12)</f>
        <v/>
      </c>
      <c r="BP40">
        <f>IF(L39&lt;=0,0,MIN(L39+BO40,$F$14+BN40))</f>
        <v/>
      </c>
      <c r="BQ40">
        <f>IF(L39&lt;=0,BN40,MAX(0,$F$14+BN40-L39-BO40))</f>
        <v/>
      </c>
      <c r="BR40">
        <f>IF(M39&lt;=0,0,M39*$E$15/12)</f>
        <v/>
      </c>
      <c r="BS40">
        <f>IF(M39&lt;=0,0,MIN(M39+BR40,$F$15+BQ40))</f>
        <v/>
      </c>
      <c r="BT40">
        <f>IF(M39&lt;=0,BQ40,MAX(0,$F$15+BQ40-M39-BR40))</f>
        <v/>
      </c>
      <c r="BU40">
        <f>IF(N39&lt;=0,0,N39*$E$16/12)</f>
        <v/>
      </c>
      <c r="BV40">
        <f>IF(N39&lt;=0,0,MIN(N39+BU40,$F$16+BT40))</f>
        <v/>
      </c>
      <c r="BW40">
        <f>IF(N39&lt;=0,BT40,MAX(0,$F$16+BT40-N39-BU40))</f>
        <v/>
      </c>
      <c r="BX40">
        <f>IF(O39&lt;=0,0,O39*$E$17/12)</f>
        <v/>
      </c>
      <c r="BY40">
        <f>IF(O39&lt;=0,0,MIN(O39+BX40,$F$17+BW40))</f>
        <v/>
      </c>
      <c r="BZ40">
        <f>IF(O39&lt;=0,BW40,MAX(0,$F$17+BW40-O39-BX40))</f>
        <v/>
      </c>
      <c r="CA40">
        <f>IF(P39&lt;=0,0,P39*$E$18/12)</f>
        <v/>
      </c>
      <c r="CB40">
        <f>IF(P39&lt;=0,0,MIN(P39+CA40,$F$18+BZ40))</f>
        <v/>
      </c>
      <c r="CC40">
        <f>IF(P39&lt;=0,BZ40,MAX(0,$F$18+BZ40-P39-CA40))</f>
        <v/>
      </c>
      <c r="CD40">
        <f>IF(Q39&lt;=0,0,Q39*$E$19/12)</f>
        <v/>
      </c>
      <c r="CE40">
        <f>IF(Q39&lt;=0,0,MIN(Q39+CD40,$F$19+CC40))</f>
        <v/>
      </c>
      <c r="CF40">
        <f>IF(Q39&lt;=0,CC40,MAX(0,$F$19+CC40-Q39-CD40))</f>
        <v/>
      </c>
      <c r="CG40">
        <f>IF(R39&lt;=0,0,R39*$E$20/12)</f>
        <v/>
      </c>
      <c r="CH40">
        <f>IF(R39&lt;=0,0,MIN(R39+CG40,$F$20+CF40))</f>
        <v/>
      </c>
      <c r="CI40">
        <f>IF(R39&lt;=0,CF40,MAX(0,$F$20+CF40-R39-CG40))</f>
        <v/>
      </c>
      <c r="CJ40">
        <f>IF(S39&lt;=0,0,S39*$E$21/12)</f>
        <v/>
      </c>
      <c r="CK40">
        <f>IF(S39&lt;=0,0,MIN(S39+CJ40,$F$21+CI40))</f>
        <v/>
      </c>
      <c r="CL40">
        <f>IF(S39&lt;=0,CI40,MAX(0,$F$21+CI40-S39-CJ40))</f>
        <v/>
      </c>
      <c r="CM40">
        <f>IF(T39&lt;=0,0,T39*$E$22/12)</f>
        <v/>
      </c>
      <c r="CN40">
        <f>IF(T39&lt;=0,0,MIN(T39+CM40,$F$22+CL40))</f>
        <v/>
      </c>
      <c r="CO40">
        <f>IF(T39&lt;=0,CL40,MAX(0,$F$22+CL40-T39-CM40))</f>
        <v/>
      </c>
      <c r="CP40">
        <f>IF(U39&lt;=0,0,U39*$E$23/12)</f>
        <v/>
      </c>
      <c r="CQ40">
        <f>IF(U39&lt;=0,0,MIN(U39+CP40,$F$23+CO40))</f>
        <v/>
      </c>
      <c r="CR40">
        <f>IF(U39&lt;=0,CO40,MAX(0,$F$23+CO40-U39-CP40))</f>
        <v/>
      </c>
      <c r="CS40">
        <f>IF(V39&lt;=0,0,V39*$E$24/12)</f>
        <v/>
      </c>
      <c r="CT40">
        <f>IF(V39&lt;=0,0,MIN(V39+CS40,$F$24+CR40))</f>
        <v/>
      </c>
      <c r="CU40">
        <f>IF(V39&lt;=0,CR40,MAX(0,$F$24+CR40-V39-CS40))</f>
        <v/>
      </c>
    </row>
    <row r="41">
      <c r="B41" s="39" t="n">
        <v>15</v>
      </c>
      <c r="C41" s="13">
        <f>IF(C40&lt;=0,0,MAX(0,C40+AN41-AO41))</f>
        <v/>
      </c>
      <c r="D41" s="13">
        <f>IF(D40&lt;=0,0,MAX(0,D40+AQ41-AR41))</f>
        <v/>
      </c>
      <c r="E41" s="13">
        <f>IF(E40&lt;=0,0,MAX(0,E40+AT41-AU41))</f>
        <v/>
      </c>
      <c r="F41" s="13">
        <f>IF(F40&lt;=0,0,MAX(0,F40+AW41-AX41))</f>
        <v/>
      </c>
      <c r="G41" s="13">
        <f>IF(G40&lt;=0,0,MAX(0,G40+AZ41-BA41))</f>
        <v/>
      </c>
      <c r="H41" s="13">
        <f>IF(H40&lt;=0,0,MAX(0,H40+BC41-BD41))</f>
        <v/>
      </c>
      <c r="I41" s="13">
        <f>IF(I40&lt;=0,0,MAX(0,I40+BF41-BG41))</f>
        <v/>
      </c>
      <c r="J41" s="13">
        <f>IF(J40&lt;=0,0,MAX(0,J40+BI41-BJ41))</f>
        <v/>
      </c>
      <c r="K41" s="13">
        <f>IF(K40&lt;=0,0,MAX(0,K40+BL41-BM41))</f>
        <v/>
      </c>
      <c r="L41" s="13">
        <f>IF(L40&lt;=0,0,MAX(0,L40+BO41-BP41))</f>
        <v/>
      </c>
      <c r="M41" s="13">
        <f>IF(M40&lt;=0,0,MAX(0,M40+BR41-BS41))</f>
        <v/>
      </c>
      <c r="N41" s="13">
        <f>IF(N40&lt;=0,0,MAX(0,N40+BU41-BV41))</f>
        <v/>
      </c>
      <c r="O41" s="13">
        <f>IF(O40&lt;=0,0,MAX(0,O40+BX41-BY41))</f>
        <v/>
      </c>
      <c r="P41" s="13">
        <f>IF(P40&lt;=0,0,MAX(0,P40+CA41-CB41))</f>
        <v/>
      </c>
      <c r="Q41" s="13">
        <f>IF(Q40&lt;=0,0,MAX(0,Q40+CD41-CE41))</f>
        <v/>
      </c>
      <c r="R41" s="13">
        <f>IF(R40&lt;=0,0,MAX(0,R40+CG41-CH41))</f>
        <v/>
      </c>
      <c r="S41" s="13">
        <f>IF(S40&lt;=0,0,MAX(0,S40+CJ41-CK41))</f>
        <v/>
      </c>
      <c r="T41" s="13">
        <f>IF(T40&lt;=0,0,MAX(0,T40+CM41-CN41))</f>
        <v/>
      </c>
      <c r="U41" s="13">
        <f>IF(U40&lt;=0,0,MAX(0,U40+CP41-CQ41))</f>
        <v/>
      </c>
      <c r="V41" s="13">
        <f>IF(V40&lt;=0,0,MAX(0,V40+CS41-CT41))</f>
        <v/>
      </c>
      <c r="W41" s="13">
        <f>AO41+AR41+AU41+AX41+BA41+BD41+BG41+BJ41+BM41+BP41+BS41+BV41+BY41+CB41+CE41+CH41+CK41+CN41+CQ41+CT41</f>
        <v/>
      </c>
      <c r="X41" s="13">
        <f>AN41+AQ41+AT41+AW41+AZ41+BC41+BF41+BI41+BL41+BO41+BR41+BU41+BX41+CA41+CD41+CG41+CJ41+CM41+CP41+CS41</f>
        <v/>
      </c>
      <c r="Y41" s="27">
        <f>C41+D41+E41+F41+G41+H41+I41+J41+K41+L41+M41+N41+O41+P41+Q41+R41+S41+T41+U41+V41</f>
        <v/>
      </c>
      <c r="AN41">
        <f>IF(C40&lt;=0,0,C40*$E$5/12)</f>
        <v/>
      </c>
      <c r="AO41">
        <f>IF(C40&lt;=0,0,MIN(C40+AN41,$F$5+(Dashboard!$C$11+IF(C40&lt;=0,$F$5,0)+IF(D40&lt;=0,$F$6,0)+IF(E40&lt;=0,$F$7,0)+IF(F40&lt;=0,$F$8,0)+IF(G40&lt;=0,$F$9,0)+IF(H40&lt;=0,$F$10,0)+IF(I40&lt;=0,$F$11,0)+IF(J40&lt;=0,$F$12,0)+IF(K40&lt;=0,$F$13,0)+IF(L40&lt;=0,$F$14,0)+IF(M40&lt;=0,$F$15,0)+IF(N40&lt;=0,$F$16,0)+IF(O40&lt;=0,$F$17,0)+IF(P40&lt;=0,$F$18,0)+IF(Q40&lt;=0,$F$19,0)+IF(R40&lt;=0,$F$20,0)+IF(S40&lt;=0,$F$21,0)+IF(T40&lt;=0,$F$22,0)+IF(U40&lt;=0,$F$23,0)+IF(V40&lt;=0,$F$24,0))))</f>
        <v/>
      </c>
      <c r="AP41">
        <f>IF(C40&lt;=0,(Dashboard!$C$11+IF(C40&lt;=0,$F$5,0)+IF(D40&lt;=0,$F$6,0)+IF(E40&lt;=0,$F$7,0)+IF(F40&lt;=0,$F$8,0)+IF(G40&lt;=0,$F$9,0)+IF(H40&lt;=0,$F$10,0)+IF(I40&lt;=0,$F$11,0)+IF(J40&lt;=0,$F$12,0)+IF(K40&lt;=0,$F$13,0)+IF(L40&lt;=0,$F$14,0)+IF(M40&lt;=0,$F$15,0)+IF(N40&lt;=0,$F$16,0)+IF(O40&lt;=0,$F$17,0)+IF(P40&lt;=0,$F$18,0)+IF(Q40&lt;=0,$F$19,0)+IF(R40&lt;=0,$F$20,0)+IF(S40&lt;=0,$F$21,0)+IF(T40&lt;=0,$F$22,0)+IF(U40&lt;=0,$F$23,0)+IF(V40&lt;=0,$F$24,0)),MAX(0,$F$5+(Dashboard!$C$11+IF(C40&lt;=0,$F$5,0)+IF(D40&lt;=0,$F$6,0)+IF(E40&lt;=0,$F$7,0)+IF(F40&lt;=0,$F$8,0)+IF(G40&lt;=0,$F$9,0)+IF(H40&lt;=0,$F$10,0)+IF(I40&lt;=0,$F$11,0)+IF(J40&lt;=0,$F$12,0)+IF(K40&lt;=0,$F$13,0)+IF(L40&lt;=0,$F$14,0)+IF(M40&lt;=0,$F$15,0)+IF(N40&lt;=0,$F$16,0)+IF(O40&lt;=0,$F$17,0)+IF(P40&lt;=0,$F$18,0)+IF(Q40&lt;=0,$F$19,0)+IF(R40&lt;=0,$F$20,0)+IF(S40&lt;=0,$F$21,0)+IF(T40&lt;=0,$F$22,0)+IF(U40&lt;=0,$F$23,0)+IF(V40&lt;=0,$F$24,0))-C40-AN41))</f>
        <v/>
      </c>
      <c r="AQ41">
        <f>IF(D40&lt;=0,0,D40*$E$6/12)</f>
        <v/>
      </c>
      <c r="AR41">
        <f>IF(D40&lt;=0,0,MIN(D40+AQ41,$F$6+AP41))</f>
        <v/>
      </c>
      <c r="AS41">
        <f>IF(D40&lt;=0,AP41,MAX(0,$F$6+AP41-D40-AQ41))</f>
        <v/>
      </c>
      <c r="AT41">
        <f>IF(E40&lt;=0,0,E40*$E$7/12)</f>
        <v/>
      </c>
      <c r="AU41">
        <f>IF(E40&lt;=0,0,MIN(E40+AT41,$F$7+AS41))</f>
        <v/>
      </c>
      <c r="AV41">
        <f>IF(E40&lt;=0,AS41,MAX(0,$F$7+AS41-E40-AT41))</f>
        <v/>
      </c>
      <c r="AW41">
        <f>IF(F40&lt;=0,0,F40*$E$8/12)</f>
        <v/>
      </c>
      <c r="AX41">
        <f>IF(F40&lt;=0,0,MIN(F40+AW41,$F$8+AV41))</f>
        <v/>
      </c>
      <c r="AY41">
        <f>IF(F40&lt;=0,AV41,MAX(0,$F$8+AV41-F40-AW41))</f>
        <v/>
      </c>
      <c r="AZ41">
        <f>IF(G40&lt;=0,0,G40*$E$9/12)</f>
        <v/>
      </c>
      <c r="BA41">
        <f>IF(G40&lt;=0,0,MIN(G40+AZ41,$F$9+AY41))</f>
        <v/>
      </c>
      <c r="BB41">
        <f>IF(G40&lt;=0,AY41,MAX(0,$F$9+AY41-G40-AZ41))</f>
        <v/>
      </c>
      <c r="BC41">
        <f>IF(H40&lt;=0,0,H40*$E$10/12)</f>
        <v/>
      </c>
      <c r="BD41">
        <f>IF(H40&lt;=0,0,MIN(H40+BC41,$F$10+BB41))</f>
        <v/>
      </c>
      <c r="BE41">
        <f>IF(H40&lt;=0,BB41,MAX(0,$F$10+BB41-H40-BC41))</f>
        <v/>
      </c>
      <c r="BF41">
        <f>IF(I40&lt;=0,0,I40*$E$11/12)</f>
        <v/>
      </c>
      <c r="BG41">
        <f>IF(I40&lt;=0,0,MIN(I40+BF41,$F$11+BE41))</f>
        <v/>
      </c>
      <c r="BH41">
        <f>IF(I40&lt;=0,BE41,MAX(0,$F$11+BE41-I40-BF41))</f>
        <v/>
      </c>
      <c r="BI41">
        <f>IF(J40&lt;=0,0,J40*$E$12/12)</f>
        <v/>
      </c>
      <c r="BJ41">
        <f>IF(J40&lt;=0,0,MIN(J40+BI41,$F$12+BH41))</f>
        <v/>
      </c>
      <c r="BK41">
        <f>IF(J40&lt;=0,BH41,MAX(0,$F$12+BH41-J40-BI41))</f>
        <v/>
      </c>
      <c r="BL41">
        <f>IF(K40&lt;=0,0,K40*$E$13/12)</f>
        <v/>
      </c>
      <c r="BM41">
        <f>IF(K40&lt;=0,0,MIN(K40+BL41,$F$13+BK41))</f>
        <v/>
      </c>
      <c r="BN41">
        <f>IF(K40&lt;=0,BK41,MAX(0,$F$13+BK41-K40-BL41))</f>
        <v/>
      </c>
      <c r="BO41">
        <f>IF(L40&lt;=0,0,L40*$E$14/12)</f>
        <v/>
      </c>
      <c r="BP41">
        <f>IF(L40&lt;=0,0,MIN(L40+BO41,$F$14+BN41))</f>
        <v/>
      </c>
      <c r="BQ41">
        <f>IF(L40&lt;=0,BN41,MAX(0,$F$14+BN41-L40-BO41))</f>
        <v/>
      </c>
      <c r="BR41">
        <f>IF(M40&lt;=0,0,M40*$E$15/12)</f>
        <v/>
      </c>
      <c r="BS41">
        <f>IF(M40&lt;=0,0,MIN(M40+BR41,$F$15+BQ41))</f>
        <v/>
      </c>
      <c r="BT41">
        <f>IF(M40&lt;=0,BQ41,MAX(0,$F$15+BQ41-M40-BR41))</f>
        <v/>
      </c>
      <c r="BU41">
        <f>IF(N40&lt;=0,0,N40*$E$16/12)</f>
        <v/>
      </c>
      <c r="BV41">
        <f>IF(N40&lt;=0,0,MIN(N40+BU41,$F$16+BT41))</f>
        <v/>
      </c>
      <c r="BW41">
        <f>IF(N40&lt;=0,BT41,MAX(0,$F$16+BT41-N40-BU41))</f>
        <v/>
      </c>
      <c r="BX41">
        <f>IF(O40&lt;=0,0,O40*$E$17/12)</f>
        <v/>
      </c>
      <c r="BY41">
        <f>IF(O40&lt;=0,0,MIN(O40+BX41,$F$17+BW41))</f>
        <v/>
      </c>
      <c r="BZ41">
        <f>IF(O40&lt;=0,BW41,MAX(0,$F$17+BW41-O40-BX41))</f>
        <v/>
      </c>
      <c r="CA41">
        <f>IF(P40&lt;=0,0,P40*$E$18/12)</f>
        <v/>
      </c>
      <c r="CB41">
        <f>IF(P40&lt;=0,0,MIN(P40+CA41,$F$18+BZ41))</f>
        <v/>
      </c>
      <c r="CC41">
        <f>IF(P40&lt;=0,BZ41,MAX(0,$F$18+BZ41-P40-CA41))</f>
        <v/>
      </c>
      <c r="CD41">
        <f>IF(Q40&lt;=0,0,Q40*$E$19/12)</f>
        <v/>
      </c>
      <c r="CE41">
        <f>IF(Q40&lt;=0,0,MIN(Q40+CD41,$F$19+CC41))</f>
        <v/>
      </c>
      <c r="CF41">
        <f>IF(Q40&lt;=0,CC41,MAX(0,$F$19+CC41-Q40-CD41))</f>
        <v/>
      </c>
      <c r="CG41">
        <f>IF(R40&lt;=0,0,R40*$E$20/12)</f>
        <v/>
      </c>
      <c r="CH41">
        <f>IF(R40&lt;=0,0,MIN(R40+CG41,$F$20+CF41))</f>
        <v/>
      </c>
      <c r="CI41">
        <f>IF(R40&lt;=0,CF41,MAX(0,$F$20+CF41-R40-CG41))</f>
        <v/>
      </c>
      <c r="CJ41">
        <f>IF(S40&lt;=0,0,S40*$E$21/12)</f>
        <v/>
      </c>
      <c r="CK41">
        <f>IF(S40&lt;=0,0,MIN(S40+CJ41,$F$21+CI41))</f>
        <v/>
      </c>
      <c r="CL41">
        <f>IF(S40&lt;=0,CI41,MAX(0,$F$21+CI41-S40-CJ41))</f>
        <v/>
      </c>
      <c r="CM41">
        <f>IF(T40&lt;=0,0,T40*$E$22/12)</f>
        <v/>
      </c>
      <c r="CN41">
        <f>IF(T40&lt;=0,0,MIN(T40+CM41,$F$22+CL41))</f>
        <v/>
      </c>
      <c r="CO41">
        <f>IF(T40&lt;=0,CL41,MAX(0,$F$22+CL41-T40-CM41))</f>
        <v/>
      </c>
      <c r="CP41">
        <f>IF(U40&lt;=0,0,U40*$E$23/12)</f>
        <v/>
      </c>
      <c r="CQ41">
        <f>IF(U40&lt;=0,0,MIN(U40+CP41,$F$23+CO41))</f>
        <v/>
      </c>
      <c r="CR41">
        <f>IF(U40&lt;=0,CO41,MAX(0,$F$23+CO41-U40-CP41))</f>
        <v/>
      </c>
      <c r="CS41">
        <f>IF(V40&lt;=0,0,V40*$E$24/12)</f>
        <v/>
      </c>
      <c r="CT41">
        <f>IF(V40&lt;=0,0,MIN(V40+CS41,$F$24+CR41))</f>
        <v/>
      </c>
      <c r="CU41">
        <f>IF(V40&lt;=0,CR41,MAX(0,$F$24+CR41-V40-CS41))</f>
        <v/>
      </c>
    </row>
    <row r="42">
      <c r="B42" s="39" t="n">
        <v>16</v>
      </c>
      <c r="C42" s="13">
        <f>IF(C41&lt;=0,0,MAX(0,C41+AN42-AO42))</f>
        <v/>
      </c>
      <c r="D42" s="13">
        <f>IF(D41&lt;=0,0,MAX(0,D41+AQ42-AR42))</f>
        <v/>
      </c>
      <c r="E42" s="13">
        <f>IF(E41&lt;=0,0,MAX(0,E41+AT42-AU42))</f>
        <v/>
      </c>
      <c r="F42" s="13">
        <f>IF(F41&lt;=0,0,MAX(0,F41+AW42-AX42))</f>
        <v/>
      </c>
      <c r="G42" s="13">
        <f>IF(G41&lt;=0,0,MAX(0,G41+AZ42-BA42))</f>
        <v/>
      </c>
      <c r="H42" s="13">
        <f>IF(H41&lt;=0,0,MAX(0,H41+BC42-BD42))</f>
        <v/>
      </c>
      <c r="I42" s="13">
        <f>IF(I41&lt;=0,0,MAX(0,I41+BF42-BG42))</f>
        <v/>
      </c>
      <c r="J42" s="13">
        <f>IF(J41&lt;=0,0,MAX(0,J41+BI42-BJ42))</f>
        <v/>
      </c>
      <c r="K42" s="13">
        <f>IF(K41&lt;=0,0,MAX(0,K41+BL42-BM42))</f>
        <v/>
      </c>
      <c r="L42" s="13">
        <f>IF(L41&lt;=0,0,MAX(0,L41+BO42-BP42))</f>
        <v/>
      </c>
      <c r="M42" s="13">
        <f>IF(M41&lt;=0,0,MAX(0,M41+BR42-BS42))</f>
        <v/>
      </c>
      <c r="N42" s="13">
        <f>IF(N41&lt;=0,0,MAX(0,N41+BU42-BV42))</f>
        <v/>
      </c>
      <c r="O42" s="13">
        <f>IF(O41&lt;=0,0,MAX(0,O41+BX42-BY42))</f>
        <v/>
      </c>
      <c r="P42" s="13">
        <f>IF(P41&lt;=0,0,MAX(0,P41+CA42-CB42))</f>
        <v/>
      </c>
      <c r="Q42" s="13">
        <f>IF(Q41&lt;=0,0,MAX(0,Q41+CD42-CE42))</f>
        <v/>
      </c>
      <c r="R42" s="13">
        <f>IF(R41&lt;=0,0,MAX(0,R41+CG42-CH42))</f>
        <v/>
      </c>
      <c r="S42" s="13">
        <f>IF(S41&lt;=0,0,MAX(0,S41+CJ42-CK42))</f>
        <v/>
      </c>
      <c r="T42" s="13">
        <f>IF(T41&lt;=0,0,MAX(0,T41+CM42-CN42))</f>
        <v/>
      </c>
      <c r="U42" s="13">
        <f>IF(U41&lt;=0,0,MAX(0,U41+CP42-CQ42))</f>
        <v/>
      </c>
      <c r="V42" s="13">
        <f>IF(V41&lt;=0,0,MAX(0,V41+CS42-CT42))</f>
        <v/>
      </c>
      <c r="W42" s="13">
        <f>AO42+AR42+AU42+AX42+BA42+BD42+BG42+BJ42+BM42+BP42+BS42+BV42+BY42+CB42+CE42+CH42+CK42+CN42+CQ42+CT42</f>
        <v/>
      </c>
      <c r="X42" s="13">
        <f>AN42+AQ42+AT42+AW42+AZ42+BC42+BF42+BI42+BL42+BO42+BR42+BU42+BX42+CA42+CD42+CG42+CJ42+CM42+CP42+CS42</f>
        <v/>
      </c>
      <c r="Y42" s="27">
        <f>C42+D42+E42+F42+G42+H42+I42+J42+K42+L42+M42+N42+O42+P42+Q42+R42+S42+T42+U42+V42</f>
        <v/>
      </c>
      <c r="AN42">
        <f>IF(C41&lt;=0,0,C41*$E$5/12)</f>
        <v/>
      </c>
      <c r="AO42">
        <f>IF(C41&lt;=0,0,MIN(C41+AN42,$F$5+(Dashboard!$C$11+IF(C41&lt;=0,$F$5,0)+IF(D41&lt;=0,$F$6,0)+IF(E41&lt;=0,$F$7,0)+IF(F41&lt;=0,$F$8,0)+IF(G41&lt;=0,$F$9,0)+IF(H41&lt;=0,$F$10,0)+IF(I41&lt;=0,$F$11,0)+IF(J41&lt;=0,$F$12,0)+IF(K41&lt;=0,$F$13,0)+IF(L41&lt;=0,$F$14,0)+IF(M41&lt;=0,$F$15,0)+IF(N41&lt;=0,$F$16,0)+IF(O41&lt;=0,$F$17,0)+IF(P41&lt;=0,$F$18,0)+IF(Q41&lt;=0,$F$19,0)+IF(R41&lt;=0,$F$20,0)+IF(S41&lt;=0,$F$21,0)+IF(T41&lt;=0,$F$22,0)+IF(U41&lt;=0,$F$23,0)+IF(V41&lt;=0,$F$24,0))))</f>
        <v/>
      </c>
      <c r="AP42">
        <f>IF(C41&lt;=0,(Dashboard!$C$11+IF(C41&lt;=0,$F$5,0)+IF(D41&lt;=0,$F$6,0)+IF(E41&lt;=0,$F$7,0)+IF(F41&lt;=0,$F$8,0)+IF(G41&lt;=0,$F$9,0)+IF(H41&lt;=0,$F$10,0)+IF(I41&lt;=0,$F$11,0)+IF(J41&lt;=0,$F$12,0)+IF(K41&lt;=0,$F$13,0)+IF(L41&lt;=0,$F$14,0)+IF(M41&lt;=0,$F$15,0)+IF(N41&lt;=0,$F$16,0)+IF(O41&lt;=0,$F$17,0)+IF(P41&lt;=0,$F$18,0)+IF(Q41&lt;=0,$F$19,0)+IF(R41&lt;=0,$F$20,0)+IF(S41&lt;=0,$F$21,0)+IF(T41&lt;=0,$F$22,0)+IF(U41&lt;=0,$F$23,0)+IF(V41&lt;=0,$F$24,0)),MAX(0,$F$5+(Dashboard!$C$11+IF(C41&lt;=0,$F$5,0)+IF(D41&lt;=0,$F$6,0)+IF(E41&lt;=0,$F$7,0)+IF(F41&lt;=0,$F$8,0)+IF(G41&lt;=0,$F$9,0)+IF(H41&lt;=0,$F$10,0)+IF(I41&lt;=0,$F$11,0)+IF(J41&lt;=0,$F$12,0)+IF(K41&lt;=0,$F$13,0)+IF(L41&lt;=0,$F$14,0)+IF(M41&lt;=0,$F$15,0)+IF(N41&lt;=0,$F$16,0)+IF(O41&lt;=0,$F$17,0)+IF(P41&lt;=0,$F$18,0)+IF(Q41&lt;=0,$F$19,0)+IF(R41&lt;=0,$F$20,0)+IF(S41&lt;=0,$F$21,0)+IF(T41&lt;=0,$F$22,0)+IF(U41&lt;=0,$F$23,0)+IF(V41&lt;=0,$F$24,0))-C41-AN42))</f>
        <v/>
      </c>
      <c r="AQ42">
        <f>IF(D41&lt;=0,0,D41*$E$6/12)</f>
        <v/>
      </c>
      <c r="AR42">
        <f>IF(D41&lt;=0,0,MIN(D41+AQ42,$F$6+AP42))</f>
        <v/>
      </c>
      <c r="AS42">
        <f>IF(D41&lt;=0,AP42,MAX(0,$F$6+AP42-D41-AQ42))</f>
        <v/>
      </c>
      <c r="AT42">
        <f>IF(E41&lt;=0,0,E41*$E$7/12)</f>
        <v/>
      </c>
      <c r="AU42">
        <f>IF(E41&lt;=0,0,MIN(E41+AT42,$F$7+AS42))</f>
        <v/>
      </c>
      <c r="AV42">
        <f>IF(E41&lt;=0,AS42,MAX(0,$F$7+AS42-E41-AT42))</f>
        <v/>
      </c>
      <c r="AW42">
        <f>IF(F41&lt;=0,0,F41*$E$8/12)</f>
        <v/>
      </c>
      <c r="AX42">
        <f>IF(F41&lt;=0,0,MIN(F41+AW42,$F$8+AV42))</f>
        <v/>
      </c>
      <c r="AY42">
        <f>IF(F41&lt;=0,AV42,MAX(0,$F$8+AV42-F41-AW42))</f>
        <v/>
      </c>
      <c r="AZ42">
        <f>IF(G41&lt;=0,0,G41*$E$9/12)</f>
        <v/>
      </c>
      <c r="BA42">
        <f>IF(G41&lt;=0,0,MIN(G41+AZ42,$F$9+AY42))</f>
        <v/>
      </c>
      <c r="BB42">
        <f>IF(G41&lt;=0,AY42,MAX(0,$F$9+AY42-G41-AZ42))</f>
        <v/>
      </c>
      <c r="BC42">
        <f>IF(H41&lt;=0,0,H41*$E$10/12)</f>
        <v/>
      </c>
      <c r="BD42">
        <f>IF(H41&lt;=0,0,MIN(H41+BC42,$F$10+BB42))</f>
        <v/>
      </c>
      <c r="BE42">
        <f>IF(H41&lt;=0,BB42,MAX(0,$F$10+BB42-H41-BC42))</f>
        <v/>
      </c>
      <c r="BF42">
        <f>IF(I41&lt;=0,0,I41*$E$11/12)</f>
        <v/>
      </c>
      <c r="BG42">
        <f>IF(I41&lt;=0,0,MIN(I41+BF42,$F$11+BE42))</f>
        <v/>
      </c>
      <c r="BH42">
        <f>IF(I41&lt;=0,BE42,MAX(0,$F$11+BE42-I41-BF42))</f>
        <v/>
      </c>
      <c r="BI42">
        <f>IF(J41&lt;=0,0,J41*$E$12/12)</f>
        <v/>
      </c>
      <c r="BJ42">
        <f>IF(J41&lt;=0,0,MIN(J41+BI42,$F$12+BH42))</f>
        <v/>
      </c>
      <c r="BK42">
        <f>IF(J41&lt;=0,BH42,MAX(0,$F$12+BH42-J41-BI42))</f>
        <v/>
      </c>
      <c r="BL42">
        <f>IF(K41&lt;=0,0,K41*$E$13/12)</f>
        <v/>
      </c>
      <c r="BM42">
        <f>IF(K41&lt;=0,0,MIN(K41+BL42,$F$13+BK42))</f>
        <v/>
      </c>
      <c r="BN42">
        <f>IF(K41&lt;=0,BK42,MAX(0,$F$13+BK42-K41-BL42))</f>
        <v/>
      </c>
      <c r="BO42">
        <f>IF(L41&lt;=0,0,L41*$E$14/12)</f>
        <v/>
      </c>
      <c r="BP42">
        <f>IF(L41&lt;=0,0,MIN(L41+BO42,$F$14+BN42))</f>
        <v/>
      </c>
      <c r="BQ42">
        <f>IF(L41&lt;=0,BN42,MAX(0,$F$14+BN42-L41-BO42))</f>
        <v/>
      </c>
      <c r="BR42">
        <f>IF(M41&lt;=0,0,M41*$E$15/12)</f>
        <v/>
      </c>
      <c r="BS42">
        <f>IF(M41&lt;=0,0,MIN(M41+BR42,$F$15+BQ42))</f>
        <v/>
      </c>
      <c r="BT42">
        <f>IF(M41&lt;=0,BQ42,MAX(0,$F$15+BQ42-M41-BR42))</f>
        <v/>
      </c>
      <c r="BU42">
        <f>IF(N41&lt;=0,0,N41*$E$16/12)</f>
        <v/>
      </c>
      <c r="BV42">
        <f>IF(N41&lt;=0,0,MIN(N41+BU42,$F$16+BT42))</f>
        <v/>
      </c>
      <c r="BW42">
        <f>IF(N41&lt;=0,BT42,MAX(0,$F$16+BT42-N41-BU42))</f>
        <v/>
      </c>
      <c r="BX42">
        <f>IF(O41&lt;=0,0,O41*$E$17/12)</f>
        <v/>
      </c>
      <c r="BY42">
        <f>IF(O41&lt;=0,0,MIN(O41+BX42,$F$17+BW42))</f>
        <v/>
      </c>
      <c r="BZ42">
        <f>IF(O41&lt;=0,BW42,MAX(0,$F$17+BW42-O41-BX42))</f>
        <v/>
      </c>
      <c r="CA42">
        <f>IF(P41&lt;=0,0,P41*$E$18/12)</f>
        <v/>
      </c>
      <c r="CB42">
        <f>IF(P41&lt;=0,0,MIN(P41+CA42,$F$18+BZ42))</f>
        <v/>
      </c>
      <c r="CC42">
        <f>IF(P41&lt;=0,BZ42,MAX(0,$F$18+BZ42-P41-CA42))</f>
        <v/>
      </c>
      <c r="CD42">
        <f>IF(Q41&lt;=0,0,Q41*$E$19/12)</f>
        <v/>
      </c>
      <c r="CE42">
        <f>IF(Q41&lt;=0,0,MIN(Q41+CD42,$F$19+CC42))</f>
        <v/>
      </c>
      <c r="CF42">
        <f>IF(Q41&lt;=0,CC42,MAX(0,$F$19+CC42-Q41-CD42))</f>
        <v/>
      </c>
      <c r="CG42">
        <f>IF(R41&lt;=0,0,R41*$E$20/12)</f>
        <v/>
      </c>
      <c r="CH42">
        <f>IF(R41&lt;=0,0,MIN(R41+CG42,$F$20+CF42))</f>
        <v/>
      </c>
      <c r="CI42">
        <f>IF(R41&lt;=0,CF42,MAX(0,$F$20+CF42-R41-CG42))</f>
        <v/>
      </c>
      <c r="CJ42">
        <f>IF(S41&lt;=0,0,S41*$E$21/12)</f>
        <v/>
      </c>
      <c r="CK42">
        <f>IF(S41&lt;=0,0,MIN(S41+CJ42,$F$21+CI42))</f>
        <v/>
      </c>
      <c r="CL42">
        <f>IF(S41&lt;=0,CI42,MAX(0,$F$21+CI42-S41-CJ42))</f>
        <v/>
      </c>
      <c r="CM42">
        <f>IF(T41&lt;=0,0,T41*$E$22/12)</f>
        <v/>
      </c>
      <c r="CN42">
        <f>IF(T41&lt;=0,0,MIN(T41+CM42,$F$22+CL42))</f>
        <v/>
      </c>
      <c r="CO42">
        <f>IF(T41&lt;=0,CL42,MAX(0,$F$22+CL42-T41-CM42))</f>
        <v/>
      </c>
      <c r="CP42">
        <f>IF(U41&lt;=0,0,U41*$E$23/12)</f>
        <v/>
      </c>
      <c r="CQ42">
        <f>IF(U41&lt;=0,0,MIN(U41+CP42,$F$23+CO42))</f>
        <v/>
      </c>
      <c r="CR42">
        <f>IF(U41&lt;=0,CO42,MAX(0,$F$23+CO42-U41-CP42))</f>
        <v/>
      </c>
      <c r="CS42">
        <f>IF(V41&lt;=0,0,V41*$E$24/12)</f>
        <v/>
      </c>
      <c r="CT42">
        <f>IF(V41&lt;=0,0,MIN(V41+CS42,$F$24+CR42))</f>
        <v/>
      </c>
      <c r="CU42">
        <f>IF(V41&lt;=0,CR42,MAX(0,$F$24+CR42-V41-CS42))</f>
        <v/>
      </c>
    </row>
    <row r="43">
      <c r="B43" s="39" t="n">
        <v>17</v>
      </c>
      <c r="C43" s="13">
        <f>IF(C42&lt;=0,0,MAX(0,C42+AN43-AO43))</f>
        <v/>
      </c>
      <c r="D43" s="13">
        <f>IF(D42&lt;=0,0,MAX(0,D42+AQ43-AR43))</f>
        <v/>
      </c>
      <c r="E43" s="13">
        <f>IF(E42&lt;=0,0,MAX(0,E42+AT43-AU43))</f>
        <v/>
      </c>
      <c r="F43" s="13">
        <f>IF(F42&lt;=0,0,MAX(0,F42+AW43-AX43))</f>
        <v/>
      </c>
      <c r="G43" s="13">
        <f>IF(G42&lt;=0,0,MAX(0,G42+AZ43-BA43))</f>
        <v/>
      </c>
      <c r="H43" s="13">
        <f>IF(H42&lt;=0,0,MAX(0,H42+BC43-BD43))</f>
        <v/>
      </c>
      <c r="I43" s="13">
        <f>IF(I42&lt;=0,0,MAX(0,I42+BF43-BG43))</f>
        <v/>
      </c>
      <c r="J43" s="13">
        <f>IF(J42&lt;=0,0,MAX(0,J42+BI43-BJ43))</f>
        <v/>
      </c>
      <c r="K43" s="13">
        <f>IF(K42&lt;=0,0,MAX(0,K42+BL43-BM43))</f>
        <v/>
      </c>
      <c r="L43" s="13">
        <f>IF(L42&lt;=0,0,MAX(0,L42+BO43-BP43))</f>
        <v/>
      </c>
      <c r="M43" s="13">
        <f>IF(M42&lt;=0,0,MAX(0,M42+BR43-BS43))</f>
        <v/>
      </c>
      <c r="N43" s="13">
        <f>IF(N42&lt;=0,0,MAX(0,N42+BU43-BV43))</f>
        <v/>
      </c>
      <c r="O43" s="13">
        <f>IF(O42&lt;=0,0,MAX(0,O42+BX43-BY43))</f>
        <v/>
      </c>
      <c r="P43" s="13">
        <f>IF(P42&lt;=0,0,MAX(0,P42+CA43-CB43))</f>
        <v/>
      </c>
      <c r="Q43" s="13">
        <f>IF(Q42&lt;=0,0,MAX(0,Q42+CD43-CE43))</f>
        <v/>
      </c>
      <c r="R43" s="13">
        <f>IF(R42&lt;=0,0,MAX(0,R42+CG43-CH43))</f>
        <v/>
      </c>
      <c r="S43" s="13">
        <f>IF(S42&lt;=0,0,MAX(0,S42+CJ43-CK43))</f>
        <v/>
      </c>
      <c r="T43" s="13">
        <f>IF(T42&lt;=0,0,MAX(0,T42+CM43-CN43))</f>
        <v/>
      </c>
      <c r="U43" s="13">
        <f>IF(U42&lt;=0,0,MAX(0,U42+CP43-CQ43))</f>
        <v/>
      </c>
      <c r="V43" s="13">
        <f>IF(V42&lt;=0,0,MAX(0,V42+CS43-CT43))</f>
        <v/>
      </c>
      <c r="W43" s="13">
        <f>AO43+AR43+AU43+AX43+BA43+BD43+BG43+BJ43+BM43+BP43+BS43+BV43+BY43+CB43+CE43+CH43+CK43+CN43+CQ43+CT43</f>
        <v/>
      </c>
      <c r="X43" s="13">
        <f>AN43+AQ43+AT43+AW43+AZ43+BC43+BF43+BI43+BL43+BO43+BR43+BU43+BX43+CA43+CD43+CG43+CJ43+CM43+CP43+CS43</f>
        <v/>
      </c>
      <c r="Y43" s="27">
        <f>C43+D43+E43+F43+G43+H43+I43+J43+K43+L43+M43+N43+O43+P43+Q43+R43+S43+T43+U43+V43</f>
        <v/>
      </c>
      <c r="AN43">
        <f>IF(C42&lt;=0,0,C42*$E$5/12)</f>
        <v/>
      </c>
      <c r="AO43">
        <f>IF(C42&lt;=0,0,MIN(C42+AN43,$F$5+(Dashboard!$C$11+IF(C42&lt;=0,$F$5,0)+IF(D42&lt;=0,$F$6,0)+IF(E42&lt;=0,$F$7,0)+IF(F42&lt;=0,$F$8,0)+IF(G42&lt;=0,$F$9,0)+IF(H42&lt;=0,$F$10,0)+IF(I42&lt;=0,$F$11,0)+IF(J42&lt;=0,$F$12,0)+IF(K42&lt;=0,$F$13,0)+IF(L42&lt;=0,$F$14,0)+IF(M42&lt;=0,$F$15,0)+IF(N42&lt;=0,$F$16,0)+IF(O42&lt;=0,$F$17,0)+IF(P42&lt;=0,$F$18,0)+IF(Q42&lt;=0,$F$19,0)+IF(R42&lt;=0,$F$20,0)+IF(S42&lt;=0,$F$21,0)+IF(T42&lt;=0,$F$22,0)+IF(U42&lt;=0,$F$23,0)+IF(V42&lt;=0,$F$24,0))))</f>
        <v/>
      </c>
      <c r="AP43">
        <f>IF(C42&lt;=0,(Dashboard!$C$11+IF(C42&lt;=0,$F$5,0)+IF(D42&lt;=0,$F$6,0)+IF(E42&lt;=0,$F$7,0)+IF(F42&lt;=0,$F$8,0)+IF(G42&lt;=0,$F$9,0)+IF(H42&lt;=0,$F$10,0)+IF(I42&lt;=0,$F$11,0)+IF(J42&lt;=0,$F$12,0)+IF(K42&lt;=0,$F$13,0)+IF(L42&lt;=0,$F$14,0)+IF(M42&lt;=0,$F$15,0)+IF(N42&lt;=0,$F$16,0)+IF(O42&lt;=0,$F$17,0)+IF(P42&lt;=0,$F$18,0)+IF(Q42&lt;=0,$F$19,0)+IF(R42&lt;=0,$F$20,0)+IF(S42&lt;=0,$F$21,0)+IF(T42&lt;=0,$F$22,0)+IF(U42&lt;=0,$F$23,0)+IF(V42&lt;=0,$F$24,0)),MAX(0,$F$5+(Dashboard!$C$11+IF(C42&lt;=0,$F$5,0)+IF(D42&lt;=0,$F$6,0)+IF(E42&lt;=0,$F$7,0)+IF(F42&lt;=0,$F$8,0)+IF(G42&lt;=0,$F$9,0)+IF(H42&lt;=0,$F$10,0)+IF(I42&lt;=0,$F$11,0)+IF(J42&lt;=0,$F$12,0)+IF(K42&lt;=0,$F$13,0)+IF(L42&lt;=0,$F$14,0)+IF(M42&lt;=0,$F$15,0)+IF(N42&lt;=0,$F$16,0)+IF(O42&lt;=0,$F$17,0)+IF(P42&lt;=0,$F$18,0)+IF(Q42&lt;=0,$F$19,0)+IF(R42&lt;=0,$F$20,0)+IF(S42&lt;=0,$F$21,0)+IF(T42&lt;=0,$F$22,0)+IF(U42&lt;=0,$F$23,0)+IF(V42&lt;=0,$F$24,0))-C42-AN43))</f>
        <v/>
      </c>
      <c r="AQ43">
        <f>IF(D42&lt;=0,0,D42*$E$6/12)</f>
        <v/>
      </c>
      <c r="AR43">
        <f>IF(D42&lt;=0,0,MIN(D42+AQ43,$F$6+AP43))</f>
        <v/>
      </c>
      <c r="AS43">
        <f>IF(D42&lt;=0,AP43,MAX(0,$F$6+AP43-D42-AQ43))</f>
        <v/>
      </c>
      <c r="AT43">
        <f>IF(E42&lt;=0,0,E42*$E$7/12)</f>
        <v/>
      </c>
      <c r="AU43">
        <f>IF(E42&lt;=0,0,MIN(E42+AT43,$F$7+AS43))</f>
        <v/>
      </c>
      <c r="AV43">
        <f>IF(E42&lt;=0,AS43,MAX(0,$F$7+AS43-E42-AT43))</f>
        <v/>
      </c>
      <c r="AW43">
        <f>IF(F42&lt;=0,0,F42*$E$8/12)</f>
        <v/>
      </c>
      <c r="AX43">
        <f>IF(F42&lt;=0,0,MIN(F42+AW43,$F$8+AV43))</f>
        <v/>
      </c>
      <c r="AY43">
        <f>IF(F42&lt;=0,AV43,MAX(0,$F$8+AV43-F42-AW43))</f>
        <v/>
      </c>
      <c r="AZ43">
        <f>IF(G42&lt;=0,0,G42*$E$9/12)</f>
        <v/>
      </c>
      <c r="BA43">
        <f>IF(G42&lt;=0,0,MIN(G42+AZ43,$F$9+AY43))</f>
        <v/>
      </c>
      <c r="BB43">
        <f>IF(G42&lt;=0,AY43,MAX(0,$F$9+AY43-G42-AZ43))</f>
        <v/>
      </c>
      <c r="BC43">
        <f>IF(H42&lt;=0,0,H42*$E$10/12)</f>
        <v/>
      </c>
      <c r="BD43">
        <f>IF(H42&lt;=0,0,MIN(H42+BC43,$F$10+BB43))</f>
        <v/>
      </c>
      <c r="BE43">
        <f>IF(H42&lt;=0,BB43,MAX(0,$F$10+BB43-H42-BC43))</f>
        <v/>
      </c>
      <c r="BF43">
        <f>IF(I42&lt;=0,0,I42*$E$11/12)</f>
        <v/>
      </c>
      <c r="BG43">
        <f>IF(I42&lt;=0,0,MIN(I42+BF43,$F$11+BE43))</f>
        <v/>
      </c>
      <c r="BH43">
        <f>IF(I42&lt;=0,BE43,MAX(0,$F$11+BE43-I42-BF43))</f>
        <v/>
      </c>
      <c r="BI43">
        <f>IF(J42&lt;=0,0,J42*$E$12/12)</f>
        <v/>
      </c>
      <c r="BJ43">
        <f>IF(J42&lt;=0,0,MIN(J42+BI43,$F$12+BH43))</f>
        <v/>
      </c>
      <c r="BK43">
        <f>IF(J42&lt;=0,BH43,MAX(0,$F$12+BH43-J42-BI43))</f>
        <v/>
      </c>
      <c r="BL43">
        <f>IF(K42&lt;=0,0,K42*$E$13/12)</f>
        <v/>
      </c>
      <c r="BM43">
        <f>IF(K42&lt;=0,0,MIN(K42+BL43,$F$13+BK43))</f>
        <v/>
      </c>
      <c r="BN43">
        <f>IF(K42&lt;=0,BK43,MAX(0,$F$13+BK43-K42-BL43))</f>
        <v/>
      </c>
      <c r="BO43">
        <f>IF(L42&lt;=0,0,L42*$E$14/12)</f>
        <v/>
      </c>
      <c r="BP43">
        <f>IF(L42&lt;=0,0,MIN(L42+BO43,$F$14+BN43))</f>
        <v/>
      </c>
      <c r="BQ43">
        <f>IF(L42&lt;=0,BN43,MAX(0,$F$14+BN43-L42-BO43))</f>
        <v/>
      </c>
      <c r="BR43">
        <f>IF(M42&lt;=0,0,M42*$E$15/12)</f>
        <v/>
      </c>
      <c r="BS43">
        <f>IF(M42&lt;=0,0,MIN(M42+BR43,$F$15+BQ43))</f>
        <v/>
      </c>
      <c r="BT43">
        <f>IF(M42&lt;=0,BQ43,MAX(0,$F$15+BQ43-M42-BR43))</f>
        <v/>
      </c>
      <c r="BU43">
        <f>IF(N42&lt;=0,0,N42*$E$16/12)</f>
        <v/>
      </c>
      <c r="BV43">
        <f>IF(N42&lt;=0,0,MIN(N42+BU43,$F$16+BT43))</f>
        <v/>
      </c>
      <c r="BW43">
        <f>IF(N42&lt;=0,BT43,MAX(0,$F$16+BT43-N42-BU43))</f>
        <v/>
      </c>
      <c r="BX43">
        <f>IF(O42&lt;=0,0,O42*$E$17/12)</f>
        <v/>
      </c>
      <c r="BY43">
        <f>IF(O42&lt;=0,0,MIN(O42+BX43,$F$17+BW43))</f>
        <v/>
      </c>
      <c r="BZ43">
        <f>IF(O42&lt;=0,BW43,MAX(0,$F$17+BW43-O42-BX43))</f>
        <v/>
      </c>
      <c r="CA43">
        <f>IF(P42&lt;=0,0,P42*$E$18/12)</f>
        <v/>
      </c>
      <c r="CB43">
        <f>IF(P42&lt;=0,0,MIN(P42+CA43,$F$18+BZ43))</f>
        <v/>
      </c>
      <c r="CC43">
        <f>IF(P42&lt;=0,BZ43,MAX(0,$F$18+BZ43-P42-CA43))</f>
        <v/>
      </c>
      <c r="CD43">
        <f>IF(Q42&lt;=0,0,Q42*$E$19/12)</f>
        <v/>
      </c>
      <c r="CE43">
        <f>IF(Q42&lt;=0,0,MIN(Q42+CD43,$F$19+CC43))</f>
        <v/>
      </c>
      <c r="CF43">
        <f>IF(Q42&lt;=0,CC43,MAX(0,$F$19+CC43-Q42-CD43))</f>
        <v/>
      </c>
      <c r="CG43">
        <f>IF(R42&lt;=0,0,R42*$E$20/12)</f>
        <v/>
      </c>
      <c r="CH43">
        <f>IF(R42&lt;=0,0,MIN(R42+CG43,$F$20+CF43))</f>
        <v/>
      </c>
      <c r="CI43">
        <f>IF(R42&lt;=0,CF43,MAX(0,$F$20+CF43-R42-CG43))</f>
        <v/>
      </c>
      <c r="CJ43">
        <f>IF(S42&lt;=0,0,S42*$E$21/12)</f>
        <v/>
      </c>
      <c r="CK43">
        <f>IF(S42&lt;=0,0,MIN(S42+CJ43,$F$21+CI43))</f>
        <v/>
      </c>
      <c r="CL43">
        <f>IF(S42&lt;=0,CI43,MAX(0,$F$21+CI43-S42-CJ43))</f>
        <v/>
      </c>
      <c r="CM43">
        <f>IF(T42&lt;=0,0,T42*$E$22/12)</f>
        <v/>
      </c>
      <c r="CN43">
        <f>IF(T42&lt;=0,0,MIN(T42+CM43,$F$22+CL43))</f>
        <v/>
      </c>
      <c r="CO43">
        <f>IF(T42&lt;=0,CL43,MAX(0,$F$22+CL43-T42-CM43))</f>
        <v/>
      </c>
      <c r="CP43">
        <f>IF(U42&lt;=0,0,U42*$E$23/12)</f>
        <v/>
      </c>
      <c r="CQ43">
        <f>IF(U42&lt;=0,0,MIN(U42+CP43,$F$23+CO43))</f>
        <v/>
      </c>
      <c r="CR43">
        <f>IF(U42&lt;=0,CO43,MAX(0,$F$23+CO43-U42-CP43))</f>
        <v/>
      </c>
      <c r="CS43">
        <f>IF(V42&lt;=0,0,V42*$E$24/12)</f>
        <v/>
      </c>
      <c r="CT43">
        <f>IF(V42&lt;=0,0,MIN(V42+CS43,$F$24+CR43))</f>
        <v/>
      </c>
      <c r="CU43">
        <f>IF(V42&lt;=0,CR43,MAX(0,$F$24+CR43-V42-CS43))</f>
        <v/>
      </c>
    </row>
    <row r="44">
      <c r="B44" s="39" t="n">
        <v>18</v>
      </c>
      <c r="C44" s="13">
        <f>IF(C43&lt;=0,0,MAX(0,C43+AN44-AO44))</f>
        <v/>
      </c>
      <c r="D44" s="13">
        <f>IF(D43&lt;=0,0,MAX(0,D43+AQ44-AR44))</f>
        <v/>
      </c>
      <c r="E44" s="13">
        <f>IF(E43&lt;=0,0,MAX(0,E43+AT44-AU44))</f>
        <v/>
      </c>
      <c r="F44" s="13">
        <f>IF(F43&lt;=0,0,MAX(0,F43+AW44-AX44))</f>
        <v/>
      </c>
      <c r="G44" s="13">
        <f>IF(G43&lt;=0,0,MAX(0,G43+AZ44-BA44))</f>
        <v/>
      </c>
      <c r="H44" s="13">
        <f>IF(H43&lt;=0,0,MAX(0,H43+BC44-BD44))</f>
        <v/>
      </c>
      <c r="I44" s="13">
        <f>IF(I43&lt;=0,0,MAX(0,I43+BF44-BG44))</f>
        <v/>
      </c>
      <c r="J44" s="13">
        <f>IF(J43&lt;=0,0,MAX(0,J43+BI44-BJ44))</f>
        <v/>
      </c>
      <c r="K44" s="13">
        <f>IF(K43&lt;=0,0,MAX(0,K43+BL44-BM44))</f>
        <v/>
      </c>
      <c r="L44" s="13">
        <f>IF(L43&lt;=0,0,MAX(0,L43+BO44-BP44))</f>
        <v/>
      </c>
      <c r="M44" s="13">
        <f>IF(M43&lt;=0,0,MAX(0,M43+BR44-BS44))</f>
        <v/>
      </c>
      <c r="N44" s="13">
        <f>IF(N43&lt;=0,0,MAX(0,N43+BU44-BV44))</f>
        <v/>
      </c>
      <c r="O44" s="13">
        <f>IF(O43&lt;=0,0,MAX(0,O43+BX44-BY44))</f>
        <v/>
      </c>
      <c r="P44" s="13">
        <f>IF(P43&lt;=0,0,MAX(0,P43+CA44-CB44))</f>
        <v/>
      </c>
      <c r="Q44" s="13">
        <f>IF(Q43&lt;=0,0,MAX(0,Q43+CD44-CE44))</f>
        <v/>
      </c>
      <c r="R44" s="13">
        <f>IF(R43&lt;=0,0,MAX(0,R43+CG44-CH44))</f>
        <v/>
      </c>
      <c r="S44" s="13">
        <f>IF(S43&lt;=0,0,MAX(0,S43+CJ44-CK44))</f>
        <v/>
      </c>
      <c r="T44" s="13">
        <f>IF(T43&lt;=0,0,MAX(0,T43+CM44-CN44))</f>
        <v/>
      </c>
      <c r="U44" s="13">
        <f>IF(U43&lt;=0,0,MAX(0,U43+CP44-CQ44))</f>
        <v/>
      </c>
      <c r="V44" s="13">
        <f>IF(V43&lt;=0,0,MAX(0,V43+CS44-CT44))</f>
        <v/>
      </c>
      <c r="W44" s="13">
        <f>AO44+AR44+AU44+AX44+BA44+BD44+BG44+BJ44+BM44+BP44+BS44+BV44+BY44+CB44+CE44+CH44+CK44+CN44+CQ44+CT44</f>
        <v/>
      </c>
      <c r="X44" s="13">
        <f>AN44+AQ44+AT44+AW44+AZ44+BC44+BF44+BI44+BL44+BO44+BR44+BU44+BX44+CA44+CD44+CG44+CJ44+CM44+CP44+CS44</f>
        <v/>
      </c>
      <c r="Y44" s="27">
        <f>C44+D44+E44+F44+G44+H44+I44+J44+K44+L44+M44+N44+O44+P44+Q44+R44+S44+T44+U44+V44</f>
        <v/>
      </c>
      <c r="AN44">
        <f>IF(C43&lt;=0,0,C43*$E$5/12)</f>
        <v/>
      </c>
      <c r="AO44">
        <f>IF(C43&lt;=0,0,MIN(C43+AN44,$F$5+(Dashboard!$C$11+IF(C43&lt;=0,$F$5,0)+IF(D43&lt;=0,$F$6,0)+IF(E43&lt;=0,$F$7,0)+IF(F43&lt;=0,$F$8,0)+IF(G43&lt;=0,$F$9,0)+IF(H43&lt;=0,$F$10,0)+IF(I43&lt;=0,$F$11,0)+IF(J43&lt;=0,$F$12,0)+IF(K43&lt;=0,$F$13,0)+IF(L43&lt;=0,$F$14,0)+IF(M43&lt;=0,$F$15,0)+IF(N43&lt;=0,$F$16,0)+IF(O43&lt;=0,$F$17,0)+IF(P43&lt;=0,$F$18,0)+IF(Q43&lt;=0,$F$19,0)+IF(R43&lt;=0,$F$20,0)+IF(S43&lt;=0,$F$21,0)+IF(T43&lt;=0,$F$22,0)+IF(U43&lt;=0,$F$23,0)+IF(V43&lt;=0,$F$24,0))))</f>
        <v/>
      </c>
      <c r="AP44">
        <f>IF(C43&lt;=0,(Dashboard!$C$11+IF(C43&lt;=0,$F$5,0)+IF(D43&lt;=0,$F$6,0)+IF(E43&lt;=0,$F$7,0)+IF(F43&lt;=0,$F$8,0)+IF(G43&lt;=0,$F$9,0)+IF(H43&lt;=0,$F$10,0)+IF(I43&lt;=0,$F$11,0)+IF(J43&lt;=0,$F$12,0)+IF(K43&lt;=0,$F$13,0)+IF(L43&lt;=0,$F$14,0)+IF(M43&lt;=0,$F$15,0)+IF(N43&lt;=0,$F$16,0)+IF(O43&lt;=0,$F$17,0)+IF(P43&lt;=0,$F$18,0)+IF(Q43&lt;=0,$F$19,0)+IF(R43&lt;=0,$F$20,0)+IF(S43&lt;=0,$F$21,0)+IF(T43&lt;=0,$F$22,0)+IF(U43&lt;=0,$F$23,0)+IF(V43&lt;=0,$F$24,0)),MAX(0,$F$5+(Dashboard!$C$11+IF(C43&lt;=0,$F$5,0)+IF(D43&lt;=0,$F$6,0)+IF(E43&lt;=0,$F$7,0)+IF(F43&lt;=0,$F$8,0)+IF(G43&lt;=0,$F$9,0)+IF(H43&lt;=0,$F$10,0)+IF(I43&lt;=0,$F$11,0)+IF(J43&lt;=0,$F$12,0)+IF(K43&lt;=0,$F$13,0)+IF(L43&lt;=0,$F$14,0)+IF(M43&lt;=0,$F$15,0)+IF(N43&lt;=0,$F$16,0)+IF(O43&lt;=0,$F$17,0)+IF(P43&lt;=0,$F$18,0)+IF(Q43&lt;=0,$F$19,0)+IF(R43&lt;=0,$F$20,0)+IF(S43&lt;=0,$F$21,0)+IF(T43&lt;=0,$F$22,0)+IF(U43&lt;=0,$F$23,0)+IF(V43&lt;=0,$F$24,0))-C43-AN44))</f>
        <v/>
      </c>
      <c r="AQ44">
        <f>IF(D43&lt;=0,0,D43*$E$6/12)</f>
        <v/>
      </c>
      <c r="AR44">
        <f>IF(D43&lt;=0,0,MIN(D43+AQ44,$F$6+AP44))</f>
        <v/>
      </c>
      <c r="AS44">
        <f>IF(D43&lt;=0,AP44,MAX(0,$F$6+AP44-D43-AQ44))</f>
        <v/>
      </c>
      <c r="AT44">
        <f>IF(E43&lt;=0,0,E43*$E$7/12)</f>
        <v/>
      </c>
      <c r="AU44">
        <f>IF(E43&lt;=0,0,MIN(E43+AT44,$F$7+AS44))</f>
        <v/>
      </c>
      <c r="AV44">
        <f>IF(E43&lt;=0,AS44,MAX(0,$F$7+AS44-E43-AT44))</f>
        <v/>
      </c>
      <c r="AW44">
        <f>IF(F43&lt;=0,0,F43*$E$8/12)</f>
        <v/>
      </c>
      <c r="AX44">
        <f>IF(F43&lt;=0,0,MIN(F43+AW44,$F$8+AV44))</f>
        <v/>
      </c>
      <c r="AY44">
        <f>IF(F43&lt;=0,AV44,MAX(0,$F$8+AV44-F43-AW44))</f>
        <v/>
      </c>
      <c r="AZ44">
        <f>IF(G43&lt;=0,0,G43*$E$9/12)</f>
        <v/>
      </c>
      <c r="BA44">
        <f>IF(G43&lt;=0,0,MIN(G43+AZ44,$F$9+AY44))</f>
        <v/>
      </c>
      <c r="BB44">
        <f>IF(G43&lt;=0,AY44,MAX(0,$F$9+AY44-G43-AZ44))</f>
        <v/>
      </c>
      <c r="BC44">
        <f>IF(H43&lt;=0,0,H43*$E$10/12)</f>
        <v/>
      </c>
      <c r="BD44">
        <f>IF(H43&lt;=0,0,MIN(H43+BC44,$F$10+BB44))</f>
        <v/>
      </c>
      <c r="BE44">
        <f>IF(H43&lt;=0,BB44,MAX(0,$F$10+BB44-H43-BC44))</f>
        <v/>
      </c>
      <c r="BF44">
        <f>IF(I43&lt;=0,0,I43*$E$11/12)</f>
        <v/>
      </c>
      <c r="BG44">
        <f>IF(I43&lt;=0,0,MIN(I43+BF44,$F$11+BE44))</f>
        <v/>
      </c>
      <c r="BH44">
        <f>IF(I43&lt;=0,BE44,MAX(0,$F$11+BE44-I43-BF44))</f>
        <v/>
      </c>
      <c r="BI44">
        <f>IF(J43&lt;=0,0,J43*$E$12/12)</f>
        <v/>
      </c>
      <c r="BJ44">
        <f>IF(J43&lt;=0,0,MIN(J43+BI44,$F$12+BH44))</f>
        <v/>
      </c>
      <c r="BK44">
        <f>IF(J43&lt;=0,BH44,MAX(0,$F$12+BH44-J43-BI44))</f>
        <v/>
      </c>
      <c r="BL44">
        <f>IF(K43&lt;=0,0,K43*$E$13/12)</f>
        <v/>
      </c>
      <c r="BM44">
        <f>IF(K43&lt;=0,0,MIN(K43+BL44,$F$13+BK44))</f>
        <v/>
      </c>
      <c r="BN44">
        <f>IF(K43&lt;=0,BK44,MAX(0,$F$13+BK44-K43-BL44))</f>
        <v/>
      </c>
      <c r="BO44">
        <f>IF(L43&lt;=0,0,L43*$E$14/12)</f>
        <v/>
      </c>
      <c r="BP44">
        <f>IF(L43&lt;=0,0,MIN(L43+BO44,$F$14+BN44))</f>
        <v/>
      </c>
      <c r="BQ44">
        <f>IF(L43&lt;=0,BN44,MAX(0,$F$14+BN44-L43-BO44))</f>
        <v/>
      </c>
      <c r="BR44">
        <f>IF(M43&lt;=0,0,M43*$E$15/12)</f>
        <v/>
      </c>
      <c r="BS44">
        <f>IF(M43&lt;=0,0,MIN(M43+BR44,$F$15+BQ44))</f>
        <v/>
      </c>
      <c r="BT44">
        <f>IF(M43&lt;=0,BQ44,MAX(0,$F$15+BQ44-M43-BR44))</f>
        <v/>
      </c>
      <c r="BU44">
        <f>IF(N43&lt;=0,0,N43*$E$16/12)</f>
        <v/>
      </c>
      <c r="BV44">
        <f>IF(N43&lt;=0,0,MIN(N43+BU44,$F$16+BT44))</f>
        <v/>
      </c>
      <c r="BW44">
        <f>IF(N43&lt;=0,BT44,MAX(0,$F$16+BT44-N43-BU44))</f>
        <v/>
      </c>
      <c r="BX44">
        <f>IF(O43&lt;=0,0,O43*$E$17/12)</f>
        <v/>
      </c>
      <c r="BY44">
        <f>IF(O43&lt;=0,0,MIN(O43+BX44,$F$17+BW44))</f>
        <v/>
      </c>
      <c r="BZ44">
        <f>IF(O43&lt;=0,BW44,MAX(0,$F$17+BW44-O43-BX44))</f>
        <v/>
      </c>
      <c r="CA44">
        <f>IF(P43&lt;=0,0,P43*$E$18/12)</f>
        <v/>
      </c>
      <c r="CB44">
        <f>IF(P43&lt;=0,0,MIN(P43+CA44,$F$18+BZ44))</f>
        <v/>
      </c>
      <c r="CC44">
        <f>IF(P43&lt;=0,BZ44,MAX(0,$F$18+BZ44-P43-CA44))</f>
        <v/>
      </c>
      <c r="CD44">
        <f>IF(Q43&lt;=0,0,Q43*$E$19/12)</f>
        <v/>
      </c>
      <c r="CE44">
        <f>IF(Q43&lt;=0,0,MIN(Q43+CD44,$F$19+CC44))</f>
        <v/>
      </c>
      <c r="CF44">
        <f>IF(Q43&lt;=0,CC44,MAX(0,$F$19+CC44-Q43-CD44))</f>
        <v/>
      </c>
      <c r="CG44">
        <f>IF(R43&lt;=0,0,R43*$E$20/12)</f>
        <v/>
      </c>
      <c r="CH44">
        <f>IF(R43&lt;=0,0,MIN(R43+CG44,$F$20+CF44))</f>
        <v/>
      </c>
      <c r="CI44">
        <f>IF(R43&lt;=0,CF44,MAX(0,$F$20+CF44-R43-CG44))</f>
        <v/>
      </c>
      <c r="CJ44">
        <f>IF(S43&lt;=0,0,S43*$E$21/12)</f>
        <v/>
      </c>
      <c r="CK44">
        <f>IF(S43&lt;=0,0,MIN(S43+CJ44,$F$21+CI44))</f>
        <v/>
      </c>
      <c r="CL44">
        <f>IF(S43&lt;=0,CI44,MAX(0,$F$21+CI44-S43-CJ44))</f>
        <v/>
      </c>
      <c r="CM44">
        <f>IF(T43&lt;=0,0,T43*$E$22/12)</f>
        <v/>
      </c>
      <c r="CN44">
        <f>IF(T43&lt;=0,0,MIN(T43+CM44,$F$22+CL44))</f>
        <v/>
      </c>
      <c r="CO44">
        <f>IF(T43&lt;=0,CL44,MAX(0,$F$22+CL44-T43-CM44))</f>
        <v/>
      </c>
      <c r="CP44">
        <f>IF(U43&lt;=0,0,U43*$E$23/12)</f>
        <v/>
      </c>
      <c r="CQ44">
        <f>IF(U43&lt;=0,0,MIN(U43+CP44,$F$23+CO44))</f>
        <v/>
      </c>
      <c r="CR44">
        <f>IF(U43&lt;=0,CO44,MAX(0,$F$23+CO44-U43-CP44))</f>
        <v/>
      </c>
      <c r="CS44">
        <f>IF(V43&lt;=0,0,V43*$E$24/12)</f>
        <v/>
      </c>
      <c r="CT44">
        <f>IF(V43&lt;=0,0,MIN(V43+CS44,$F$24+CR44))</f>
        <v/>
      </c>
      <c r="CU44">
        <f>IF(V43&lt;=0,CR44,MAX(0,$F$24+CR44-V43-CS44))</f>
        <v/>
      </c>
    </row>
    <row r="45">
      <c r="B45" s="39" t="n">
        <v>19</v>
      </c>
      <c r="C45" s="13">
        <f>IF(C44&lt;=0,0,MAX(0,C44+AN45-AO45))</f>
        <v/>
      </c>
      <c r="D45" s="13">
        <f>IF(D44&lt;=0,0,MAX(0,D44+AQ45-AR45))</f>
        <v/>
      </c>
      <c r="E45" s="13">
        <f>IF(E44&lt;=0,0,MAX(0,E44+AT45-AU45))</f>
        <v/>
      </c>
      <c r="F45" s="13">
        <f>IF(F44&lt;=0,0,MAX(0,F44+AW45-AX45))</f>
        <v/>
      </c>
      <c r="G45" s="13">
        <f>IF(G44&lt;=0,0,MAX(0,G44+AZ45-BA45))</f>
        <v/>
      </c>
      <c r="H45" s="13">
        <f>IF(H44&lt;=0,0,MAX(0,H44+BC45-BD45))</f>
        <v/>
      </c>
      <c r="I45" s="13">
        <f>IF(I44&lt;=0,0,MAX(0,I44+BF45-BG45))</f>
        <v/>
      </c>
      <c r="J45" s="13">
        <f>IF(J44&lt;=0,0,MAX(0,J44+BI45-BJ45))</f>
        <v/>
      </c>
      <c r="K45" s="13">
        <f>IF(K44&lt;=0,0,MAX(0,K44+BL45-BM45))</f>
        <v/>
      </c>
      <c r="L45" s="13">
        <f>IF(L44&lt;=0,0,MAX(0,L44+BO45-BP45))</f>
        <v/>
      </c>
      <c r="M45" s="13">
        <f>IF(M44&lt;=0,0,MAX(0,M44+BR45-BS45))</f>
        <v/>
      </c>
      <c r="N45" s="13">
        <f>IF(N44&lt;=0,0,MAX(0,N44+BU45-BV45))</f>
        <v/>
      </c>
      <c r="O45" s="13">
        <f>IF(O44&lt;=0,0,MAX(0,O44+BX45-BY45))</f>
        <v/>
      </c>
      <c r="P45" s="13">
        <f>IF(P44&lt;=0,0,MAX(0,P44+CA45-CB45))</f>
        <v/>
      </c>
      <c r="Q45" s="13">
        <f>IF(Q44&lt;=0,0,MAX(0,Q44+CD45-CE45))</f>
        <v/>
      </c>
      <c r="R45" s="13">
        <f>IF(R44&lt;=0,0,MAX(0,R44+CG45-CH45))</f>
        <v/>
      </c>
      <c r="S45" s="13">
        <f>IF(S44&lt;=0,0,MAX(0,S44+CJ45-CK45))</f>
        <v/>
      </c>
      <c r="T45" s="13">
        <f>IF(T44&lt;=0,0,MAX(0,T44+CM45-CN45))</f>
        <v/>
      </c>
      <c r="U45" s="13">
        <f>IF(U44&lt;=0,0,MAX(0,U44+CP45-CQ45))</f>
        <v/>
      </c>
      <c r="V45" s="13">
        <f>IF(V44&lt;=0,0,MAX(0,V44+CS45-CT45))</f>
        <v/>
      </c>
      <c r="W45" s="13">
        <f>AO45+AR45+AU45+AX45+BA45+BD45+BG45+BJ45+BM45+BP45+BS45+BV45+BY45+CB45+CE45+CH45+CK45+CN45+CQ45+CT45</f>
        <v/>
      </c>
      <c r="X45" s="13">
        <f>AN45+AQ45+AT45+AW45+AZ45+BC45+BF45+BI45+BL45+BO45+BR45+BU45+BX45+CA45+CD45+CG45+CJ45+CM45+CP45+CS45</f>
        <v/>
      </c>
      <c r="Y45" s="27">
        <f>C45+D45+E45+F45+G45+H45+I45+J45+K45+L45+M45+N45+O45+P45+Q45+R45+S45+T45+U45+V45</f>
        <v/>
      </c>
      <c r="AN45">
        <f>IF(C44&lt;=0,0,C44*$E$5/12)</f>
        <v/>
      </c>
      <c r="AO45">
        <f>IF(C44&lt;=0,0,MIN(C44+AN45,$F$5+(Dashboard!$C$11+IF(C44&lt;=0,$F$5,0)+IF(D44&lt;=0,$F$6,0)+IF(E44&lt;=0,$F$7,0)+IF(F44&lt;=0,$F$8,0)+IF(G44&lt;=0,$F$9,0)+IF(H44&lt;=0,$F$10,0)+IF(I44&lt;=0,$F$11,0)+IF(J44&lt;=0,$F$12,0)+IF(K44&lt;=0,$F$13,0)+IF(L44&lt;=0,$F$14,0)+IF(M44&lt;=0,$F$15,0)+IF(N44&lt;=0,$F$16,0)+IF(O44&lt;=0,$F$17,0)+IF(P44&lt;=0,$F$18,0)+IF(Q44&lt;=0,$F$19,0)+IF(R44&lt;=0,$F$20,0)+IF(S44&lt;=0,$F$21,0)+IF(T44&lt;=0,$F$22,0)+IF(U44&lt;=0,$F$23,0)+IF(V44&lt;=0,$F$24,0))))</f>
        <v/>
      </c>
      <c r="AP45">
        <f>IF(C44&lt;=0,(Dashboard!$C$11+IF(C44&lt;=0,$F$5,0)+IF(D44&lt;=0,$F$6,0)+IF(E44&lt;=0,$F$7,0)+IF(F44&lt;=0,$F$8,0)+IF(G44&lt;=0,$F$9,0)+IF(H44&lt;=0,$F$10,0)+IF(I44&lt;=0,$F$11,0)+IF(J44&lt;=0,$F$12,0)+IF(K44&lt;=0,$F$13,0)+IF(L44&lt;=0,$F$14,0)+IF(M44&lt;=0,$F$15,0)+IF(N44&lt;=0,$F$16,0)+IF(O44&lt;=0,$F$17,0)+IF(P44&lt;=0,$F$18,0)+IF(Q44&lt;=0,$F$19,0)+IF(R44&lt;=0,$F$20,0)+IF(S44&lt;=0,$F$21,0)+IF(T44&lt;=0,$F$22,0)+IF(U44&lt;=0,$F$23,0)+IF(V44&lt;=0,$F$24,0)),MAX(0,$F$5+(Dashboard!$C$11+IF(C44&lt;=0,$F$5,0)+IF(D44&lt;=0,$F$6,0)+IF(E44&lt;=0,$F$7,0)+IF(F44&lt;=0,$F$8,0)+IF(G44&lt;=0,$F$9,0)+IF(H44&lt;=0,$F$10,0)+IF(I44&lt;=0,$F$11,0)+IF(J44&lt;=0,$F$12,0)+IF(K44&lt;=0,$F$13,0)+IF(L44&lt;=0,$F$14,0)+IF(M44&lt;=0,$F$15,0)+IF(N44&lt;=0,$F$16,0)+IF(O44&lt;=0,$F$17,0)+IF(P44&lt;=0,$F$18,0)+IF(Q44&lt;=0,$F$19,0)+IF(R44&lt;=0,$F$20,0)+IF(S44&lt;=0,$F$21,0)+IF(T44&lt;=0,$F$22,0)+IF(U44&lt;=0,$F$23,0)+IF(V44&lt;=0,$F$24,0))-C44-AN45))</f>
        <v/>
      </c>
      <c r="AQ45">
        <f>IF(D44&lt;=0,0,D44*$E$6/12)</f>
        <v/>
      </c>
      <c r="AR45">
        <f>IF(D44&lt;=0,0,MIN(D44+AQ45,$F$6+AP45))</f>
        <v/>
      </c>
      <c r="AS45">
        <f>IF(D44&lt;=0,AP45,MAX(0,$F$6+AP45-D44-AQ45))</f>
        <v/>
      </c>
      <c r="AT45">
        <f>IF(E44&lt;=0,0,E44*$E$7/12)</f>
        <v/>
      </c>
      <c r="AU45">
        <f>IF(E44&lt;=0,0,MIN(E44+AT45,$F$7+AS45))</f>
        <v/>
      </c>
      <c r="AV45">
        <f>IF(E44&lt;=0,AS45,MAX(0,$F$7+AS45-E44-AT45))</f>
        <v/>
      </c>
      <c r="AW45">
        <f>IF(F44&lt;=0,0,F44*$E$8/12)</f>
        <v/>
      </c>
      <c r="AX45">
        <f>IF(F44&lt;=0,0,MIN(F44+AW45,$F$8+AV45))</f>
        <v/>
      </c>
      <c r="AY45">
        <f>IF(F44&lt;=0,AV45,MAX(0,$F$8+AV45-F44-AW45))</f>
        <v/>
      </c>
      <c r="AZ45">
        <f>IF(G44&lt;=0,0,G44*$E$9/12)</f>
        <v/>
      </c>
      <c r="BA45">
        <f>IF(G44&lt;=0,0,MIN(G44+AZ45,$F$9+AY45))</f>
        <v/>
      </c>
      <c r="BB45">
        <f>IF(G44&lt;=0,AY45,MAX(0,$F$9+AY45-G44-AZ45))</f>
        <v/>
      </c>
      <c r="BC45">
        <f>IF(H44&lt;=0,0,H44*$E$10/12)</f>
        <v/>
      </c>
      <c r="BD45">
        <f>IF(H44&lt;=0,0,MIN(H44+BC45,$F$10+BB45))</f>
        <v/>
      </c>
      <c r="BE45">
        <f>IF(H44&lt;=0,BB45,MAX(0,$F$10+BB45-H44-BC45))</f>
        <v/>
      </c>
      <c r="BF45">
        <f>IF(I44&lt;=0,0,I44*$E$11/12)</f>
        <v/>
      </c>
      <c r="BG45">
        <f>IF(I44&lt;=0,0,MIN(I44+BF45,$F$11+BE45))</f>
        <v/>
      </c>
      <c r="BH45">
        <f>IF(I44&lt;=0,BE45,MAX(0,$F$11+BE45-I44-BF45))</f>
        <v/>
      </c>
      <c r="BI45">
        <f>IF(J44&lt;=0,0,J44*$E$12/12)</f>
        <v/>
      </c>
      <c r="BJ45">
        <f>IF(J44&lt;=0,0,MIN(J44+BI45,$F$12+BH45))</f>
        <v/>
      </c>
      <c r="BK45">
        <f>IF(J44&lt;=0,BH45,MAX(0,$F$12+BH45-J44-BI45))</f>
        <v/>
      </c>
      <c r="BL45">
        <f>IF(K44&lt;=0,0,K44*$E$13/12)</f>
        <v/>
      </c>
      <c r="BM45">
        <f>IF(K44&lt;=0,0,MIN(K44+BL45,$F$13+BK45))</f>
        <v/>
      </c>
      <c r="BN45">
        <f>IF(K44&lt;=0,BK45,MAX(0,$F$13+BK45-K44-BL45))</f>
        <v/>
      </c>
      <c r="BO45">
        <f>IF(L44&lt;=0,0,L44*$E$14/12)</f>
        <v/>
      </c>
      <c r="BP45">
        <f>IF(L44&lt;=0,0,MIN(L44+BO45,$F$14+BN45))</f>
        <v/>
      </c>
      <c r="BQ45">
        <f>IF(L44&lt;=0,BN45,MAX(0,$F$14+BN45-L44-BO45))</f>
        <v/>
      </c>
      <c r="BR45">
        <f>IF(M44&lt;=0,0,M44*$E$15/12)</f>
        <v/>
      </c>
      <c r="BS45">
        <f>IF(M44&lt;=0,0,MIN(M44+BR45,$F$15+BQ45))</f>
        <v/>
      </c>
      <c r="BT45">
        <f>IF(M44&lt;=0,BQ45,MAX(0,$F$15+BQ45-M44-BR45))</f>
        <v/>
      </c>
      <c r="BU45">
        <f>IF(N44&lt;=0,0,N44*$E$16/12)</f>
        <v/>
      </c>
      <c r="BV45">
        <f>IF(N44&lt;=0,0,MIN(N44+BU45,$F$16+BT45))</f>
        <v/>
      </c>
      <c r="BW45">
        <f>IF(N44&lt;=0,BT45,MAX(0,$F$16+BT45-N44-BU45))</f>
        <v/>
      </c>
      <c r="BX45">
        <f>IF(O44&lt;=0,0,O44*$E$17/12)</f>
        <v/>
      </c>
      <c r="BY45">
        <f>IF(O44&lt;=0,0,MIN(O44+BX45,$F$17+BW45))</f>
        <v/>
      </c>
      <c r="BZ45">
        <f>IF(O44&lt;=0,BW45,MAX(0,$F$17+BW45-O44-BX45))</f>
        <v/>
      </c>
      <c r="CA45">
        <f>IF(P44&lt;=0,0,P44*$E$18/12)</f>
        <v/>
      </c>
      <c r="CB45">
        <f>IF(P44&lt;=0,0,MIN(P44+CA45,$F$18+BZ45))</f>
        <v/>
      </c>
      <c r="CC45">
        <f>IF(P44&lt;=0,BZ45,MAX(0,$F$18+BZ45-P44-CA45))</f>
        <v/>
      </c>
      <c r="CD45">
        <f>IF(Q44&lt;=0,0,Q44*$E$19/12)</f>
        <v/>
      </c>
      <c r="CE45">
        <f>IF(Q44&lt;=0,0,MIN(Q44+CD45,$F$19+CC45))</f>
        <v/>
      </c>
      <c r="CF45">
        <f>IF(Q44&lt;=0,CC45,MAX(0,$F$19+CC45-Q44-CD45))</f>
        <v/>
      </c>
      <c r="CG45">
        <f>IF(R44&lt;=0,0,R44*$E$20/12)</f>
        <v/>
      </c>
      <c r="CH45">
        <f>IF(R44&lt;=0,0,MIN(R44+CG45,$F$20+CF45))</f>
        <v/>
      </c>
      <c r="CI45">
        <f>IF(R44&lt;=0,CF45,MAX(0,$F$20+CF45-R44-CG45))</f>
        <v/>
      </c>
      <c r="CJ45">
        <f>IF(S44&lt;=0,0,S44*$E$21/12)</f>
        <v/>
      </c>
      <c r="CK45">
        <f>IF(S44&lt;=0,0,MIN(S44+CJ45,$F$21+CI45))</f>
        <v/>
      </c>
      <c r="CL45">
        <f>IF(S44&lt;=0,CI45,MAX(0,$F$21+CI45-S44-CJ45))</f>
        <v/>
      </c>
      <c r="CM45">
        <f>IF(T44&lt;=0,0,T44*$E$22/12)</f>
        <v/>
      </c>
      <c r="CN45">
        <f>IF(T44&lt;=0,0,MIN(T44+CM45,$F$22+CL45))</f>
        <v/>
      </c>
      <c r="CO45">
        <f>IF(T44&lt;=0,CL45,MAX(0,$F$22+CL45-T44-CM45))</f>
        <v/>
      </c>
      <c r="CP45">
        <f>IF(U44&lt;=0,0,U44*$E$23/12)</f>
        <v/>
      </c>
      <c r="CQ45">
        <f>IF(U44&lt;=0,0,MIN(U44+CP45,$F$23+CO45))</f>
        <v/>
      </c>
      <c r="CR45">
        <f>IF(U44&lt;=0,CO45,MAX(0,$F$23+CO45-U44-CP45))</f>
        <v/>
      </c>
      <c r="CS45">
        <f>IF(V44&lt;=0,0,V44*$E$24/12)</f>
        <v/>
      </c>
      <c r="CT45">
        <f>IF(V44&lt;=0,0,MIN(V44+CS45,$F$24+CR45))</f>
        <v/>
      </c>
      <c r="CU45">
        <f>IF(V44&lt;=0,CR45,MAX(0,$F$24+CR45-V44-CS45))</f>
        <v/>
      </c>
    </row>
    <row r="46">
      <c r="B46" s="39" t="n">
        <v>20</v>
      </c>
      <c r="C46" s="13">
        <f>IF(C45&lt;=0,0,MAX(0,C45+AN46-AO46))</f>
        <v/>
      </c>
      <c r="D46" s="13">
        <f>IF(D45&lt;=0,0,MAX(0,D45+AQ46-AR46))</f>
        <v/>
      </c>
      <c r="E46" s="13">
        <f>IF(E45&lt;=0,0,MAX(0,E45+AT46-AU46))</f>
        <v/>
      </c>
      <c r="F46" s="13">
        <f>IF(F45&lt;=0,0,MAX(0,F45+AW46-AX46))</f>
        <v/>
      </c>
      <c r="G46" s="13">
        <f>IF(G45&lt;=0,0,MAX(0,G45+AZ46-BA46))</f>
        <v/>
      </c>
      <c r="H46" s="13">
        <f>IF(H45&lt;=0,0,MAX(0,H45+BC46-BD46))</f>
        <v/>
      </c>
      <c r="I46" s="13">
        <f>IF(I45&lt;=0,0,MAX(0,I45+BF46-BG46))</f>
        <v/>
      </c>
      <c r="J46" s="13">
        <f>IF(J45&lt;=0,0,MAX(0,J45+BI46-BJ46))</f>
        <v/>
      </c>
      <c r="K46" s="13">
        <f>IF(K45&lt;=0,0,MAX(0,K45+BL46-BM46))</f>
        <v/>
      </c>
      <c r="L46" s="13">
        <f>IF(L45&lt;=0,0,MAX(0,L45+BO46-BP46))</f>
        <v/>
      </c>
      <c r="M46" s="13">
        <f>IF(M45&lt;=0,0,MAX(0,M45+BR46-BS46))</f>
        <v/>
      </c>
      <c r="N46" s="13">
        <f>IF(N45&lt;=0,0,MAX(0,N45+BU46-BV46))</f>
        <v/>
      </c>
      <c r="O46" s="13">
        <f>IF(O45&lt;=0,0,MAX(0,O45+BX46-BY46))</f>
        <v/>
      </c>
      <c r="P46" s="13">
        <f>IF(P45&lt;=0,0,MAX(0,P45+CA46-CB46))</f>
        <v/>
      </c>
      <c r="Q46" s="13">
        <f>IF(Q45&lt;=0,0,MAX(0,Q45+CD46-CE46))</f>
        <v/>
      </c>
      <c r="R46" s="13">
        <f>IF(R45&lt;=0,0,MAX(0,R45+CG46-CH46))</f>
        <v/>
      </c>
      <c r="S46" s="13">
        <f>IF(S45&lt;=0,0,MAX(0,S45+CJ46-CK46))</f>
        <v/>
      </c>
      <c r="T46" s="13">
        <f>IF(T45&lt;=0,0,MAX(0,T45+CM46-CN46))</f>
        <v/>
      </c>
      <c r="U46" s="13">
        <f>IF(U45&lt;=0,0,MAX(0,U45+CP46-CQ46))</f>
        <v/>
      </c>
      <c r="V46" s="13">
        <f>IF(V45&lt;=0,0,MAX(0,V45+CS46-CT46))</f>
        <v/>
      </c>
      <c r="W46" s="13">
        <f>AO46+AR46+AU46+AX46+BA46+BD46+BG46+BJ46+BM46+BP46+BS46+BV46+BY46+CB46+CE46+CH46+CK46+CN46+CQ46+CT46</f>
        <v/>
      </c>
      <c r="X46" s="13">
        <f>AN46+AQ46+AT46+AW46+AZ46+BC46+BF46+BI46+BL46+BO46+BR46+BU46+BX46+CA46+CD46+CG46+CJ46+CM46+CP46+CS46</f>
        <v/>
      </c>
      <c r="Y46" s="27">
        <f>C46+D46+E46+F46+G46+H46+I46+J46+K46+L46+M46+N46+O46+P46+Q46+R46+S46+T46+U46+V46</f>
        <v/>
      </c>
      <c r="AN46">
        <f>IF(C45&lt;=0,0,C45*$E$5/12)</f>
        <v/>
      </c>
      <c r="AO46">
        <f>IF(C45&lt;=0,0,MIN(C45+AN46,$F$5+(Dashboard!$C$11+IF(C45&lt;=0,$F$5,0)+IF(D45&lt;=0,$F$6,0)+IF(E45&lt;=0,$F$7,0)+IF(F45&lt;=0,$F$8,0)+IF(G45&lt;=0,$F$9,0)+IF(H45&lt;=0,$F$10,0)+IF(I45&lt;=0,$F$11,0)+IF(J45&lt;=0,$F$12,0)+IF(K45&lt;=0,$F$13,0)+IF(L45&lt;=0,$F$14,0)+IF(M45&lt;=0,$F$15,0)+IF(N45&lt;=0,$F$16,0)+IF(O45&lt;=0,$F$17,0)+IF(P45&lt;=0,$F$18,0)+IF(Q45&lt;=0,$F$19,0)+IF(R45&lt;=0,$F$20,0)+IF(S45&lt;=0,$F$21,0)+IF(T45&lt;=0,$F$22,0)+IF(U45&lt;=0,$F$23,0)+IF(V45&lt;=0,$F$24,0))))</f>
        <v/>
      </c>
      <c r="AP46">
        <f>IF(C45&lt;=0,(Dashboard!$C$11+IF(C45&lt;=0,$F$5,0)+IF(D45&lt;=0,$F$6,0)+IF(E45&lt;=0,$F$7,0)+IF(F45&lt;=0,$F$8,0)+IF(G45&lt;=0,$F$9,0)+IF(H45&lt;=0,$F$10,0)+IF(I45&lt;=0,$F$11,0)+IF(J45&lt;=0,$F$12,0)+IF(K45&lt;=0,$F$13,0)+IF(L45&lt;=0,$F$14,0)+IF(M45&lt;=0,$F$15,0)+IF(N45&lt;=0,$F$16,0)+IF(O45&lt;=0,$F$17,0)+IF(P45&lt;=0,$F$18,0)+IF(Q45&lt;=0,$F$19,0)+IF(R45&lt;=0,$F$20,0)+IF(S45&lt;=0,$F$21,0)+IF(T45&lt;=0,$F$22,0)+IF(U45&lt;=0,$F$23,0)+IF(V45&lt;=0,$F$24,0)),MAX(0,$F$5+(Dashboard!$C$11+IF(C45&lt;=0,$F$5,0)+IF(D45&lt;=0,$F$6,0)+IF(E45&lt;=0,$F$7,0)+IF(F45&lt;=0,$F$8,0)+IF(G45&lt;=0,$F$9,0)+IF(H45&lt;=0,$F$10,0)+IF(I45&lt;=0,$F$11,0)+IF(J45&lt;=0,$F$12,0)+IF(K45&lt;=0,$F$13,0)+IF(L45&lt;=0,$F$14,0)+IF(M45&lt;=0,$F$15,0)+IF(N45&lt;=0,$F$16,0)+IF(O45&lt;=0,$F$17,0)+IF(P45&lt;=0,$F$18,0)+IF(Q45&lt;=0,$F$19,0)+IF(R45&lt;=0,$F$20,0)+IF(S45&lt;=0,$F$21,0)+IF(T45&lt;=0,$F$22,0)+IF(U45&lt;=0,$F$23,0)+IF(V45&lt;=0,$F$24,0))-C45-AN46))</f>
        <v/>
      </c>
      <c r="AQ46">
        <f>IF(D45&lt;=0,0,D45*$E$6/12)</f>
        <v/>
      </c>
      <c r="AR46">
        <f>IF(D45&lt;=0,0,MIN(D45+AQ46,$F$6+AP46))</f>
        <v/>
      </c>
      <c r="AS46">
        <f>IF(D45&lt;=0,AP46,MAX(0,$F$6+AP46-D45-AQ46))</f>
        <v/>
      </c>
      <c r="AT46">
        <f>IF(E45&lt;=0,0,E45*$E$7/12)</f>
        <v/>
      </c>
      <c r="AU46">
        <f>IF(E45&lt;=0,0,MIN(E45+AT46,$F$7+AS46))</f>
        <v/>
      </c>
      <c r="AV46">
        <f>IF(E45&lt;=0,AS46,MAX(0,$F$7+AS46-E45-AT46))</f>
        <v/>
      </c>
      <c r="AW46">
        <f>IF(F45&lt;=0,0,F45*$E$8/12)</f>
        <v/>
      </c>
      <c r="AX46">
        <f>IF(F45&lt;=0,0,MIN(F45+AW46,$F$8+AV46))</f>
        <v/>
      </c>
      <c r="AY46">
        <f>IF(F45&lt;=0,AV46,MAX(0,$F$8+AV46-F45-AW46))</f>
        <v/>
      </c>
      <c r="AZ46">
        <f>IF(G45&lt;=0,0,G45*$E$9/12)</f>
        <v/>
      </c>
      <c r="BA46">
        <f>IF(G45&lt;=0,0,MIN(G45+AZ46,$F$9+AY46))</f>
        <v/>
      </c>
      <c r="BB46">
        <f>IF(G45&lt;=0,AY46,MAX(0,$F$9+AY46-G45-AZ46))</f>
        <v/>
      </c>
      <c r="BC46">
        <f>IF(H45&lt;=0,0,H45*$E$10/12)</f>
        <v/>
      </c>
      <c r="BD46">
        <f>IF(H45&lt;=0,0,MIN(H45+BC46,$F$10+BB46))</f>
        <v/>
      </c>
      <c r="BE46">
        <f>IF(H45&lt;=0,BB46,MAX(0,$F$10+BB46-H45-BC46))</f>
        <v/>
      </c>
      <c r="BF46">
        <f>IF(I45&lt;=0,0,I45*$E$11/12)</f>
        <v/>
      </c>
      <c r="BG46">
        <f>IF(I45&lt;=0,0,MIN(I45+BF46,$F$11+BE46))</f>
        <v/>
      </c>
      <c r="BH46">
        <f>IF(I45&lt;=0,BE46,MAX(0,$F$11+BE46-I45-BF46))</f>
        <v/>
      </c>
      <c r="BI46">
        <f>IF(J45&lt;=0,0,J45*$E$12/12)</f>
        <v/>
      </c>
      <c r="BJ46">
        <f>IF(J45&lt;=0,0,MIN(J45+BI46,$F$12+BH46))</f>
        <v/>
      </c>
      <c r="BK46">
        <f>IF(J45&lt;=0,BH46,MAX(0,$F$12+BH46-J45-BI46))</f>
        <v/>
      </c>
      <c r="BL46">
        <f>IF(K45&lt;=0,0,K45*$E$13/12)</f>
        <v/>
      </c>
      <c r="BM46">
        <f>IF(K45&lt;=0,0,MIN(K45+BL46,$F$13+BK46))</f>
        <v/>
      </c>
      <c r="BN46">
        <f>IF(K45&lt;=0,BK46,MAX(0,$F$13+BK46-K45-BL46))</f>
        <v/>
      </c>
      <c r="BO46">
        <f>IF(L45&lt;=0,0,L45*$E$14/12)</f>
        <v/>
      </c>
      <c r="BP46">
        <f>IF(L45&lt;=0,0,MIN(L45+BO46,$F$14+BN46))</f>
        <v/>
      </c>
      <c r="BQ46">
        <f>IF(L45&lt;=0,BN46,MAX(0,$F$14+BN46-L45-BO46))</f>
        <v/>
      </c>
      <c r="BR46">
        <f>IF(M45&lt;=0,0,M45*$E$15/12)</f>
        <v/>
      </c>
      <c r="BS46">
        <f>IF(M45&lt;=0,0,MIN(M45+BR46,$F$15+BQ46))</f>
        <v/>
      </c>
      <c r="BT46">
        <f>IF(M45&lt;=0,BQ46,MAX(0,$F$15+BQ46-M45-BR46))</f>
        <v/>
      </c>
      <c r="BU46">
        <f>IF(N45&lt;=0,0,N45*$E$16/12)</f>
        <v/>
      </c>
      <c r="BV46">
        <f>IF(N45&lt;=0,0,MIN(N45+BU46,$F$16+BT46))</f>
        <v/>
      </c>
      <c r="BW46">
        <f>IF(N45&lt;=0,BT46,MAX(0,$F$16+BT46-N45-BU46))</f>
        <v/>
      </c>
      <c r="BX46">
        <f>IF(O45&lt;=0,0,O45*$E$17/12)</f>
        <v/>
      </c>
      <c r="BY46">
        <f>IF(O45&lt;=0,0,MIN(O45+BX46,$F$17+BW46))</f>
        <v/>
      </c>
      <c r="BZ46">
        <f>IF(O45&lt;=0,BW46,MAX(0,$F$17+BW46-O45-BX46))</f>
        <v/>
      </c>
      <c r="CA46">
        <f>IF(P45&lt;=0,0,P45*$E$18/12)</f>
        <v/>
      </c>
      <c r="CB46">
        <f>IF(P45&lt;=0,0,MIN(P45+CA46,$F$18+BZ46))</f>
        <v/>
      </c>
      <c r="CC46">
        <f>IF(P45&lt;=0,BZ46,MAX(0,$F$18+BZ46-P45-CA46))</f>
        <v/>
      </c>
      <c r="CD46">
        <f>IF(Q45&lt;=0,0,Q45*$E$19/12)</f>
        <v/>
      </c>
      <c r="CE46">
        <f>IF(Q45&lt;=0,0,MIN(Q45+CD46,$F$19+CC46))</f>
        <v/>
      </c>
      <c r="CF46">
        <f>IF(Q45&lt;=0,CC46,MAX(0,$F$19+CC46-Q45-CD46))</f>
        <v/>
      </c>
      <c r="CG46">
        <f>IF(R45&lt;=0,0,R45*$E$20/12)</f>
        <v/>
      </c>
      <c r="CH46">
        <f>IF(R45&lt;=0,0,MIN(R45+CG46,$F$20+CF46))</f>
        <v/>
      </c>
      <c r="CI46">
        <f>IF(R45&lt;=0,CF46,MAX(0,$F$20+CF46-R45-CG46))</f>
        <v/>
      </c>
      <c r="CJ46">
        <f>IF(S45&lt;=0,0,S45*$E$21/12)</f>
        <v/>
      </c>
      <c r="CK46">
        <f>IF(S45&lt;=0,0,MIN(S45+CJ46,$F$21+CI46))</f>
        <v/>
      </c>
      <c r="CL46">
        <f>IF(S45&lt;=0,CI46,MAX(0,$F$21+CI46-S45-CJ46))</f>
        <v/>
      </c>
      <c r="CM46">
        <f>IF(T45&lt;=0,0,T45*$E$22/12)</f>
        <v/>
      </c>
      <c r="CN46">
        <f>IF(T45&lt;=0,0,MIN(T45+CM46,$F$22+CL46))</f>
        <v/>
      </c>
      <c r="CO46">
        <f>IF(T45&lt;=0,CL46,MAX(0,$F$22+CL46-T45-CM46))</f>
        <v/>
      </c>
      <c r="CP46">
        <f>IF(U45&lt;=0,0,U45*$E$23/12)</f>
        <v/>
      </c>
      <c r="CQ46">
        <f>IF(U45&lt;=0,0,MIN(U45+CP46,$F$23+CO46))</f>
        <v/>
      </c>
      <c r="CR46">
        <f>IF(U45&lt;=0,CO46,MAX(0,$F$23+CO46-U45-CP46))</f>
        <v/>
      </c>
      <c r="CS46">
        <f>IF(V45&lt;=0,0,V45*$E$24/12)</f>
        <v/>
      </c>
      <c r="CT46">
        <f>IF(V45&lt;=0,0,MIN(V45+CS46,$F$24+CR46))</f>
        <v/>
      </c>
      <c r="CU46">
        <f>IF(V45&lt;=0,CR46,MAX(0,$F$24+CR46-V45-CS46))</f>
        <v/>
      </c>
    </row>
    <row r="47">
      <c r="B47" s="39" t="n">
        <v>21</v>
      </c>
      <c r="C47" s="13">
        <f>IF(C46&lt;=0,0,MAX(0,C46+AN47-AO47))</f>
        <v/>
      </c>
      <c r="D47" s="13">
        <f>IF(D46&lt;=0,0,MAX(0,D46+AQ47-AR47))</f>
        <v/>
      </c>
      <c r="E47" s="13">
        <f>IF(E46&lt;=0,0,MAX(0,E46+AT47-AU47))</f>
        <v/>
      </c>
      <c r="F47" s="13">
        <f>IF(F46&lt;=0,0,MAX(0,F46+AW47-AX47))</f>
        <v/>
      </c>
      <c r="G47" s="13">
        <f>IF(G46&lt;=0,0,MAX(0,G46+AZ47-BA47))</f>
        <v/>
      </c>
      <c r="H47" s="13">
        <f>IF(H46&lt;=0,0,MAX(0,H46+BC47-BD47))</f>
        <v/>
      </c>
      <c r="I47" s="13">
        <f>IF(I46&lt;=0,0,MAX(0,I46+BF47-BG47))</f>
        <v/>
      </c>
      <c r="J47" s="13">
        <f>IF(J46&lt;=0,0,MAX(0,J46+BI47-BJ47))</f>
        <v/>
      </c>
      <c r="K47" s="13">
        <f>IF(K46&lt;=0,0,MAX(0,K46+BL47-BM47))</f>
        <v/>
      </c>
      <c r="L47" s="13">
        <f>IF(L46&lt;=0,0,MAX(0,L46+BO47-BP47))</f>
        <v/>
      </c>
      <c r="M47" s="13">
        <f>IF(M46&lt;=0,0,MAX(0,M46+BR47-BS47))</f>
        <v/>
      </c>
      <c r="N47" s="13">
        <f>IF(N46&lt;=0,0,MAX(0,N46+BU47-BV47))</f>
        <v/>
      </c>
      <c r="O47" s="13">
        <f>IF(O46&lt;=0,0,MAX(0,O46+BX47-BY47))</f>
        <v/>
      </c>
      <c r="P47" s="13">
        <f>IF(P46&lt;=0,0,MAX(0,P46+CA47-CB47))</f>
        <v/>
      </c>
      <c r="Q47" s="13">
        <f>IF(Q46&lt;=0,0,MAX(0,Q46+CD47-CE47))</f>
        <v/>
      </c>
      <c r="R47" s="13">
        <f>IF(R46&lt;=0,0,MAX(0,R46+CG47-CH47))</f>
        <v/>
      </c>
      <c r="S47" s="13">
        <f>IF(S46&lt;=0,0,MAX(0,S46+CJ47-CK47))</f>
        <v/>
      </c>
      <c r="T47" s="13">
        <f>IF(T46&lt;=0,0,MAX(0,T46+CM47-CN47))</f>
        <v/>
      </c>
      <c r="U47" s="13">
        <f>IF(U46&lt;=0,0,MAX(0,U46+CP47-CQ47))</f>
        <v/>
      </c>
      <c r="V47" s="13">
        <f>IF(V46&lt;=0,0,MAX(0,V46+CS47-CT47))</f>
        <v/>
      </c>
      <c r="W47" s="13">
        <f>AO47+AR47+AU47+AX47+BA47+BD47+BG47+BJ47+BM47+BP47+BS47+BV47+BY47+CB47+CE47+CH47+CK47+CN47+CQ47+CT47</f>
        <v/>
      </c>
      <c r="X47" s="13">
        <f>AN47+AQ47+AT47+AW47+AZ47+BC47+BF47+BI47+BL47+BO47+BR47+BU47+BX47+CA47+CD47+CG47+CJ47+CM47+CP47+CS47</f>
        <v/>
      </c>
      <c r="Y47" s="27">
        <f>C47+D47+E47+F47+G47+H47+I47+J47+K47+L47+M47+N47+O47+P47+Q47+R47+S47+T47+U47+V47</f>
        <v/>
      </c>
      <c r="AN47">
        <f>IF(C46&lt;=0,0,C46*$E$5/12)</f>
        <v/>
      </c>
      <c r="AO47">
        <f>IF(C46&lt;=0,0,MIN(C46+AN47,$F$5+(Dashboard!$C$11+IF(C46&lt;=0,$F$5,0)+IF(D46&lt;=0,$F$6,0)+IF(E46&lt;=0,$F$7,0)+IF(F46&lt;=0,$F$8,0)+IF(G46&lt;=0,$F$9,0)+IF(H46&lt;=0,$F$10,0)+IF(I46&lt;=0,$F$11,0)+IF(J46&lt;=0,$F$12,0)+IF(K46&lt;=0,$F$13,0)+IF(L46&lt;=0,$F$14,0)+IF(M46&lt;=0,$F$15,0)+IF(N46&lt;=0,$F$16,0)+IF(O46&lt;=0,$F$17,0)+IF(P46&lt;=0,$F$18,0)+IF(Q46&lt;=0,$F$19,0)+IF(R46&lt;=0,$F$20,0)+IF(S46&lt;=0,$F$21,0)+IF(T46&lt;=0,$F$22,0)+IF(U46&lt;=0,$F$23,0)+IF(V46&lt;=0,$F$24,0))))</f>
        <v/>
      </c>
      <c r="AP47">
        <f>IF(C46&lt;=0,(Dashboard!$C$11+IF(C46&lt;=0,$F$5,0)+IF(D46&lt;=0,$F$6,0)+IF(E46&lt;=0,$F$7,0)+IF(F46&lt;=0,$F$8,0)+IF(G46&lt;=0,$F$9,0)+IF(H46&lt;=0,$F$10,0)+IF(I46&lt;=0,$F$11,0)+IF(J46&lt;=0,$F$12,0)+IF(K46&lt;=0,$F$13,0)+IF(L46&lt;=0,$F$14,0)+IF(M46&lt;=0,$F$15,0)+IF(N46&lt;=0,$F$16,0)+IF(O46&lt;=0,$F$17,0)+IF(P46&lt;=0,$F$18,0)+IF(Q46&lt;=0,$F$19,0)+IF(R46&lt;=0,$F$20,0)+IF(S46&lt;=0,$F$21,0)+IF(T46&lt;=0,$F$22,0)+IF(U46&lt;=0,$F$23,0)+IF(V46&lt;=0,$F$24,0)),MAX(0,$F$5+(Dashboard!$C$11+IF(C46&lt;=0,$F$5,0)+IF(D46&lt;=0,$F$6,0)+IF(E46&lt;=0,$F$7,0)+IF(F46&lt;=0,$F$8,0)+IF(G46&lt;=0,$F$9,0)+IF(H46&lt;=0,$F$10,0)+IF(I46&lt;=0,$F$11,0)+IF(J46&lt;=0,$F$12,0)+IF(K46&lt;=0,$F$13,0)+IF(L46&lt;=0,$F$14,0)+IF(M46&lt;=0,$F$15,0)+IF(N46&lt;=0,$F$16,0)+IF(O46&lt;=0,$F$17,0)+IF(P46&lt;=0,$F$18,0)+IF(Q46&lt;=0,$F$19,0)+IF(R46&lt;=0,$F$20,0)+IF(S46&lt;=0,$F$21,0)+IF(T46&lt;=0,$F$22,0)+IF(U46&lt;=0,$F$23,0)+IF(V46&lt;=0,$F$24,0))-C46-AN47))</f>
        <v/>
      </c>
      <c r="AQ47">
        <f>IF(D46&lt;=0,0,D46*$E$6/12)</f>
        <v/>
      </c>
      <c r="AR47">
        <f>IF(D46&lt;=0,0,MIN(D46+AQ47,$F$6+AP47))</f>
        <v/>
      </c>
      <c r="AS47">
        <f>IF(D46&lt;=0,AP47,MAX(0,$F$6+AP47-D46-AQ47))</f>
        <v/>
      </c>
      <c r="AT47">
        <f>IF(E46&lt;=0,0,E46*$E$7/12)</f>
        <v/>
      </c>
      <c r="AU47">
        <f>IF(E46&lt;=0,0,MIN(E46+AT47,$F$7+AS47))</f>
        <v/>
      </c>
      <c r="AV47">
        <f>IF(E46&lt;=0,AS47,MAX(0,$F$7+AS47-E46-AT47))</f>
        <v/>
      </c>
      <c r="AW47">
        <f>IF(F46&lt;=0,0,F46*$E$8/12)</f>
        <v/>
      </c>
      <c r="AX47">
        <f>IF(F46&lt;=0,0,MIN(F46+AW47,$F$8+AV47))</f>
        <v/>
      </c>
      <c r="AY47">
        <f>IF(F46&lt;=0,AV47,MAX(0,$F$8+AV47-F46-AW47))</f>
        <v/>
      </c>
      <c r="AZ47">
        <f>IF(G46&lt;=0,0,G46*$E$9/12)</f>
        <v/>
      </c>
      <c r="BA47">
        <f>IF(G46&lt;=0,0,MIN(G46+AZ47,$F$9+AY47))</f>
        <v/>
      </c>
      <c r="BB47">
        <f>IF(G46&lt;=0,AY47,MAX(0,$F$9+AY47-G46-AZ47))</f>
        <v/>
      </c>
      <c r="BC47">
        <f>IF(H46&lt;=0,0,H46*$E$10/12)</f>
        <v/>
      </c>
      <c r="BD47">
        <f>IF(H46&lt;=0,0,MIN(H46+BC47,$F$10+BB47))</f>
        <v/>
      </c>
      <c r="BE47">
        <f>IF(H46&lt;=0,BB47,MAX(0,$F$10+BB47-H46-BC47))</f>
        <v/>
      </c>
      <c r="BF47">
        <f>IF(I46&lt;=0,0,I46*$E$11/12)</f>
        <v/>
      </c>
      <c r="BG47">
        <f>IF(I46&lt;=0,0,MIN(I46+BF47,$F$11+BE47))</f>
        <v/>
      </c>
      <c r="BH47">
        <f>IF(I46&lt;=0,BE47,MAX(0,$F$11+BE47-I46-BF47))</f>
        <v/>
      </c>
      <c r="BI47">
        <f>IF(J46&lt;=0,0,J46*$E$12/12)</f>
        <v/>
      </c>
      <c r="BJ47">
        <f>IF(J46&lt;=0,0,MIN(J46+BI47,$F$12+BH47))</f>
        <v/>
      </c>
      <c r="BK47">
        <f>IF(J46&lt;=0,BH47,MAX(0,$F$12+BH47-J46-BI47))</f>
        <v/>
      </c>
      <c r="BL47">
        <f>IF(K46&lt;=0,0,K46*$E$13/12)</f>
        <v/>
      </c>
      <c r="BM47">
        <f>IF(K46&lt;=0,0,MIN(K46+BL47,$F$13+BK47))</f>
        <v/>
      </c>
      <c r="BN47">
        <f>IF(K46&lt;=0,BK47,MAX(0,$F$13+BK47-K46-BL47))</f>
        <v/>
      </c>
      <c r="BO47">
        <f>IF(L46&lt;=0,0,L46*$E$14/12)</f>
        <v/>
      </c>
      <c r="BP47">
        <f>IF(L46&lt;=0,0,MIN(L46+BO47,$F$14+BN47))</f>
        <v/>
      </c>
      <c r="BQ47">
        <f>IF(L46&lt;=0,BN47,MAX(0,$F$14+BN47-L46-BO47))</f>
        <v/>
      </c>
      <c r="BR47">
        <f>IF(M46&lt;=0,0,M46*$E$15/12)</f>
        <v/>
      </c>
      <c r="BS47">
        <f>IF(M46&lt;=0,0,MIN(M46+BR47,$F$15+BQ47))</f>
        <v/>
      </c>
      <c r="BT47">
        <f>IF(M46&lt;=0,BQ47,MAX(0,$F$15+BQ47-M46-BR47))</f>
        <v/>
      </c>
      <c r="BU47">
        <f>IF(N46&lt;=0,0,N46*$E$16/12)</f>
        <v/>
      </c>
      <c r="BV47">
        <f>IF(N46&lt;=0,0,MIN(N46+BU47,$F$16+BT47))</f>
        <v/>
      </c>
      <c r="BW47">
        <f>IF(N46&lt;=0,BT47,MAX(0,$F$16+BT47-N46-BU47))</f>
        <v/>
      </c>
      <c r="BX47">
        <f>IF(O46&lt;=0,0,O46*$E$17/12)</f>
        <v/>
      </c>
      <c r="BY47">
        <f>IF(O46&lt;=0,0,MIN(O46+BX47,$F$17+BW47))</f>
        <v/>
      </c>
      <c r="BZ47">
        <f>IF(O46&lt;=0,BW47,MAX(0,$F$17+BW47-O46-BX47))</f>
        <v/>
      </c>
      <c r="CA47">
        <f>IF(P46&lt;=0,0,P46*$E$18/12)</f>
        <v/>
      </c>
      <c r="CB47">
        <f>IF(P46&lt;=0,0,MIN(P46+CA47,$F$18+BZ47))</f>
        <v/>
      </c>
      <c r="CC47">
        <f>IF(P46&lt;=0,BZ47,MAX(0,$F$18+BZ47-P46-CA47))</f>
        <v/>
      </c>
      <c r="CD47">
        <f>IF(Q46&lt;=0,0,Q46*$E$19/12)</f>
        <v/>
      </c>
      <c r="CE47">
        <f>IF(Q46&lt;=0,0,MIN(Q46+CD47,$F$19+CC47))</f>
        <v/>
      </c>
      <c r="CF47">
        <f>IF(Q46&lt;=0,CC47,MAX(0,$F$19+CC47-Q46-CD47))</f>
        <v/>
      </c>
      <c r="CG47">
        <f>IF(R46&lt;=0,0,R46*$E$20/12)</f>
        <v/>
      </c>
      <c r="CH47">
        <f>IF(R46&lt;=0,0,MIN(R46+CG47,$F$20+CF47))</f>
        <v/>
      </c>
      <c r="CI47">
        <f>IF(R46&lt;=0,CF47,MAX(0,$F$20+CF47-R46-CG47))</f>
        <v/>
      </c>
      <c r="CJ47">
        <f>IF(S46&lt;=0,0,S46*$E$21/12)</f>
        <v/>
      </c>
      <c r="CK47">
        <f>IF(S46&lt;=0,0,MIN(S46+CJ47,$F$21+CI47))</f>
        <v/>
      </c>
      <c r="CL47">
        <f>IF(S46&lt;=0,CI47,MAX(0,$F$21+CI47-S46-CJ47))</f>
        <v/>
      </c>
      <c r="CM47">
        <f>IF(T46&lt;=0,0,T46*$E$22/12)</f>
        <v/>
      </c>
      <c r="CN47">
        <f>IF(T46&lt;=0,0,MIN(T46+CM47,$F$22+CL47))</f>
        <v/>
      </c>
      <c r="CO47">
        <f>IF(T46&lt;=0,CL47,MAX(0,$F$22+CL47-T46-CM47))</f>
        <v/>
      </c>
      <c r="CP47">
        <f>IF(U46&lt;=0,0,U46*$E$23/12)</f>
        <v/>
      </c>
      <c r="CQ47">
        <f>IF(U46&lt;=0,0,MIN(U46+CP47,$F$23+CO47))</f>
        <v/>
      </c>
      <c r="CR47">
        <f>IF(U46&lt;=0,CO47,MAX(0,$F$23+CO47-U46-CP47))</f>
        <v/>
      </c>
      <c r="CS47">
        <f>IF(V46&lt;=0,0,V46*$E$24/12)</f>
        <v/>
      </c>
      <c r="CT47">
        <f>IF(V46&lt;=0,0,MIN(V46+CS47,$F$24+CR47))</f>
        <v/>
      </c>
      <c r="CU47">
        <f>IF(V46&lt;=0,CR47,MAX(0,$F$24+CR47-V46-CS47))</f>
        <v/>
      </c>
    </row>
    <row r="48">
      <c r="B48" s="39" t="n">
        <v>22</v>
      </c>
      <c r="C48" s="13">
        <f>IF(C47&lt;=0,0,MAX(0,C47+AN48-AO48))</f>
        <v/>
      </c>
      <c r="D48" s="13">
        <f>IF(D47&lt;=0,0,MAX(0,D47+AQ48-AR48))</f>
        <v/>
      </c>
      <c r="E48" s="13">
        <f>IF(E47&lt;=0,0,MAX(0,E47+AT48-AU48))</f>
        <v/>
      </c>
      <c r="F48" s="13">
        <f>IF(F47&lt;=0,0,MAX(0,F47+AW48-AX48))</f>
        <v/>
      </c>
      <c r="G48" s="13">
        <f>IF(G47&lt;=0,0,MAX(0,G47+AZ48-BA48))</f>
        <v/>
      </c>
      <c r="H48" s="13">
        <f>IF(H47&lt;=0,0,MAX(0,H47+BC48-BD48))</f>
        <v/>
      </c>
      <c r="I48" s="13">
        <f>IF(I47&lt;=0,0,MAX(0,I47+BF48-BG48))</f>
        <v/>
      </c>
      <c r="J48" s="13">
        <f>IF(J47&lt;=0,0,MAX(0,J47+BI48-BJ48))</f>
        <v/>
      </c>
      <c r="K48" s="13">
        <f>IF(K47&lt;=0,0,MAX(0,K47+BL48-BM48))</f>
        <v/>
      </c>
      <c r="L48" s="13">
        <f>IF(L47&lt;=0,0,MAX(0,L47+BO48-BP48))</f>
        <v/>
      </c>
      <c r="M48" s="13">
        <f>IF(M47&lt;=0,0,MAX(0,M47+BR48-BS48))</f>
        <v/>
      </c>
      <c r="N48" s="13">
        <f>IF(N47&lt;=0,0,MAX(0,N47+BU48-BV48))</f>
        <v/>
      </c>
      <c r="O48" s="13">
        <f>IF(O47&lt;=0,0,MAX(0,O47+BX48-BY48))</f>
        <v/>
      </c>
      <c r="P48" s="13">
        <f>IF(P47&lt;=0,0,MAX(0,P47+CA48-CB48))</f>
        <v/>
      </c>
      <c r="Q48" s="13">
        <f>IF(Q47&lt;=0,0,MAX(0,Q47+CD48-CE48))</f>
        <v/>
      </c>
      <c r="R48" s="13">
        <f>IF(R47&lt;=0,0,MAX(0,R47+CG48-CH48))</f>
        <v/>
      </c>
      <c r="S48" s="13">
        <f>IF(S47&lt;=0,0,MAX(0,S47+CJ48-CK48))</f>
        <v/>
      </c>
      <c r="T48" s="13">
        <f>IF(T47&lt;=0,0,MAX(0,T47+CM48-CN48))</f>
        <v/>
      </c>
      <c r="U48" s="13">
        <f>IF(U47&lt;=0,0,MAX(0,U47+CP48-CQ48))</f>
        <v/>
      </c>
      <c r="V48" s="13">
        <f>IF(V47&lt;=0,0,MAX(0,V47+CS48-CT48))</f>
        <v/>
      </c>
      <c r="W48" s="13">
        <f>AO48+AR48+AU48+AX48+BA48+BD48+BG48+BJ48+BM48+BP48+BS48+BV48+BY48+CB48+CE48+CH48+CK48+CN48+CQ48+CT48</f>
        <v/>
      </c>
      <c r="X48" s="13">
        <f>AN48+AQ48+AT48+AW48+AZ48+BC48+BF48+BI48+BL48+BO48+BR48+BU48+BX48+CA48+CD48+CG48+CJ48+CM48+CP48+CS48</f>
        <v/>
      </c>
      <c r="Y48" s="27">
        <f>C48+D48+E48+F48+G48+H48+I48+J48+K48+L48+M48+N48+O48+P48+Q48+R48+S48+T48+U48+V48</f>
        <v/>
      </c>
      <c r="AN48">
        <f>IF(C47&lt;=0,0,C47*$E$5/12)</f>
        <v/>
      </c>
      <c r="AO48">
        <f>IF(C47&lt;=0,0,MIN(C47+AN48,$F$5+(Dashboard!$C$11+IF(C47&lt;=0,$F$5,0)+IF(D47&lt;=0,$F$6,0)+IF(E47&lt;=0,$F$7,0)+IF(F47&lt;=0,$F$8,0)+IF(G47&lt;=0,$F$9,0)+IF(H47&lt;=0,$F$10,0)+IF(I47&lt;=0,$F$11,0)+IF(J47&lt;=0,$F$12,0)+IF(K47&lt;=0,$F$13,0)+IF(L47&lt;=0,$F$14,0)+IF(M47&lt;=0,$F$15,0)+IF(N47&lt;=0,$F$16,0)+IF(O47&lt;=0,$F$17,0)+IF(P47&lt;=0,$F$18,0)+IF(Q47&lt;=0,$F$19,0)+IF(R47&lt;=0,$F$20,0)+IF(S47&lt;=0,$F$21,0)+IF(T47&lt;=0,$F$22,0)+IF(U47&lt;=0,$F$23,0)+IF(V47&lt;=0,$F$24,0))))</f>
        <v/>
      </c>
      <c r="AP48">
        <f>IF(C47&lt;=0,(Dashboard!$C$11+IF(C47&lt;=0,$F$5,0)+IF(D47&lt;=0,$F$6,0)+IF(E47&lt;=0,$F$7,0)+IF(F47&lt;=0,$F$8,0)+IF(G47&lt;=0,$F$9,0)+IF(H47&lt;=0,$F$10,0)+IF(I47&lt;=0,$F$11,0)+IF(J47&lt;=0,$F$12,0)+IF(K47&lt;=0,$F$13,0)+IF(L47&lt;=0,$F$14,0)+IF(M47&lt;=0,$F$15,0)+IF(N47&lt;=0,$F$16,0)+IF(O47&lt;=0,$F$17,0)+IF(P47&lt;=0,$F$18,0)+IF(Q47&lt;=0,$F$19,0)+IF(R47&lt;=0,$F$20,0)+IF(S47&lt;=0,$F$21,0)+IF(T47&lt;=0,$F$22,0)+IF(U47&lt;=0,$F$23,0)+IF(V47&lt;=0,$F$24,0)),MAX(0,$F$5+(Dashboard!$C$11+IF(C47&lt;=0,$F$5,0)+IF(D47&lt;=0,$F$6,0)+IF(E47&lt;=0,$F$7,0)+IF(F47&lt;=0,$F$8,0)+IF(G47&lt;=0,$F$9,0)+IF(H47&lt;=0,$F$10,0)+IF(I47&lt;=0,$F$11,0)+IF(J47&lt;=0,$F$12,0)+IF(K47&lt;=0,$F$13,0)+IF(L47&lt;=0,$F$14,0)+IF(M47&lt;=0,$F$15,0)+IF(N47&lt;=0,$F$16,0)+IF(O47&lt;=0,$F$17,0)+IF(P47&lt;=0,$F$18,0)+IF(Q47&lt;=0,$F$19,0)+IF(R47&lt;=0,$F$20,0)+IF(S47&lt;=0,$F$21,0)+IF(T47&lt;=0,$F$22,0)+IF(U47&lt;=0,$F$23,0)+IF(V47&lt;=0,$F$24,0))-C47-AN48))</f>
        <v/>
      </c>
      <c r="AQ48">
        <f>IF(D47&lt;=0,0,D47*$E$6/12)</f>
        <v/>
      </c>
      <c r="AR48">
        <f>IF(D47&lt;=0,0,MIN(D47+AQ48,$F$6+AP48))</f>
        <v/>
      </c>
      <c r="AS48">
        <f>IF(D47&lt;=0,AP48,MAX(0,$F$6+AP48-D47-AQ48))</f>
        <v/>
      </c>
      <c r="AT48">
        <f>IF(E47&lt;=0,0,E47*$E$7/12)</f>
        <v/>
      </c>
      <c r="AU48">
        <f>IF(E47&lt;=0,0,MIN(E47+AT48,$F$7+AS48))</f>
        <v/>
      </c>
      <c r="AV48">
        <f>IF(E47&lt;=0,AS48,MAX(0,$F$7+AS48-E47-AT48))</f>
        <v/>
      </c>
      <c r="AW48">
        <f>IF(F47&lt;=0,0,F47*$E$8/12)</f>
        <v/>
      </c>
      <c r="AX48">
        <f>IF(F47&lt;=0,0,MIN(F47+AW48,$F$8+AV48))</f>
        <v/>
      </c>
      <c r="AY48">
        <f>IF(F47&lt;=0,AV48,MAX(0,$F$8+AV48-F47-AW48))</f>
        <v/>
      </c>
      <c r="AZ48">
        <f>IF(G47&lt;=0,0,G47*$E$9/12)</f>
        <v/>
      </c>
      <c r="BA48">
        <f>IF(G47&lt;=0,0,MIN(G47+AZ48,$F$9+AY48))</f>
        <v/>
      </c>
      <c r="BB48">
        <f>IF(G47&lt;=0,AY48,MAX(0,$F$9+AY48-G47-AZ48))</f>
        <v/>
      </c>
      <c r="BC48">
        <f>IF(H47&lt;=0,0,H47*$E$10/12)</f>
        <v/>
      </c>
      <c r="BD48">
        <f>IF(H47&lt;=0,0,MIN(H47+BC48,$F$10+BB48))</f>
        <v/>
      </c>
      <c r="BE48">
        <f>IF(H47&lt;=0,BB48,MAX(0,$F$10+BB48-H47-BC48))</f>
        <v/>
      </c>
      <c r="BF48">
        <f>IF(I47&lt;=0,0,I47*$E$11/12)</f>
        <v/>
      </c>
      <c r="BG48">
        <f>IF(I47&lt;=0,0,MIN(I47+BF48,$F$11+BE48))</f>
        <v/>
      </c>
      <c r="BH48">
        <f>IF(I47&lt;=0,BE48,MAX(0,$F$11+BE48-I47-BF48))</f>
        <v/>
      </c>
      <c r="BI48">
        <f>IF(J47&lt;=0,0,J47*$E$12/12)</f>
        <v/>
      </c>
      <c r="BJ48">
        <f>IF(J47&lt;=0,0,MIN(J47+BI48,$F$12+BH48))</f>
        <v/>
      </c>
      <c r="BK48">
        <f>IF(J47&lt;=0,BH48,MAX(0,$F$12+BH48-J47-BI48))</f>
        <v/>
      </c>
      <c r="BL48">
        <f>IF(K47&lt;=0,0,K47*$E$13/12)</f>
        <v/>
      </c>
      <c r="BM48">
        <f>IF(K47&lt;=0,0,MIN(K47+BL48,$F$13+BK48))</f>
        <v/>
      </c>
      <c r="BN48">
        <f>IF(K47&lt;=0,BK48,MAX(0,$F$13+BK48-K47-BL48))</f>
        <v/>
      </c>
      <c r="BO48">
        <f>IF(L47&lt;=0,0,L47*$E$14/12)</f>
        <v/>
      </c>
      <c r="BP48">
        <f>IF(L47&lt;=0,0,MIN(L47+BO48,$F$14+BN48))</f>
        <v/>
      </c>
      <c r="BQ48">
        <f>IF(L47&lt;=0,BN48,MAX(0,$F$14+BN48-L47-BO48))</f>
        <v/>
      </c>
      <c r="BR48">
        <f>IF(M47&lt;=0,0,M47*$E$15/12)</f>
        <v/>
      </c>
      <c r="BS48">
        <f>IF(M47&lt;=0,0,MIN(M47+BR48,$F$15+BQ48))</f>
        <v/>
      </c>
      <c r="BT48">
        <f>IF(M47&lt;=0,BQ48,MAX(0,$F$15+BQ48-M47-BR48))</f>
        <v/>
      </c>
      <c r="BU48">
        <f>IF(N47&lt;=0,0,N47*$E$16/12)</f>
        <v/>
      </c>
      <c r="BV48">
        <f>IF(N47&lt;=0,0,MIN(N47+BU48,$F$16+BT48))</f>
        <v/>
      </c>
      <c r="BW48">
        <f>IF(N47&lt;=0,BT48,MAX(0,$F$16+BT48-N47-BU48))</f>
        <v/>
      </c>
      <c r="BX48">
        <f>IF(O47&lt;=0,0,O47*$E$17/12)</f>
        <v/>
      </c>
      <c r="BY48">
        <f>IF(O47&lt;=0,0,MIN(O47+BX48,$F$17+BW48))</f>
        <v/>
      </c>
      <c r="BZ48">
        <f>IF(O47&lt;=0,BW48,MAX(0,$F$17+BW48-O47-BX48))</f>
        <v/>
      </c>
      <c r="CA48">
        <f>IF(P47&lt;=0,0,P47*$E$18/12)</f>
        <v/>
      </c>
      <c r="CB48">
        <f>IF(P47&lt;=0,0,MIN(P47+CA48,$F$18+BZ48))</f>
        <v/>
      </c>
      <c r="CC48">
        <f>IF(P47&lt;=0,BZ48,MAX(0,$F$18+BZ48-P47-CA48))</f>
        <v/>
      </c>
      <c r="CD48">
        <f>IF(Q47&lt;=0,0,Q47*$E$19/12)</f>
        <v/>
      </c>
      <c r="CE48">
        <f>IF(Q47&lt;=0,0,MIN(Q47+CD48,$F$19+CC48))</f>
        <v/>
      </c>
      <c r="CF48">
        <f>IF(Q47&lt;=0,CC48,MAX(0,$F$19+CC48-Q47-CD48))</f>
        <v/>
      </c>
      <c r="CG48">
        <f>IF(R47&lt;=0,0,R47*$E$20/12)</f>
        <v/>
      </c>
      <c r="CH48">
        <f>IF(R47&lt;=0,0,MIN(R47+CG48,$F$20+CF48))</f>
        <v/>
      </c>
      <c r="CI48">
        <f>IF(R47&lt;=0,CF48,MAX(0,$F$20+CF48-R47-CG48))</f>
        <v/>
      </c>
      <c r="CJ48">
        <f>IF(S47&lt;=0,0,S47*$E$21/12)</f>
        <v/>
      </c>
      <c r="CK48">
        <f>IF(S47&lt;=0,0,MIN(S47+CJ48,$F$21+CI48))</f>
        <v/>
      </c>
      <c r="CL48">
        <f>IF(S47&lt;=0,CI48,MAX(0,$F$21+CI48-S47-CJ48))</f>
        <v/>
      </c>
      <c r="CM48">
        <f>IF(T47&lt;=0,0,T47*$E$22/12)</f>
        <v/>
      </c>
      <c r="CN48">
        <f>IF(T47&lt;=0,0,MIN(T47+CM48,$F$22+CL48))</f>
        <v/>
      </c>
      <c r="CO48">
        <f>IF(T47&lt;=0,CL48,MAX(0,$F$22+CL48-T47-CM48))</f>
        <v/>
      </c>
      <c r="CP48">
        <f>IF(U47&lt;=0,0,U47*$E$23/12)</f>
        <v/>
      </c>
      <c r="CQ48">
        <f>IF(U47&lt;=0,0,MIN(U47+CP48,$F$23+CO48))</f>
        <v/>
      </c>
      <c r="CR48">
        <f>IF(U47&lt;=0,CO48,MAX(0,$F$23+CO48-U47-CP48))</f>
        <v/>
      </c>
      <c r="CS48">
        <f>IF(V47&lt;=0,0,V47*$E$24/12)</f>
        <v/>
      </c>
      <c r="CT48">
        <f>IF(V47&lt;=0,0,MIN(V47+CS48,$F$24+CR48))</f>
        <v/>
      </c>
      <c r="CU48">
        <f>IF(V47&lt;=0,CR48,MAX(0,$F$24+CR48-V47-CS48))</f>
        <v/>
      </c>
    </row>
    <row r="49">
      <c r="B49" s="39" t="n">
        <v>23</v>
      </c>
      <c r="C49" s="13">
        <f>IF(C48&lt;=0,0,MAX(0,C48+AN49-AO49))</f>
        <v/>
      </c>
      <c r="D49" s="13">
        <f>IF(D48&lt;=0,0,MAX(0,D48+AQ49-AR49))</f>
        <v/>
      </c>
      <c r="E49" s="13">
        <f>IF(E48&lt;=0,0,MAX(0,E48+AT49-AU49))</f>
        <v/>
      </c>
      <c r="F49" s="13">
        <f>IF(F48&lt;=0,0,MAX(0,F48+AW49-AX49))</f>
        <v/>
      </c>
      <c r="G49" s="13">
        <f>IF(G48&lt;=0,0,MAX(0,G48+AZ49-BA49))</f>
        <v/>
      </c>
      <c r="H49" s="13">
        <f>IF(H48&lt;=0,0,MAX(0,H48+BC49-BD49))</f>
        <v/>
      </c>
      <c r="I49" s="13">
        <f>IF(I48&lt;=0,0,MAX(0,I48+BF49-BG49))</f>
        <v/>
      </c>
      <c r="J49" s="13">
        <f>IF(J48&lt;=0,0,MAX(0,J48+BI49-BJ49))</f>
        <v/>
      </c>
      <c r="K49" s="13">
        <f>IF(K48&lt;=0,0,MAX(0,K48+BL49-BM49))</f>
        <v/>
      </c>
      <c r="L49" s="13">
        <f>IF(L48&lt;=0,0,MAX(0,L48+BO49-BP49))</f>
        <v/>
      </c>
      <c r="M49" s="13">
        <f>IF(M48&lt;=0,0,MAX(0,M48+BR49-BS49))</f>
        <v/>
      </c>
      <c r="N49" s="13">
        <f>IF(N48&lt;=0,0,MAX(0,N48+BU49-BV49))</f>
        <v/>
      </c>
      <c r="O49" s="13">
        <f>IF(O48&lt;=0,0,MAX(0,O48+BX49-BY49))</f>
        <v/>
      </c>
      <c r="P49" s="13">
        <f>IF(P48&lt;=0,0,MAX(0,P48+CA49-CB49))</f>
        <v/>
      </c>
      <c r="Q49" s="13">
        <f>IF(Q48&lt;=0,0,MAX(0,Q48+CD49-CE49))</f>
        <v/>
      </c>
      <c r="R49" s="13">
        <f>IF(R48&lt;=0,0,MAX(0,R48+CG49-CH49))</f>
        <v/>
      </c>
      <c r="S49" s="13">
        <f>IF(S48&lt;=0,0,MAX(0,S48+CJ49-CK49))</f>
        <v/>
      </c>
      <c r="T49" s="13">
        <f>IF(T48&lt;=0,0,MAX(0,T48+CM49-CN49))</f>
        <v/>
      </c>
      <c r="U49" s="13">
        <f>IF(U48&lt;=0,0,MAX(0,U48+CP49-CQ49))</f>
        <v/>
      </c>
      <c r="V49" s="13">
        <f>IF(V48&lt;=0,0,MAX(0,V48+CS49-CT49))</f>
        <v/>
      </c>
      <c r="W49" s="13">
        <f>AO49+AR49+AU49+AX49+BA49+BD49+BG49+BJ49+BM49+BP49+BS49+BV49+BY49+CB49+CE49+CH49+CK49+CN49+CQ49+CT49</f>
        <v/>
      </c>
      <c r="X49" s="13">
        <f>AN49+AQ49+AT49+AW49+AZ49+BC49+BF49+BI49+BL49+BO49+BR49+BU49+BX49+CA49+CD49+CG49+CJ49+CM49+CP49+CS49</f>
        <v/>
      </c>
      <c r="Y49" s="27">
        <f>C49+D49+E49+F49+G49+H49+I49+J49+K49+L49+M49+N49+O49+P49+Q49+R49+S49+T49+U49+V49</f>
        <v/>
      </c>
      <c r="AN49">
        <f>IF(C48&lt;=0,0,C48*$E$5/12)</f>
        <v/>
      </c>
      <c r="AO49">
        <f>IF(C48&lt;=0,0,MIN(C48+AN49,$F$5+(Dashboard!$C$11+IF(C48&lt;=0,$F$5,0)+IF(D48&lt;=0,$F$6,0)+IF(E48&lt;=0,$F$7,0)+IF(F48&lt;=0,$F$8,0)+IF(G48&lt;=0,$F$9,0)+IF(H48&lt;=0,$F$10,0)+IF(I48&lt;=0,$F$11,0)+IF(J48&lt;=0,$F$12,0)+IF(K48&lt;=0,$F$13,0)+IF(L48&lt;=0,$F$14,0)+IF(M48&lt;=0,$F$15,0)+IF(N48&lt;=0,$F$16,0)+IF(O48&lt;=0,$F$17,0)+IF(P48&lt;=0,$F$18,0)+IF(Q48&lt;=0,$F$19,0)+IF(R48&lt;=0,$F$20,0)+IF(S48&lt;=0,$F$21,0)+IF(T48&lt;=0,$F$22,0)+IF(U48&lt;=0,$F$23,0)+IF(V48&lt;=0,$F$24,0))))</f>
        <v/>
      </c>
      <c r="AP49">
        <f>IF(C48&lt;=0,(Dashboard!$C$11+IF(C48&lt;=0,$F$5,0)+IF(D48&lt;=0,$F$6,0)+IF(E48&lt;=0,$F$7,0)+IF(F48&lt;=0,$F$8,0)+IF(G48&lt;=0,$F$9,0)+IF(H48&lt;=0,$F$10,0)+IF(I48&lt;=0,$F$11,0)+IF(J48&lt;=0,$F$12,0)+IF(K48&lt;=0,$F$13,0)+IF(L48&lt;=0,$F$14,0)+IF(M48&lt;=0,$F$15,0)+IF(N48&lt;=0,$F$16,0)+IF(O48&lt;=0,$F$17,0)+IF(P48&lt;=0,$F$18,0)+IF(Q48&lt;=0,$F$19,0)+IF(R48&lt;=0,$F$20,0)+IF(S48&lt;=0,$F$21,0)+IF(T48&lt;=0,$F$22,0)+IF(U48&lt;=0,$F$23,0)+IF(V48&lt;=0,$F$24,0)),MAX(0,$F$5+(Dashboard!$C$11+IF(C48&lt;=0,$F$5,0)+IF(D48&lt;=0,$F$6,0)+IF(E48&lt;=0,$F$7,0)+IF(F48&lt;=0,$F$8,0)+IF(G48&lt;=0,$F$9,0)+IF(H48&lt;=0,$F$10,0)+IF(I48&lt;=0,$F$11,0)+IF(J48&lt;=0,$F$12,0)+IF(K48&lt;=0,$F$13,0)+IF(L48&lt;=0,$F$14,0)+IF(M48&lt;=0,$F$15,0)+IF(N48&lt;=0,$F$16,0)+IF(O48&lt;=0,$F$17,0)+IF(P48&lt;=0,$F$18,0)+IF(Q48&lt;=0,$F$19,0)+IF(R48&lt;=0,$F$20,0)+IF(S48&lt;=0,$F$21,0)+IF(T48&lt;=0,$F$22,0)+IF(U48&lt;=0,$F$23,0)+IF(V48&lt;=0,$F$24,0))-C48-AN49))</f>
        <v/>
      </c>
      <c r="AQ49">
        <f>IF(D48&lt;=0,0,D48*$E$6/12)</f>
        <v/>
      </c>
      <c r="AR49">
        <f>IF(D48&lt;=0,0,MIN(D48+AQ49,$F$6+AP49))</f>
        <v/>
      </c>
      <c r="AS49">
        <f>IF(D48&lt;=0,AP49,MAX(0,$F$6+AP49-D48-AQ49))</f>
        <v/>
      </c>
      <c r="AT49">
        <f>IF(E48&lt;=0,0,E48*$E$7/12)</f>
        <v/>
      </c>
      <c r="AU49">
        <f>IF(E48&lt;=0,0,MIN(E48+AT49,$F$7+AS49))</f>
        <v/>
      </c>
      <c r="AV49">
        <f>IF(E48&lt;=0,AS49,MAX(0,$F$7+AS49-E48-AT49))</f>
        <v/>
      </c>
      <c r="AW49">
        <f>IF(F48&lt;=0,0,F48*$E$8/12)</f>
        <v/>
      </c>
      <c r="AX49">
        <f>IF(F48&lt;=0,0,MIN(F48+AW49,$F$8+AV49))</f>
        <v/>
      </c>
      <c r="AY49">
        <f>IF(F48&lt;=0,AV49,MAX(0,$F$8+AV49-F48-AW49))</f>
        <v/>
      </c>
      <c r="AZ49">
        <f>IF(G48&lt;=0,0,G48*$E$9/12)</f>
        <v/>
      </c>
      <c r="BA49">
        <f>IF(G48&lt;=0,0,MIN(G48+AZ49,$F$9+AY49))</f>
        <v/>
      </c>
      <c r="BB49">
        <f>IF(G48&lt;=0,AY49,MAX(0,$F$9+AY49-G48-AZ49))</f>
        <v/>
      </c>
      <c r="BC49">
        <f>IF(H48&lt;=0,0,H48*$E$10/12)</f>
        <v/>
      </c>
      <c r="BD49">
        <f>IF(H48&lt;=0,0,MIN(H48+BC49,$F$10+BB49))</f>
        <v/>
      </c>
      <c r="BE49">
        <f>IF(H48&lt;=0,BB49,MAX(0,$F$10+BB49-H48-BC49))</f>
        <v/>
      </c>
      <c r="BF49">
        <f>IF(I48&lt;=0,0,I48*$E$11/12)</f>
        <v/>
      </c>
      <c r="BG49">
        <f>IF(I48&lt;=0,0,MIN(I48+BF49,$F$11+BE49))</f>
        <v/>
      </c>
      <c r="BH49">
        <f>IF(I48&lt;=0,BE49,MAX(0,$F$11+BE49-I48-BF49))</f>
        <v/>
      </c>
      <c r="BI49">
        <f>IF(J48&lt;=0,0,J48*$E$12/12)</f>
        <v/>
      </c>
      <c r="BJ49">
        <f>IF(J48&lt;=0,0,MIN(J48+BI49,$F$12+BH49))</f>
        <v/>
      </c>
      <c r="BK49">
        <f>IF(J48&lt;=0,BH49,MAX(0,$F$12+BH49-J48-BI49))</f>
        <v/>
      </c>
      <c r="BL49">
        <f>IF(K48&lt;=0,0,K48*$E$13/12)</f>
        <v/>
      </c>
      <c r="BM49">
        <f>IF(K48&lt;=0,0,MIN(K48+BL49,$F$13+BK49))</f>
        <v/>
      </c>
      <c r="BN49">
        <f>IF(K48&lt;=0,BK49,MAX(0,$F$13+BK49-K48-BL49))</f>
        <v/>
      </c>
      <c r="BO49">
        <f>IF(L48&lt;=0,0,L48*$E$14/12)</f>
        <v/>
      </c>
      <c r="BP49">
        <f>IF(L48&lt;=0,0,MIN(L48+BO49,$F$14+BN49))</f>
        <v/>
      </c>
      <c r="BQ49">
        <f>IF(L48&lt;=0,BN49,MAX(0,$F$14+BN49-L48-BO49))</f>
        <v/>
      </c>
      <c r="BR49">
        <f>IF(M48&lt;=0,0,M48*$E$15/12)</f>
        <v/>
      </c>
      <c r="BS49">
        <f>IF(M48&lt;=0,0,MIN(M48+BR49,$F$15+BQ49))</f>
        <v/>
      </c>
      <c r="BT49">
        <f>IF(M48&lt;=0,BQ49,MAX(0,$F$15+BQ49-M48-BR49))</f>
        <v/>
      </c>
      <c r="BU49">
        <f>IF(N48&lt;=0,0,N48*$E$16/12)</f>
        <v/>
      </c>
      <c r="BV49">
        <f>IF(N48&lt;=0,0,MIN(N48+BU49,$F$16+BT49))</f>
        <v/>
      </c>
      <c r="BW49">
        <f>IF(N48&lt;=0,BT49,MAX(0,$F$16+BT49-N48-BU49))</f>
        <v/>
      </c>
      <c r="BX49">
        <f>IF(O48&lt;=0,0,O48*$E$17/12)</f>
        <v/>
      </c>
      <c r="BY49">
        <f>IF(O48&lt;=0,0,MIN(O48+BX49,$F$17+BW49))</f>
        <v/>
      </c>
      <c r="BZ49">
        <f>IF(O48&lt;=0,BW49,MAX(0,$F$17+BW49-O48-BX49))</f>
        <v/>
      </c>
      <c r="CA49">
        <f>IF(P48&lt;=0,0,P48*$E$18/12)</f>
        <v/>
      </c>
      <c r="CB49">
        <f>IF(P48&lt;=0,0,MIN(P48+CA49,$F$18+BZ49))</f>
        <v/>
      </c>
      <c r="CC49">
        <f>IF(P48&lt;=0,BZ49,MAX(0,$F$18+BZ49-P48-CA49))</f>
        <v/>
      </c>
      <c r="CD49">
        <f>IF(Q48&lt;=0,0,Q48*$E$19/12)</f>
        <v/>
      </c>
      <c r="CE49">
        <f>IF(Q48&lt;=0,0,MIN(Q48+CD49,$F$19+CC49))</f>
        <v/>
      </c>
      <c r="CF49">
        <f>IF(Q48&lt;=0,CC49,MAX(0,$F$19+CC49-Q48-CD49))</f>
        <v/>
      </c>
      <c r="CG49">
        <f>IF(R48&lt;=0,0,R48*$E$20/12)</f>
        <v/>
      </c>
      <c r="CH49">
        <f>IF(R48&lt;=0,0,MIN(R48+CG49,$F$20+CF49))</f>
        <v/>
      </c>
      <c r="CI49">
        <f>IF(R48&lt;=0,CF49,MAX(0,$F$20+CF49-R48-CG49))</f>
        <v/>
      </c>
      <c r="CJ49">
        <f>IF(S48&lt;=0,0,S48*$E$21/12)</f>
        <v/>
      </c>
      <c r="CK49">
        <f>IF(S48&lt;=0,0,MIN(S48+CJ49,$F$21+CI49))</f>
        <v/>
      </c>
      <c r="CL49">
        <f>IF(S48&lt;=0,CI49,MAX(0,$F$21+CI49-S48-CJ49))</f>
        <v/>
      </c>
      <c r="CM49">
        <f>IF(T48&lt;=0,0,T48*$E$22/12)</f>
        <v/>
      </c>
      <c r="CN49">
        <f>IF(T48&lt;=0,0,MIN(T48+CM49,$F$22+CL49))</f>
        <v/>
      </c>
      <c r="CO49">
        <f>IF(T48&lt;=0,CL49,MAX(0,$F$22+CL49-T48-CM49))</f>
        <v/>
      </c>
      <c r="CP49">
        <f>IF(U48&lt;=0,0,U48*$E$23/12)</f>
        <v/>
      </c>
      <c r="CQ49">
        <f>IF(U48&lt;=0,0,MIN(U48+CP49,$F$23+CO49))</f>
        <v/>
      </c>
      <c r="CR49">
        <f>IF(U48&lt;=0,CO49,MAX(0,$F$23+CO49-U48-CP49))</f>
        <v/>
      </c>
      <c r="CS49">
        <f>IF(V48&lt;=0,0,V48*$E$24/12)</f>
        <v/>
      </c>
      <c r="CT49">
        <f>IF(V48&lt;=0,0,MIN(V48+CS49,$F$24+CR49))</f>
        <v/>
      </c>
      <c r="CU49">
        <f>IF(V48&lt;=0,CR49,MAX(0,$F$24+CR49-V48-CS49))</f>
        <v/>
      </c>
    </row>
    <row r="50">
      <c r="B50" s="39" t="n">
        <v>24</v>
      </c>
      <c r="C50" s="13">
        <f>IF(C49&lt;=0,0,MAX(0,C49+AN50-AO50))</f>
        <v/>
      </c>
      <c r="D50" s="13">
        <f>IF(D49&lt;=0,0,MAX(0,D49+AQ50-AR50))</f>
        <v/>
      </c>
      <c r="E50" s="13">
        <f>IF(E49&lt;=0,0,MAX(0,E49+AT50-AU50))</f>
        <v/>
      </c>
      <c r="F50" s="13">
        <f>IF(F49&lt;=0,0,MAX(0,F49+AW50-AX50))</f>
        <v/>
      </c>
      <c r="G50" s="13">
        <f>IF(G49&lt;=0,0,MAX(0,G49+AZ50-BA50))</f>
        <v/>
      </c>
      <c r="H50" s="13">
        <f>IF(H49&lt;=0,0,MAX(0,H49+BC50-BD50))</f>
        <v/>
      </c>
      <c r="I50" s="13">
        <f>IF(I49&lt;=0,0,MAX(0,I49+BF50-BG50))</f>
        <v/>
      </c>
      <c r="J50" s="13">
        <f>IF(J49&lt;=0,0,MAX(0,J49+BI50-BJ50))</f>
        <v/>
      </c>
      <c r="K50" s="13">
        <f>IF(K49&lt;=0,0,MAX(0,K49+BL50-BM50))</f>
        <v/>
      </c>
      <c r="L50" s="13">
        <f>IF(L49&lt;=0,0,MAX(0,L49+BO50-BP50))</f>
        <v/>
      </c>
      <c r="M50" s="13">
        <f>IF(M49&lt;=0,0,MAX(0,M49+BR50-BS50))</f>
        <v/>
      </c>
      <c r="N50" s="13">
        <f>IF(N49&lt;=0,0,MAX(0,N49+BU50-BV50))</f>
        <v/>
      </c>
      <c r="O50" s="13">
        <f>IF(O49&lt;=0,0,MAX(0,O49+BX50-BY50))</f>
        <v/>
      </c>
      <c r="P50" s="13">
        <f>IF(P49&lt;=0,0,MAX(0,P49+CA50-CB50))</f>
        <v/>
      </c>
      <c r="Q50" s="13">
        <f>IF(Q49&lt;=0,0,MAX(0,Q49+CD50-CE50))</f>
        <v/>
      </c>
      <c r="R50" s="13">
        <f>IF(R49&lt;=0,0,MAX(0,R49+CG50-CH50))</f>
        <v/>
      </c>
      <c r="S50" s="13">
        <f>IF(S49&lt;=0,0,MAX(0,S49+CJ50-CK50))</f>
        <v/>
      </c>
      <c r="T50" s="13">
        <f>IF(T49&lt;=0,0,MAX(0,T49+CM50-CN50))</f>
        <v/>
      </c>
      <c r="U50" s="13">
        <f>IF(U49&lt;=0,0,MAX(0,U49+CP50-CQ50))</f>
        <v/>
      </c>
      <c r="V50" s="13">
        <f>IF(V49&lt;=0,0,MAX(0,V49+CS50-CT50))</f>
        <v/>
      </c>
      <c r="W50" s="13">
        <f>AO50+AR50+AU50+AX50+BA50+BD50+BG50+BJ50+BM50+BP50+BS50+BV50+BY50+CB50+CE50+CH50+CK50+CN50+CQ50+CT50</f>
        <v/>
      </c>
      <c r="X50" s="13">
        <f>AN50+AQ50+AT50+AW50+AZ50+BC50+BF50+BI50+BL50+BO50+BR50+BU50+BX50+CA50+CD50+CG50+CJ50+CM50+CP50+CS50</f>
        <v/>
      </c>
      <c r="Y50" s="27">
        <f>C50+D50+E50+F50+G50+H50+I50+J50+K50+L50+M50+N50+O50+P50+Q50+R50+S50+T50+U50+V50</f>
        <v/>
      </c>
      <c r="AN50">
        <f>IF(C49&lt;=0,0,C49*$E$5/12)</f>
        <v/>
      </c>
      <c r="AO50">
        <f>IF(C49&lt;=0,0,MIN(C49+AN50,$F$5+(Dashboard!$C$11+IF(C49&lt;=0,$F$5,0)+IF(D49&lt;=0,$F$6,0)+IF(E49&lt;=0,$F$7,0)+IF(F49&lt;=0,$F$8,0)+IF(G49&lt;=0,$F$9,0)+IF(H49&lt;=0,$F$10,0)+IF(I49&lt;=0,$F$11,0)+IF(J49&lt;=0,$F$12,0)+IF(K49&lt;=0,$F$13,0)+IF(L49&lt;=0,$F$14,0)+IF(M49&lt;=0,$F$15,0)+IF(N49&lt;=0,$F$16,0)+IF(O49&lt;=0,$F$17,0)+IF(P49&lt;=0,$F$18,0)+IF(Q49&lt;=0,$F$19,0)+IF(R49&lt;=0,$F$20,0)+IF(S49&lt;=0,$F$21,0)+IF(T49&lt;=0,$F$22,0)+IF(U49&lt;=0,$F$23,0)+IF(V49&lt;=0,$F$24,0))))</f>
        <v/>
      </c>
      <c r="AP50">
        <f>IF(C49&lt;=0,(Dashboard!$C$11+IF(C49&lt;=0,$F$5,0)+IF(D49&lt;=0,$F$6,0)+IF(E49&lt;=0,$F$7,0)+IF(F49&lt;=0,$F$8,0)+IF(G49&lt;=0,$F$9,0)+IF(H49&lt;=0,$F$10,0)+IF(I49&lt;=0,$F$11,0)+IF(J49&lt;=0,$F$12,0)+IF(K49&lt;=0,$F$13,0)+IF(L49&lt;=0,$F$14,0)+IF(M49&lt;=0,$F$15,0)+IF(N49&lt;=0,$F$16,0)+IF(O49&lt;=0,$F$17,0)+IF(P49&lt;=0,$F$18,0)+IF(Q49&lt;=0,$F$19,0)+IF(R49&lt;=0,$F$20,0)+IF(S49&lt;=0,$F$21,0)+IF(T49&lt;=0,$F$22,0)+IF(U49&lt;=0,$F$23,0)+IF(V49&lt;=0,$F$24,0)),MAX(0,$F$5+(Dashboard!$C$11+IF(C49&lt;=0,$F$5,0)+IF(D49&lt;=0,$F$6,0)+IF(E49&lt;=0,$F$7,0)+IF(F49&lt;=0,$F$8,0)+IF(G49&lt;=0,$F$9,0)+IF(H49&lt;=0,$F$10,0)+IF(I49&lt;=0,$F$11,0)+IF(J49&lt;=0,$F$12,0)+IF(K49&lt;=0,$F$13,0)+IF(L49&lt;=0,$F$14,0)+IF(M49&lt;=0,$F$15,0)+IF(N49&lt;=0,$F$16,0)+IF(O49&lt;=0,$F$17,0)+IF(P49&lt;=0,$F$18,0)+IF(Q49&lt;=0,$F$19,0)+IF(R49&lt;=0,$F$20,0)+IF(S49&lt;=0,$F$21,0)+IF(T49&lt;=0,$F$22,0)+IF(U49&lt;=0,$F$23,0)+IF(V49&lt;=0,$F$24,0))-C49-AN50))</f>
        <v/>
      </c>
      <c r="AQ50">
        <f>IF(D49&lt;=0,0,D49*$E$6/12)</f>
        <v/>
      </c>
      <c r="AR50">
        <f>IF(D49&lt;=0,0,MIN(D49+AQ50,$F$6+AP50))</f>
        <v/>
      </c>
      <c r="AS50">
        <f>IF(D49&lt;=0,AP50,MAX(0,$F$6+AP50-D49-AQ50))</f>
        <v/>
      </c>
      <c r="AT50">
        <f>IF(E49&lt;=0,0,E49*$E$7/12)</f>
        <v/>
      </c>
      <c r="AU50">
        <f>IF(E49&lt;=0,0,MIN(E49+AT50,$F$7+AS50))</f>
        <v/>
      </c>
      <c r="AV50">
        <f>IF(E49&lt;=0,AS50,MAX(0,$F$7+AS50-E49-AT50))</f>
        <v/>
      </c>
      <c r="AW50">
        <f>IF(F49&lt;=0,0,F49*$E$8/12)</f>
        <v/>
      </c>
      <c r="AX50">
        <f>IF(F49&lt;=0,0,MIN(F49+AW50,$F$8+AV50))</f>
        <v/>
      </c>
      <c r="AY50">
        <f>IF(F49&lt;=0,AV50,MAX(0,$F$8+AV50-F49-AW50))</f>
        <v/>
      </c>
      <c r="AZ50">
        <f>IF(G49&lt;=0,0,G49*$E$9/12)</f>
        <v/>
      </c>
      <c r="BA50">
        <f>IF(G49&lt;=0,0,MIN(G49+AZ50,$F$9+AY50))</f>
        <v/>
      </c>
      <c r="BB50">
        <f>IF(G49&lt;=0,AY50,MAX(0,$F$9+AY50-G49-AZ50))</f>
        <v/>
      </c>
      <c r="BC50">
        <f>IF(H49&lt;=0,0,H49*$E$10/12)</f>
        <v/>
      </c>
      <c r="BD50">
        <f>IF(H49&lt;=0,0,MIN(H49+BC50,$F$10+BB50))</f>
        <v/>
      </c>
      <c r="BE50">
        <f>IF(H49&lt;=0,BB50,MAX(0,$F$10+BB50-H49-BC50))</f>
        <v/>
      </c>
      <c r="BF50">
        <f>IF(I49&lt;=0,0,I49*$E$11/12)</f>
        <v/>
      </c>
      <c r="BG50">
        <f>IF(I49&lt;=0,0,MIN(I49+BF50,$F$11+BE50))</f>
        <v/>
      </c>
      <c r="BH50">
        <f>IF(I49&lt;=0,BE50,MAX(0,$F$11+BE50-I49-BF50))</f>
        <v/>
      </c>
      <c r="BI50">
        <f>IF(J49&lt;=0,0,J49*$E$12/12)</f>
        <v/>
      </c>
      <c r="BJ50">
        <f>IF(J49&lt;=0,0,MIN(J49+BI50,$F$12+BH50))</f>
        <v/>
      </c>
      <c r="BK50">
        <f>IF(J49&lt;=0,BH50,MAX(0,$F$12+BH50-J49-BI50))</f>
        <v/>
      </c>
      <c r="BL50">
        <f>IF(K49&lt;=0,0,K49*$E$13/12)</f>
        <v/>
      </c>
      <c r="BM50">
        <f>IF(K49&lt;=0,0,MIN(K49+BL50,$F$13+BK50))</f>
        <v/>
      </c>
      <c r="BN50">
        <f>IF(K49&lt;=0,BK50,MAX(0,$F$13+BK50-K49-BL50))</f>
        <v/>
      </c>
      <c r="BO50">
        <f>IF(L49&lt;=0,0,L49*$E$14/12)</f>
        <v/>
      </c>
      <c r="BP50">
        <f>IF(L49&lt;=0,0,MIN(L49+BO50,$F$14+BN50))</f>
        <v/>
      </c>
      <c r="BQ50">
        <f>IF(L49&lt;=0,BN50,MAX(0,$F$14+BN50-L49-BO50))</f>
        <v/>
      </c>
      <c r="BR50">
        <f>IF(M49&lt;=0,0,M49*$E$15/12)</f>
        <v/>
      </c>
      <c r="BS50">
        <f>IF(M49&lt;=0,0,MIN(M49+BR50,$F$15+BQ50))</f>
        <v/>
      </c>
      <c r="BT50">
        <f>IF(M49&lt;=0,BQ50,MAX(0,$F$15+BQ50-M49-BR50))</f>
        <v/>
      </c>
      <c r="BU50">
        <f>IF(N49&lt;=0,0,N49*$E$16/12)</f>
        <v/>
      </c>
      <c r="BV50">
        <f>IF(N49&lt;=0,0,MIN(N49+BU50,$F$16+BT50))</f>
        <v/>
      </c>
      <c r="BW50">
        <f>IF(N49&lt;=0,BT50,MAX(0,$F$16+BT50-N49-BU50))</f>
        <v/>
      </c>
      <c r="BX50">
        <f>IF(O49&lt;=0,0,O49*$E$17/12)</f>
        <v/>
      </c>
      <c r="BY50">
        <f>IF(O49&lt;=0,0,MIN(O49+BX50,$F$17+BW50))</f>
        <v/>
      </c>
      <c r="BZ50">
        <f>IF(O49&lt;=0,BW50,MAX(0,$F$17+BW50-O49-BX50))</f>
        <v/>
      </c>
      <c r="CA50">
        <f>IF(P49&lt;=0,0,P49*$E$18/12)</f>
        <v/>
      </c>
      <c r="CB50">
        <f>IF(P49&lt;=0,0,MIN(P49+CA50,$F$18+BZ50))</f>
        <v/>
      </c>
      <c r="CC50">
        <f>IF(P49&lt;=0,BZ50,MAX(0,$F$18+BZ50-P49-CA50))</f>
        <v/>
      </c>
      <c r="CD50">
        <f>IF(Q49&lt;=0,0,Q49*$E$19/12)</f>
        <v/>
      </c>
      <c r="CE50">
        <f>IF(Q49&lt;=0,0,MIN(Q49+CD50,$F$19+CC50))</f>
        <v/>
      </c>
      <c r="CF50">
        <f>IF(Q49&lt;=0,CC50,MAX(0,$F$19+CC50-Q49-CD50))</f>
        <v/>
      </c>
      <c r="CG50">
        <f>IF(R49&lt;=0,0,R49*$E$20/12)</f>
        <v/>
      </c>
      <c r="CH50">
        <f>IF(R49&lt;=0,0,MIN(R49+CG50,$F$20+CF50))</f>
        <v/>
      </c>
      <c r="CI50">
        <f>IF(R49&lt;=0,CF50,MAX(0,$F$20+CF50-R49-CG50))</f>
        <v/>
      </c>
      <c r="CJ50">
        <f>IF(S49&lt;=0,0,S49*$E$21/12)</f>
        <v/>
      </c>
      <c r="CK50">
        <f>IF(S49&lt;=0,0,MIN(S49+CJ50,$F$21+CI50))</f>
        <v/>
      </c>
      <c r="CL50">
        <f>IF(S49&lt;=0,CI50,MAX(0,$F$21+CI50-S49-CJ50))</f>
        <v/>
      </c>
      <c r="CM50">
        <f>IF(T49&lt;=0,0,T49*$E$22/12)</f>
        <v/>
      </c>
      <c r="CN50">
        <f>IF(T49&lt;=0,0,MIN(T49+CM50,$F$22+CL50))</f>
        <v/>
      </c>
      <c r="CO50">
        <f>IF(T49&lt;=0,CL50,MAX(0,$F$22+CL50-T49-CM50))</f>
        <v/>
      </c>
      <c r="CP50">
        <f>IF(U49&lt;=0,0,U49*$E$23/12)</f>
        <v/>
      </c>
      <c r="CQ50">
        <f>IF(U49&lt;=0,0,MIN(U49+CP50,$F$23+CO50))</f>
        <v/>
      </c>
      <c r="CR50">
        <f>IF(U49&lt;=0,CO50,MAX(0,$F$23+CO50-U49-CP50))</f>
        <v/>
      </c>
      <c r="CS50">
        <f>IF(V49&lt;=0,0,V49*$E$24/12)</f>
        <v/>
      </c>
      <c r="CT50">
        <f>IF(V49&lt;=0,0,MIN(V49+CS50,$F$24+CR50))</f>
        <v/>
      </c>
      <c r="CU50">
        <f>IF(V49&lt;=0,CR50,MAX(0,$F$24+CR50-V49-CS50))</f>
        <v/>
      </c>
    </row>
    <row r="51">
      <c r="B51" s="39" t="n">
        <v>25</v>
      </c>
      <c r="C51" s="13">
        <f>IF(C50&lt;=0,0,MAX(0,C50+AN51-AO51))</f>
        <v/>
      </c>
      <c r="D51" s="13">
        <f>IF(D50&lt;=0,0,MAX(0,D50+AQ51-AR51))</f>
        <v/>
      </c>
      <c r="E51" s="13">
        <f>IF(E50&lt;=0,0,MAX(0,E50+AT51-AU51))</f>
        <v/>
      </c>
      <c r="F51" s="13">
        <f>IF(F50&lt;=0,0,MAX(0,F50+AW51-AX51))</f>
        <v/>
      </c>
      <c r="G51" s="13">
        <f>IF(G50&lt;=0,0,MAX(0,G50+AZ51-BA51))</f>
        <v/>
      </c>
      <c r="H51" s="13">
        <f>IF(H50&lt;=0,0,MAX(0,H50+BC51-BD51))</f>
        <v/>
      </c>
      <c r="I51" s="13">
        <f>IF(I50&lt;=0,0,MAX(0,I50+BF51-BG51))</f>
        <v/>
      </c>
      <c r="J51" s="13">
        <f>IF(J50&lt;=0,0,MAX(0,J50+BI51-BJ51))</f>
        <v/>
      </c>
      <c r="K51" s="13">
        <f>IF(K50&lt;=0,0,MAX(0,K50+BL51-BM51))</f>
        <v/>
      </c>
      <c r="L51" s="13">
        <f>IF(L50&lt;=0,0,MAX(0,L50+BO51-BP51))</f>
        <v/>
      </c>
      <c r="M51" s="13">
        <f>IF(M50&lt;=0,0,MAX(0,M50+BR51-BS51))</f>
        <v/>
      </c>
      <c r="N51" s="13">
        <f>IF(N50&lt;=0,0,MAX(0,N50+BU51-BV51))</f>
        <v/>
      </c>
      <c r="O51" s="13">
        <f>IF(O50&lt;=0,0,MAX(0,O50+BX51-BY51))</f>
        <v/>
      </c>
      <c r="P51" s="13">
        <f>IF(P50&lt;=0,0,MAX(0,P50+CA51-CB51))</f>
        <v/>
      </c>
      <c r="Q51" s="13">
        <f>IF(Q50&lt;=0,0,MAX(0,Q50+CD51-CE51))</f>
        <v/>
      </c>
      <c r="R51" s="13">
        <f>IF(R50&lt;=0,0,MAX(0,R50+CG51-CH51))</f>
        <v/>
      </c>
      <c r="S51" s="13">
        <f>IF(S50&lt;=0,0,MAX(0,S50+CJ51-CK51))</f>
        <v/>
      </c>
      <c r="T51" s="13">
        <f>IF(T50&lt;=0,0,MAX(0,T50+CM51-CN51))</f>
        <v/>
      </c>
      <c r="U51" s="13">
        <f>IF(U50&lt;=0,0,MAX(0,U50+CP51-CQ51))</f>
        <v/>
      </c>
      <c r="V51" s="13">
        <f>IF(V50&lt;=0,0,MAX(0,V50+CS51-CT51))</f>
        <v/>
      </c>
      <c r="W51" s="13">
        <f>AO51+AR51+AU51+AX51+BA51+BD51+BG51+BJ51+BM51+BP51+BS51+BV51+BY51+CB51+CE51+CH51+CK51+CN51+CQ51+CT51</f>
        <v/>
      </c>
      <c r="X51" s="13">
        <f>AN51+AQ51+AT51+AW51+AZ51+BC51+BF51+BI51+BL51+BO51+BR51+BU51+BX51+CA51+CD51+CG51+CJ51+CM51+CP51+CS51</f>
        <v/>
      </c>
      <c r="Y51" s="27">
        <f>C51+D51+E51+F51+G51+H51+I51+J51+K51+L51+M51+N51+O51+P51+Q51+R51+S51+T51+U51+V51</f>
        <v/>
      </c>
      <c r="AN51">
        <f>IF(C50&lt;=0,0,C50*$E$5/12)</f>
        <v/>
      </c>
      <c r="AO51">
        <f>IF(C50&lt;=0,0,MIN(C50+AN51,$F$5+(Dashboard!$C$11+IF(C50&lt;=0,$F$5,0)+IF(D50&lt;=0,$F$6,0)+IF(E50&lt;=0,$F$7,0)+IF(F50&lt;=0,$F$8,0)+IF(G50&lt;=0,$F$9,0)+IF(H50&lt;=0,$F$10,0)+IF(I50&lt;=0,$F$11,0)+IF(J50&lt;=0,$F$12,0)+IF(K50&lt;=0,$F$13,0)+IF(L50&lt;=0,$F$14,0)+IF(M50&lt;=0,$F$15,0)+IF(N50&lt;=0,$F$16,0)+IF(O50&lt;=0,$F$17,0)+IF(P50&lt;=0,$F$18,0)+IF(Q50&lt;=0,$F$19,0)+IF(R50&lt;=0,$F$20,0)+IF(S50&lt;=0,$F$21,0)+IF(T50&lt;=0,$F$22,0)+IF(U50&lt;=0,$F$23,0)+IF(V50&lt;=0,$F$24,0))))</f>
        <v/>
      </c>
      <c r="AP51">
        <f>IF(C50&lt;=0,(Dashboard!$C$11+IF(C50&lt;=0,$F$5,0)+IF(D50&lt;=0,$F$6,0)+IF(E50&lt;=0,$F$7,0)+IF(F50&lt;=0,$F$8,0)+IF(G50&lt;=0,$F$9,0)+IF(H50&lt;=0,$F$10,0)+IF(I50&lt;=0,$F$11,0)+IF(J50&lt;=0,$F$12,0)+IF(K50&lt;=0,$F$13,0)+IF(L50&lt;=0,$F$14,0)+IF(M50&lt;=0,$F$15,0)+IF(N50&lt;=0,$F$16,0)+IF(O50&lt;=0,$F$17,0)+IF(P50&lt;=0,$F$18,0)+IF(Q50&lt;=0,$F$19,0)+IF(R50&lt;=0,$F$20,0)+IF(S50&lt;=0,$F$21,0)+IF(T50&lt;=0,$F$22,0)+IF(U50&lt;=0,$F$23,0)+IF(V50&lt;=0,$F$24,0)),MAX(0,$F$5+(Dashboard!$C$11+IF(C50&lt;=0,$F$5,0)+IF(D50&lt;=0,$F$6,0)+IF(E50&lt;=0,$F$7,0)+IF(F50&lt;=0,$F$8,0)+IF(G50&lt;=0,$F$9,0)+IF(H50&lt;=0,$F$10,0)+IF(I50&lt;=0,$F$11,0)+IF(J50&lt;=0,$F$12,0)+IF(K50&lt;=0,$F$13,0)+IF(L50&lt;=0,$F$14,0)+IF(M50&lt;=0,$F$15,0)+IF(N50&lt;=0,$F$16,0)+IF(O50&lt;=0,$F$17,0)+IF(P50&lt;=0,$F$18,0)+IF(Q50&lt;=0,$F$19,0)+IF(R50&lt;=0,$F$20,0)+IF(S50&lt;=0,$F$21,0)+IF(T50&lt;=0,$F$22,0)+IF(U50&lt;=0,$F$23,0)+IF(V50&lt;=0,$F$24,0))-C50-AN51))</f>
        <v/>
      </c>
      <c r="AQ51">
        <f>IF(D50&lt;=0,0,D50*$E$6/12)</f>
        <v/>
      </c>
      <c r="AR51">
        <f>IF(D50&lt;=0,0,MIN(D50+AQ51,$F$6+AP51))</f>
        <v/>
      </c>
      <c r="AS51">
        <f>IF(D50&lt;=0,AP51,MAX(0,$F$6+AP51-D50-AQ51))</f>
        <v/>
      </c>
      <c r="AT51">
        <f>IF(E50&lt;=0,0,E50*$E$7/12)</f>
        <v/>
      </c>
      <c r="AU51">
        <f>IF(E50&lt;=0,0,MIN(E50+AT51,$F$7+AS51))</f>
        <v/>
      </c>
      <c r="AV51">
        <f>IF(E50&lt;=0,AS51,MAX(0,$F$7+AS51-E50-AT51))</f>
        <v/>
      </c>
      <c r="AW51">
        <f>IF(F50&lt;=0,0,F50*$E$8/12)</f>
        <v/>
      </c>
      <c r="AX51">
        <f>IF(F50&lt;=0,0,MIN(F50+AW51,$F$8+AV51))</f>
        <v/>
      </c>
      <c r="AY51">
        <f>IF(F50&lt;=0,AV51,MAX(0,$F$8+AV51-F50-AW51))</f>
        <v/>
      </c>
      <c r="AZ51">
        <f>IF(G50&lt;=0,0,G50*$E$9/12)</f>
        <v/>
      </c>
      <c r="BA51">
        <f>IF(G50&lt;=0,0,MIN(G50+AZ51,$F$9+AY51))</f>
        <v/>
      </c>
      <c r="BB51">
        <f>IF(G50&lt;=0,AY51,MAX(0,$F$9+AY51-G50-AZ51))</f>
        <v/>
      </c>
      <c r="BC51">
        <f>IF(H50&lt;=0,0,H50*$E$10/12)</f>
        <v/>
      </c>
      <c r="BD51">
        <f>IF(H50&lt;=0,0,MIN(H50+BC51,$F$10+BB51))</f>
        <v/>
      </c>
      <c r="BE51">
        <f>IF(H50&lt;=0,BB51,MAX(0,$F$10+BB51-H50-BC51))</f>
        <v/>
      </c>
      <c r="BF51">
        <f>IF(I50&lt;=0,0,I50*$E$11/12)</f>
        <v/>
      </c>
      <c r="BG51">
        <f>IF(I50&lt;=0,0,MIN(I50+BF51,$F$11+BE51))</f>
        <v/>
      </c>
      <c r="BH51">
        <f>IF(I50&lt;=0,BE51,MAX(0,$F$11+BE51-I50-BF51))</f>
        <v/>
      </c>
      <c r="BI51">
        <f>IF(J50&lt;=0,0,J50*$E$12/12)</f>
        <v/>
      </c>
      <c r="BJ51">
        <f>IF(J50&lt;=0,0,MIN(J50+BI51,$F$12+BH51))</f>
        <v/>
      </c>
      <c r="BK51">
        <f>IF(J50&lt;=0,BH51,MAX(0,$F$12+BH51-J50-BI51))</f>
        <v/>
      </c>
      <c r="BL51">
        <f>IF(K50&lt;=0,0,K50*$E$13/12)</f>
        <v/>
      </c>
      <c r="BM51">
        <f>IF(K50&lt;=0,0,MIN(K50+BL51,$F$13+BK51))</f>
        <v/>
      </c>
      <c r="BN51">
        <f>IF(K50&lt;=0,BK51,MAX(0,$F$13+BK51-K50-BL51))</f>
        <v/>
      </c>
      <c r="BO51">
        <f>IF(L50&lt;=0,0,L50*$E$14/12)</f>
        <v/>
      </c>
      <c r="BP51">
        <f>IF(L50&lt;=0,0,MIN(L50+BO51,$F$14+BN51))</f>
        <v/>
      </c>
      <c r="BQ51">
        <f>IF(L50&lt;=0,BN51,MAX(0,$F$14+BN51-L50-BO51))</f>
        <v/>
      </c>
      <c r="BR51">
        <f>IF(M50&lt;=0,0,M50*$E$15/12)</f>
        <v/>
      </c>
      <c r="BS51">
        <f>IF(M50&lt;=0,0,MIN(M50+BR51,$F$15+BQ51))</f>
        <v/>
      </c>
      <c r="BT51">
        <f>IF(M50&lt;=0,BQ51,MAX(0,$F$15+BQ51-M50-BR51))</f>
        <v/>
      </c>
      <c r="BU51">
        <f>IF(N50&lt;=0,0,N50*$E$16/12)</f>
        <v/>
      </c>
      <c r="BV51">
        <f>IF(N50&lt;=0,0,MIN(N50+BU51,$F$16+BT51))</f>
        <v/>
      </c>
      <c r="BW51">
        <f>IF(N50&lt;=0,BT51,MAX(0,$F$16+BT51-N50-BU51))</f>
        <v/>
      </c>
      <c r="BX51">
        <f>IF(O50&lt;=0,0,O50*$E$17/12)</f>
        <v/>
      </c>
      <c r="BY51">
        <f>IF(O50&lt;=0,0,MIN(O50+BX51,$F$17+BW51))</f>
        <v/>
      </c>
      <c r="BZ51">
        <f>IF(O50&lt;=0,BW51,MAX(0,$F$17+BW51-O50-BX51))</f>
        <v/>
      </c>
      <c r="CA51">
        <f>IF(P50&lt;=0,0,P50*$E$18/12)</f>
        <v/>
      </c>
      <c r="CB51">
        <f>IF(P50&lt;=0,0,MIN(P50+CA51,$F$18+BZ51))</f>
        <v/>
      </c>
      <c r="CC51">
        <f>IF(P50&lt;=0,BZ51,MAX(0,$F$18+BZ51-P50-CA51))</f>
        <v/>
      </c>
      <c r="CD51">
        <f>IF(Q50&lt;=0,0,Q50*$E$19/12)</f>
        <v/>
      </c>
      <c r="CE51">
        <f>IF(Q50&lt;=0,0,MIN(Q50+CD51,$F$19+CC51))</f>
        <v/>
      </c>
      <c r="CF51">
        <f>IF(Q50&lt;=0,CC51,MAX(0,$F$19+CC51-Q50-CD51))</f>
        <v/>
      </c>
      <c r="CG51">
        <f>IF(R50&lt;=0,0,R50*$E$20/12)</f>
        <v/>
      </c>
      <c r="CH51">
        <f>IF(R50&lt;=0,0,MIN(R50+CG51,$F$20+CF51))</f>
        <v/>
      </c>
      <c r="CI51">
        <f>IF(R50&lt;=0,CF51,MAX(0,$F$20+CF51-R50-CG51))</f>
        <v/>
      </c>
      <c r="CJ51">
        <f>IF(S50&lt;=0,0,S50*$E$21/12)</f>
        <v/>
      </c>
      <c r="CK51">
        <f>IF(S50&lt;=0,0,MIN(S50+CJ51,$F$21+CI51))</f>
        <v/>
      </c>
      <c r="CL51">
        <f>IF(S50&lt;=0,CI51,MAX(0,$F$21+CI51-S50-CJ51))</f>
        <v/>
      </c>
      <c r="CM51">
        <f>IF(T50&lt;=0,0,T50*$E$22/12)</f>
        <v/>
      </c>
      <c r="CN51">
        <f>IF(T50&lt;=0,0,MIN(T50+CM51,$F$22+CL51))</f>
        <v/>
      </c>
      <c r="CO51">
        <f>IF(T50&lt;=0,CL51,MAX(0,$F$22+CL51-T50-CM51))</f>
        <v/>
      </c>
      <c r="CP51">
        <f>IF(U50&lt;=0,0,U50*$E$23/12)</f>
        <v/>
      </c>
      <c r="CQ51">
        <f>IF(U50&lt;=0,0,MIN(U50+CP51,$F$23+CO51))</f>
        <v/>
      </c>
      <c r="CR51">
        <f>IF(U50&lt;=0,CO51,MAX(0,$F$23+CO51-U50-CP51))</f>
        <v/>
      </c>
      <c r="CS51">
        <f>IF(V50&lt;=0,0,V50*$E$24/12)</f>
        <v/>
      </c>
      <c r="CT51">
        <f>IF(V50&lt;=0,0,MIN(V50+CS51,$F$24+CR51))</f>
        <v/>
      </c>
      <c r="CU51">
        <f>IF(V50&lt;=0,CR51,MAX(0,$F$24+CR51-V50-CS51))</f>
        <v/>
      </c>
    </row>
    <row r="52">
      <c r="B52" s="39" t="n">
        <v>26</v>
      </c>
      <c r="C52" s="13">
        <f>IF(C51&lt;=0,0,MAX(0,C51+AN52-AO52))</f>
        <v/>
      </c>
      <c r="D52" s="13">
        <f>IF(D51&lt;=0,0,MAX(0,D51+AQ52-AR52))</f>
        <v/>
      </c>
      <c r="E52" s="13">
        <f>IF(E51&lt;=0,0,MAX(0,E51+AT52-AU52))</f>
        <v/>
      </c>
      <c r="F52" s="13">
        <f>IF(F51&lt;=0,0,MAX(0,F51+AW52-AX52))</f>
        <v/>
      </c>
      <c r="G52" s="13">
        <f>IF(G51&lt;=0,0,MAX(0,G51+AZ52-BA52))</f>
        <v/>
      </c>
      <c r="H52" s="13">
        <f>IF(H51&lt;=0,0,MAX(0,H51+BC52-BD52))</f>
        <v/>
      </c>
      <c r="I52" s="13">
        <f>IF(I51&lt;=0,0,MAX(0,I51+BF52-BG52))</f>
        <v/>
      </c>
      <c r="J52" s="13">
        <f>IF(J51&lt;=0,0,MAX(0,J51+BI52-BJ52))</f>
        <v/>
      </c>
      <c r="K52" s="13">
        <f>IF(K51&lt;=0,0,MAX(0,K51+BL52-BM52))</f>
        <v/>
      </c>
      <c r="L52" s="13">
        <f>IF(L51&lt;=0,0,MAX(0,L51+BO52-BP52))</f>
        <v/>
      </c>
      <c r="M52" s="13">
        <f>IF(M51&lt;=0,0,MAX(0,M51+BR52-BS52))</f>
        <v/>
      </c>
      <c r="N52" s="13">
        <f>IF(N51&lt;=0,0,MAX(0,N51+BU52-BV52))</f>
        <v/>
      </c>
      <c r="O52" s="13">
        <f>IF(O51&lt;=0,0,MAX(0,O51+BX52-BY52))</f>
        <v/>
      </c>
      <c r="P52" s="13">
        <f>IF(P51&lt;=0,0,MAX(0,P51+CA52-CB52))</f>
        <v/>
      </c>
      <c r="Q52" s="13">
        <f>IF(Q51&lt;=0,0,MAX(0,Q51+CD52-CE52))</f>
        <v/>
      </c>
      <c r="R52" s="13">
        <f>IF(R51&lt;=0,0,MAX(0,R51+CG52-CH52))</f>
        <v/>
      </c>
      <c r="S52" s="13">
        <f>IF(S51&lt;=0,0,MAX(0,S51+CJ52-CK52))</f>
        <v/>
      </c>
      <c r="T52" s="13">
        <f>IF(T51&lt;=0,0,MAX(0,T51+CM52-CN52))</f>
        <v/>
      </c>
      <c r="U52" s="13">
        <f>IF(U51&lt;=0,0,MAX(0,U51+CP52-CQ52))</f>
        <v/>
      </c>
      <c r="V52" s="13">
        <f>IF(V51&lt;=0,0,MAX(0,V51+CS52-CT52))</f>
        <v/>
      </c>
      <c r="W52" s="13">
        <f>AO52+AR52+AU52+AX52+BA52+BD52+BG52+BJ52+BM52+BP52+BS52+BV52+BY52+CB52+CE52+CH52+CK52+CN52+CQ52+CT52</f>
        <v/>
      </c>
      <c r="X52" s="13">
        <f>AN52+AQ52+AT52+AW52+AZ52+BC52+BF52+BI52+BL52+BO52+BR52+BU52+BX52+CA52+CD52+CG52+CJ52+CM52+CP52+CS52</f>
        <v/>
      </c>
      <c r="Y52" s="27">
        <f>C52+D52+E52+F52+G52+H52+I52+J52+K52+L52+M52+N52+O52+P52+Q52+R52+S52+T52+U52+V52</f>
        <v/>
      </c>
      <c r="AN52">
        <f>IF(C51&lt;=0,0,C51*$E$5/12)</f>
        <v/>
      </c>
      <c r="AO52">
        <f>IF(C51&lt;=0,0,MIN(C51+AN52,$F$5+(Dashboard!$C$11+IF(C51&lt;=0,$F$5,0)+IF(D51&lt;=0,$F$6,0)+IF(E51&lt;=0,$F$7,0)+IF(F51&lt;=0,$F$8,0)+IF(G51&lt;=0,$F$9,0)+IF(H51&lt;=0,$F$10,0)+IF(I51&lt;=0,$F$11,0)+IF(J51&lt;=0,$F$12,0)+IF(K51&lt;=0,$F$13,0)+IF(L51&lt;=0,$F$14,0)+IF(M51&lt;=0,$F$15,0)+IF(N51&lt;=0,$F$16,0)+IF(O51&lt;=0,$F$17,0)+IF(P51&lt;=0,$F$18,0)+IF(Q51&lt;=0,$F$19,0)+IF(R51&lt;=0,$F$20,0)+IF(S51&lt;=0,$F$21,0)+IF(T51&lt;=0,$F$22,0)+IF(U51&lt;=0,$F$23,0)+IF(V51&lt;=0,$F$24,0))))</f>
        <v/>
      </c>
      <c r="AP52">
        <f>IF(C51&lt;=0,(Dashboard!$C$11+IF(C51&lt;=0,$F$5,0)+IF(D51&lt;=0,$F$6,0)+IF(E51&lt;=0,$F$7,0)+IF(F51&lt;=0,$F$8,0)+IF(G51&lt;=0,$F$9,0)+IF(H51&lt;=0,$F$10,0)+IF(I51&lt;=0,$F$11,0)+IF(J51&lt;=0,$F$12,0)+IF(K51&lt;=0,$F$13,0)+IF(L51&lt;=0,$F$14,0)+IF(M51&lt;=0,$F$15,0)+IF(N51&lt;=0,$F$16,0)+IF(O51&lt;=0,$F$17,0)+IF(P51&lt;=0,$F$18,0)+IF(Q51&lt;=0,$F$19,0)+IF(R51&lt;=0,$F$20,0)+IF(S51&lt;=0,$F$21,0)+IF(T51&lt;=0,$F$22,0)+IF(U51&lt;=0,$F$23,0)+IF(V51&lt;=0,$F$24,0)),MAX(0,$F$5+(Dashboard!$C$11+IF(C51&lt;=0,$F$5,0)+IF(D51&lt;=0,$F$6,0)+IF(E51&lt;=0,$F$7,0)+IF(F51&lt;=0,$F$8,0)+IF(G51&lt;=0,$F$9,0)+IF(H51&lt;=0,$F$10,0)+IF(I51&lt;=0,$F$11,0)+IF(J51&lt;=0,$F$12,0)+IF(K51&lt;=0,$F$13,0)+IF(L51&lt;=0,$F$14,0)+IF(M51&lt;=0,$F$15,0)+IF(N51&lt;=0,$F$16,0)+IF(O51&lt;=0,$F$17,0)+IF(P51&lt;=0,$F$18,0)+IF(Q51&lt;=0,$F$19,0)+IF(R51&lt;=0,$F$20,0)+IF(S51&lt;=0,$F$21,0)+IF(T51&lt;=0,$F$22,0)+IF(U51&lt;=0,$F$23,0)+IF(V51&lt;=0,$F$24,0))-C51-AN52))</f>
        <v/>
      </c>
      <c r="AQ52">
        <f>IF(D51&lt;=0,0,D51*$E$6/12)</f>
        <v/>
      </c>
      <c r="AR52">
        <f>IF(D51&lt;=0,0,MIN(D51+AQ52,$F$6+AP52))</f>
        <v/>
      </c>
      <c r="AS52">
        <f>IF(D51&lt;=0,AP52,MAX(0,$F$6+AP52-D51-AQ52))</f>
        <v/>
      </c>
      <c r="AT52">
        <f>IF(E51&lt;=0,0,E51*$E$7/12)</f>
        <v/>
      </c>
      <c r="AU52">
        <f>IF(E51&lt;=0,0,MIN(E51+AT52,$F$7+AS52))</f>
        <v/>
      </c>
      <c r="AV52">
        <f>IF(E51&lt;=0,AS52,MAX(0,$F$7+AS52-E51-AT52))</f>
        <v/>
      </c>
      <c r="AW52">
        <f>IF(F51&lt;=0,0,F51*$E$8/12)</f>
        <v/>
      </c>
      <c r="AX52">
        <f>IF(F51&lt;=0,0,MIN(F51+AW52,$F$8+AV52))</f>
        <v/>
      </c>
      <c r="AY52">
        <f>IF(F51&lt;=0,AV52,MAX(0,$F$8+AV52-F51-AW52))</f>
        <v/>
      </c>
      <c r="AZ52">
        <f>IF(G51&lt;=0,0,G51*$E$9/12)</f>
        <v/>
      </c>
      <c r="BA52">
        <f>IF(G51&lt;=0,0,MIN(G51+AZ52,$F$9+AY52))</f>
        <v/>
      </c>
      <c r="BB52">
        <f>IF(G51&lt;=0,AY52,MAX(0,$F$9+AY52-G51-AZ52))</f>
        <v/>
      </c>
      <c r="BC52">
        <f>IF(H51&lt;=0,0,H51*$E$10/12)</f>
        <v/>
      </c>
      <c r="BD52">
        <f>IF(H51&lt;=0,0,MIN(H51+BC52,$F$10+BB52))</f>
        <v/>
      </c>
      <c r="BE52">
        <f>IF(H51&lt;=0,BB52,MAX(0,$F$10+BB52-H51-BC52))</f>
        <v/>
      </c>
      <c r="BF52">
        <f>IF(I51&lt;=0,0,I51*$E$11/12)</f>
        <v/>
      </c>
      <c r="BG52">
        <f>IF(I51&lt;=0,0,MIN(I51+BF52,$F$11+BE52))</f>
        <v/>
      </c>
      <c r="BH52">
        <f>IF(I51&lt;=0,BE52,MAX(0,$F$11+BE52-I51-BF52))</f>
        <v/>
      </c>
      <c r="BI52">
        <f>IF(J51&lt;=0,0,J51*$E$12/12)</f>
        <v/>
      </c>
      <c r="BJ52">
        <f>IF(J51&lt;=0,0,MIN(J51+BI52,$F$12+BH52))</f>
        <v/>
      </c>
      <c r="BK52">
        <f>IF(J51&lt;=0,BH52,MAX(0,$F$12+BH52-J51-BI52))</f>
        <v/>
      </c>
      <c r="BL52">
        <f>IF(K51&lt;=0,0,K51*$E$13/12)</f>
        <v/>
      </c>
      <c r="BM52">
        <f>IF(K51&lt;=0,0,MIN(K51+BL52,$F$13+BK52))</f>
        <v/>
      </c>
      <c r="BN52">
        <f>IF(K51&lt;=0,BK52,MAX(0,$F$13+BK52-K51-BL52))</f>
        <v/>
      </c>
      <c r="BO52">
        <f>IF(L51&lt;=0,0,L51*$E$14/12)</f>
        <v/>
      </c>
      <c r="BP52">
        <f>IF(L51&lt;=0,0,MIN(L51+BO52,$F$14+BN52))</f>
        <v/>
      </c>
      <c r="BQ52">
        <f>IF(L51&lt;=0,BN52,MAX(0,$F$14+BN52-L51-BO52))</f>
        <v/>
      </c>
      <c r="BR52">
        <f>IF(M51&lt;=0,0,M51*$E$15/12)</f>
        <v/>
      </c>
      <c r="BS52">
        <f>IF(M51&lt;=0,0,MIN(M51+BR52,$F$15+BQ52))</f>
        <v/>
      </c>
      <c r="BT52">
        <f>IF(M51&lt;=0,BQ52,MAX(0,$F$15+BQ52-M51-BR52))</f>
        <v/>
      </c>
      <c r="BU52">
        <f>IF(N51&lt;=0,0,N51*$E$16/12)</f>
        <v/>
      </c>
      <c r="BV52">
        <f>IF(N51&lt;=0,0,MIN(N51+BU52,$F$16+BT52))</f>
        <v/>
      </c>
      <c r="BW52">
        <f>IF(N51&lt;=0,BT52,MAX(0,$F$16+BT52-N51-BU52))</f>
        <v/>
      </c>
      <c r="BX52">
        <f>IF(O51&lt;=0,0,O51*$E$17/12)</f>
        <v/>
      </c>
      <c r="BY52">
        <f>IF(O51&lt;=0,0,MIN(O51+BX52,$F$17+BW52))</f>
        <v/>
      </c>
      <c r="BZ52">
        <f>IF(O51&lt;=0,BW52,MAX(0,$F$17+BW52-O51-BX52))</f>
        <v/>
      </c>
      <c r="CA52">
        <f>IF(P51&lt;=0,0,P51*$E$18/12)</f>
        <v/>
      </c>
      <c r="CB52">
        <f>IF(P51&lt;=0,0,MIN(P51+CA52,$F$18+BZ52))</f>
        <v/>
      </c>
      <c r="CC52">
        <f>IF(P51&lt;=0,BZ52,MAX(0,$F$18+BZ52-P51-CA52))</f>
        <v/>
      </c>
      <c r="CD52">
        <f>IF(Q51&lt;=0,0,Q51*$E$19/12)</f>
        <v/>
      </c>
      <c r="CE52">
        <f>IF(Q51&lt;=0,0,MIN(Q51+CD52,$F$19+CC52))</f>
        <v/>
      </c>
      <c r="CF52">
        <f>IF(Q51&lt;=0,CC52,MAX(0,$F$19+CC52-Q51-CD52))</f>
        <v/>
      </c>
      <c r="CG52">
        <f>IF(R51&lt;=0,0,R51*$E$20/12)</f>
        <v/>
      </c>
      <c r="CH52">
        <f>IF(R51&lt;=0,0,MIN(R51+CG52,$F$20+CF52))</f>
        <v/>
      </c>
      <c r="CI52">
        <f>IF(R51&lt;=0,CF52,MAX(0,$F$20+CF52-R51-CG52))</f>
        <v/>
      </c>
      <c r="CJ52">
        <f>IF(S51&lt;=0,0,S51*$E$21/12)</f>
        <v/>
      </c>
      <c r="CK52">
        <f>IF(S51&lt;=0,0,MIN(S51+CJ52,$F$21+CI52))</f>
        <v/>
      </c>
      <c r="CL52">
        <f>IF(S51&lt;=0,CI52,MAX(0,$F$21+CI52-S51-CJ52))</f>
        <v/>
      </c>
      <c r="CM52">
        <f>IF(T51&lt;=0,0,T51*$E$22/12)</f>
        <v/>
      </c>
      <c r="CN52">
        <f>IF(T51&lt;=0,0,MIN(T51+CM52,$F$22+CL52))</f>
        <v/>
      </c>
      <c r="CO52">
        <f>IF(T51&lt;=0,CL52,MAX(0,$F$22+CL52-T51-CM52))</f>
        <v/>
      </c>
      <c r="CP52">
        <f>IF(U51&lt;=0,0,U51*$E$23/12)</f>
        <v/>
      </c>
      <c r="CQ52">
        <f>IF(U51&lt;=0,0,MIN(U51+CP52,$F$23+CO52))</f>
        <v/>
      </c>
      <c r="CR52">
        <f>IF(U51&lt;=0,CO52,MAX(0,$F$23+CO52-U51-CP52))</f>
        <v/>
      </c>
      <c r="CS52">
        <f>IF(V51&lt;=0,0,V51*$E$24/12)</f>
        <v/>
      </c>
      <c r="CT52">
        <f>IF(V51&lt;=0,0,MIN(V51+CS52,$F$24+CR52))</f>
        <v/>
      </c>
      <c r="CU52">
        <f>IF(V51&lt;=0,CR52,MAX(0,$F$24+CR52-V51-CS52))</f>
        <v/>
      </c>
    </row>
    <row r="53">
      <c r="B53" s="39" t="n">
        <v>27</v>
      </c>
      <c r="C53" s="13">
        <f>IF(C52&lt;=0,0,MAX(0,C52+AN53-AO53))</f>
        <v/>
      </c>
      <c r="D53" s="13">
        <f>IF(D52&lt;=0,0,MAX(0,D52+AQ53-AR53))</f>
        <v/>
      </c>
      <c r="E53" s="13">
        <f>IF(E52&lt;=0,0,MAX(0,E52+AT53-AU53))</f>
        <v/>
      </c>
      <c r="F53" s="13">
        <f>IF(F52&lt;=0,0,MAX(0,F52+AW53-AX53))</f>
        <v/>
      </c>
      <c r="G53" s="13">
        <f>IF(G52&lt;=0,0,MAX(0,G52+AZ53-BA53))</f>
        <v/>
      </c>
      <c r="H53" s="13">
        <f>IF(H52&lt;=0,0,MAX(0,H52+BC53-BD53))</f>
        <v/>
      </c>
      <c r="I53" s="13">
        <f>IF(I52&lt;=0,0,MAX(0,I52+BF53-BG53))</f>
        <v/>
      </c>
      <c r="J53" s="13">
        <f>IF(J52&lt;=0,0,MAX(0,J52+BI53-BJ53))</f>
        <v/>
      </c>
      <c r="K53" s="13">
        <f>IF(K52&lt;=0,0,MAX(0,K52+BL53-BM53))</f>
        <v/>
      </c>
      <c r="L53" s="13">
        <f>IF(L52&lt;=0,0,MAX(0,L52+BO53-BP53))</f>
        <v/>
      </c>
      <c r="M53" s="13">
        <f>IF(M52&lt;=0,0,MAX(0,M52+BR53-BS53))</f>
        <v/>
      </c>
      <c r="N53" s="13">
        <f>IF(N52&lt;=0,0,MAX(0,N52+BU53-BV53))</f>
        <v/>
      </c>
      <c r="O53" s="13">
        <f>IF(O52&lt;=0,0,MAX(0,O52+BX53-BY53))</f>
        <v/>
      </c>
      <c r="P53" s="13">
        <f>IF(P52&lt;=0,0,MAX(0,P52+CA53-CB53))</f>
        <v/>
      </c>
      <c r="Q53" s="13">
        <f>IF(Q52&lt;=0,0,MAX(0,Q52+CD53-CE53))</f>
        <v/>
      </c>
      <c r="R53" s="13">
        <f>IF(R52&lt;=0,0,MAX(0,R52+CG53-CH53))</f>
        <v/>
      </c>
      <c r="S53" s="13">
        <f>IF(S52&lt;=0,0,MAX(0,S52+CJ53-CK53))</f>
        <v/>
      </c>
      <c r="T53" s="13">
        <f>IF(T52&lt;=0,0,MAX(0,T52+CM53-CN53))</f>
        <v/>
      </c>
      <c r="U53" s="13">
        <f>IF(U52&lt;=0,0,MAX(0,U52+CP53-CQ53))</f>
        <v/>
      </c>
      <c r="V53" s="13">
        <f>IF(V52&lt;=0,0,MAX(0,V52+CS53-CT53))</f>
        <v/>
      </c>
      <c r="W53" s="13">
        <f>AO53+AR53+AU53+AX53+BA53+BD53+BG53+BJ53+BM53+BP53+BS53+BV53+BY53+CB53+CE53+CH53+CK53+CN53+CQ53+CT53</f>
        <v/>
      </c>
      <c r="X53" s="13">
        <f>AN53+AQ53+AT53+AW53+AZ53+BC53+BF53+BI53+BL53+BO53+BR53+BU53+BX53+CA53+CD53+CG53+CJ53+CM53+CP53+CS53</f>
        <v/>
      </c>
      <c r="Y53" s="27">
        <f>C53+D53+E53+F53+G53+H53+I53+J53+K53+L53+M53+N53+O53+P53+Q53+R53+S53+T53+U53+V53</f>
        <v/>
      </c>
      <c r="AN53">
        <f>IF(C52&lt;=0,0,C52*$E$5/12)</f>
        <v/>
      </c>
      <c r="AO53">
        <f>IF(C52&lt;=0,0,MIN(C52+AN53,$F$5+(Dashboard!$C$11+IF(C52&lt;=0,$F$5,0)+IF(D52&lt;=0,$F$6,0)+IF(E52&lt;=0,$F$7,0)+IF(F52&lt;=0,$F$8,0)+IF(G52&lt;=0,$F$9,0)+IF(H52&lt;=0,$F$10,0)+IF(I52&lt;=0,$F$11,0)+IF(J52&lt;=0,$F$12,0)+IF(K52&lt;=0,$F$13,0)+IF(L52&lt;=0,$F$14,0)+IF(M52&lt;=0,$F$15,0)+IF(N52&lt;=0,$F$16,0)+IF(O52&lt;=0,$F$17,0)+IF(P52&lt;=0,$F$18,0)+IF(Q52&lt;=0,$F$19,0)+IF(R52&lt;=0,$F$20,0)+IF(S52&lt;=0,$F$21,0)+IF(T52&lt;=0,$F$22,0)+IF(U52&lt;=0,$F$23,0)+IF(V52&lt;=0,$F$24,0))))</f>
        <v/>
      </c>
      <c r="AP53">
        <f>IF(C52&lt;=0,(Dashboard!$C$11+IF(C52&lt;=0,$F$5,0)+IF(D52&lt;=0,$F$6,0)+IF(E52&lt;=0,$F$7,0)+IF(F52&lt;=0,$F$8,0)+IF(G52&lt;=0,$F$9,0)+IF(H52&lt;=0,$F$10,0)+IF(I52&lt;=0,$F$11,0)+IF(J52&lt;=0,$F$12,0)+IF(K52&lt;=0,$F$13,0)+IF(L52&lt;=0,$F$14,0)+IF(M52&lt;=0,$F$15,0)+IF(N52&lt;=0,$F$16,0)+IF(O52&lt;=0,$F$17,0)+IF(P52&lt;=0,$F$18,0)+IF(Q52&lt;=0,$F$19,0)+IF(R52&lt;=0,$F$20,0)+IF(S52&lt;=0,$F$21,0)+IF(T52&lt;=0,$F$22,0)+IF(U52&lt;=0,$F$23,0)+IF(V52&lt;=0,$F$24,0)),MAX(0,$F$5+(Dashboard!$C$11+IF(C52&lt;=0,$F$5,0)+IF(D52&lt;=0,$F$6,0)+IF(E52&lt;=0,$F$7,0)+IF(F52&lt;=0,$F$8,0)+IF(G52&lt;=0,$F$9,0)+IF(H52&lt;=0,$F$10,0)+IF(I52&lt;=0,$F$11,0)+IF(J52&lt;=0,$F$12,0)+IF(K52&lt;=0,$F$13,0)+IF(L52&lt;=0,$F$14,0)+IF(M52&lt;=0,$F$15,0)+IF(N52&lt;=0,$F$16,0)+IF(O52&lt;=0,$F$17,0)+IF(P52&lt;=0,$F$18,0)+IF(Q52&lt;=0,$F$19,0)+IF(R52&lt;=0,$F$20,0)+IF(S52&lt;=0,$F$21,0)+IF(T52&lt;=0,$F$22,0)+IF(U52&lt;=0,$F$23,0)+IF(V52&lt;=0,$F$24,0))-C52-AN53))</f>
        <v/>
      </c>
      <c r="AQ53">
        <f>IF(D52&lt;=0,0,D52*$E$6/12)</f>
        <v/>
      </c>
      <c r="AR53">
        <f>IF(D52&lt;=0,0,MIN(D52+AQ53,$F$6+AP53))</f>
        <v/>
      </c>
      <c r="AS53">
        <f>IF(D52&lt;=0,AP53,MAX(0,$F$6+AP53-D52-AQ53))</f>
        <v/>
      </c>
      <c r="AT53">
        <f>IF(E52&lt;=0,0,E52*$E$7/12)</f>
        <v/>
      </c>
      <c r="AU53">
        <f>IF(E52&lt;=0,0,MIN(E52+AT53,$F$7+AS53))</f>
        <v/>
      </c>
      <c r="AV53">
        <f>IF(E52&lt;=0,AS53,MAX(0,$F$7+AS53-E52-AT53))</f>
        <v/>
      </c>
      <c r="AW53">
        <f>IF(F52&lt;=0,0,F52*$E$8/12)</f>
        <v/>
      </c>
      <c r="AX53">
        <f>IF(F52&lt;=0,0,MIN(F52+AW53,$F$8+AV53))</f>
        <v/>
      </c>
      <c r="AY53">
        <f>IF(F52&lt;=0,AV53,MAX(0,$F$8+AV53-F52-AW53))</f>
        <v/>
      </c>
      <c r="AZ53">
        <f>IF(G52&lt;=0,0,G52*$E$9/12)</f>
        <v/>
      </c>
      <c r="BA53">
        <f>IF(G52&lt;=0,0,MIN(G52+AZ53,$F$9+AY53))</f>
        <v/>
      </c>
      <c r="BB53">
        <f>IF(G52&lt;=0,AY53,MAX(0,$F$9+AY53-G52-AZ53))</f>
        <v/>
      </c>
      <c r="BC53">
        <f>IF(H52&lt;=0,0,H52*$E$10/12)</f>
        <v/>
      </c>
      <c r="BD53">
        <f>IF(H52&lt;=0,0,MIN(H52+BC53,$F$10+BB53))</f>
        <v/>
      </c>
      <c r="BE53">
        <f>IF(H52&lt;=0,BB53,MAX(0,$F$10+BB53-H52-BC53))</f>
        <v/>
      </c>
      <c r="BF53">
        <f>IF(I52&lt;=0,0,I52*$E$11/12)</f>
        <v/>
      </c>
      <c r="BG53">
        <f>IF(I52&lt;=0,0,MIN(I52+BF53,$F$11+BE53))</f>
        <v/>
      </c>
      <c r="BH53">
        <f>IF(I52&lt;=0,BE53,MAX(0,$F$11+BE53-I52-BF53))</f>
        <v/>
      </c>
      <c r="BI53">
        <f>IF(J52&lt;=0,0,J52*$E$12/12)</f>
        <v/>
      </c>
      <c r="BJ53">
        <f>IF(J52&lt;=0,0,MIN(J52+BI53,$F$12+BH53))</f>
        <v/>
      </c>
      <c r="BK53">
        <f>IF(J52&lt;=0,BH53,MAX(0,$F$12+BH53-J52-BI53))</f>
        <v/>
      </c>
      <c r="BL53">
        <f>IF(K52&lt;=0,0,K52*$E$13/12)</f>
        <v/>
      </c>
      <c r="BM53">
        <f>IF(K52&lt;=0,0,MIN(K52+BL53,$F$13+BK53))</f>
        <v/>
      </c>
      <c r="BN53">
        <f>IF(K52&lt;=0,BK53,MAX(0,$F$13+BK53-K52-BL53))</f>
        <v/>
      </c>
      <c r="BO53">
        <f>IF(L52&lt;=0,0,L52*$E$14/12)</f>
        <v/>
      </c>
      <c r="BP53">
        <f>IF(L52&lt;=0,0,MIN(L52+BO53,$F$14+BN53))</f>
        <v/>
      </c>
      <c r="BQ53">
        <f>IF(L52&lt;=0,BN53,MAX(0,$F$14+BN53-L52-BO53))</f>
        <v/>
      </c>
      <c r="BR53">
        <f>IF(M52&lt;=0,0,M52*$E$15/12)</f>
        <v/>
      </c>
      <c r="BS53">
        <f>IF(M52&lt;=0,0,MIN(M52+BR53,$F$15+BQ53))</f>
        <v/>
      </c>
      <c r="BT53">
        <f>IF(M52&lt;=0,BQ53,MAX(0,$F$15+BQ53-M52-BR53))</f>
        <v/>
      </c>
      <c r="BU53">
        <f>IF(N52&lt;=0,0,N52*$E$16/12)</f>
        <v/>
      </c>
      <c r="BV53">
        <f>IF(N52&lt;=0,0,MIN(N52+BU53,$F$16+BT53))</f>
        <v/>
      </c>
      <c r="BW53">
        <f>IF(N52&lt;=0,BT53,MAX(0,$F$16+BT53-N52-BU53))</f>
        <v/>
      </c>
      <c r="BX53">
        <f>IF(O52&lt;=0,0,O52*$E$17/12)</f>
        <v/>
      </c>
      <c r="BY53">
        <f>IF(O52&lt;=0,0,MIN(O52+BX53,$F$17+BW53))</f>
        <v/>
      </c>
      <c r="BZ53">
        <f>IF(O52&lt;=0,BW53,MAX(0,$F$17+BW53-O52-BX53))</f>
        <v/>
      </c>
      <c r="CA53">
        <f>IF(P52&lt;=0,0,P52*$E$18/12)</f>
        <v/>
      </c>
      <c r="CB53">
        <f>IF(P52&lt;=0,0,MIN(P52+CA53,$F$18+BZ53))</f>
        <v/>
      </c>
      <c r="CC53">
        <f>IF(P52&lt;=0,BZ53,MAX(0,$F$18+BZ53-P52-CA53))</f>
        <v/>
      </c>
      <c r="CD53">
        <f>IF(Q52&lt;=0,0,Q52*$E$19/12)</f>
        <v/>
      </c>
      <c r="CE53">
        <f>IF(Q52&lt;=0,0,MIN(Q52+CD53,$F$19+CC53))</f>
        <v/>
      </c>
      <c r="CF53">
        <f>IF(Q52&lt;=0,CC53,MAX(0,$F$19+CC53-Q52-CD53))</f>
        <v/>
      </c>
      <c r="CG53">
        <f>IF(R52&lt;=0,0,R52*$E$20/12)</f>
        <v/>
      </c>
      <c r="CH53">
        <f>IF(R52&lt;=0,0,MIN(R52+CG53,$F$20+CF53))</f>
        <v/>
      </c>
      <c r="CI53">
        <f>IF(R52&lt;=0,CF53,MAX(0,$F$20+CF53-R52-CG53))</f>
        <v/>
      </c>
      <c r="CJ53">
        <f>IF(S52&lt;=0,0,S52*$E$21/12)</f>
        <v/>
      </c>
      <c r="CK53">
        <f>IF(S52&lt;=0,0,MIN(S52+CJ53,$F$21+CI53))</f>
        <v/>
      </c>
      <c r="CL53">
        <f>IF(S52&lt;=0,CI53,MAX(0,$F$21+CI53-S52-CJ53))</f>
        <v/>
      </c>
      <c r="CM53">
        <f>IF(T52&lt;=0,0,T52*$E$22/12)</f>
        <v/>
      </c>
      <c r="CN53">
        <f>IF(T52&lt;=0,0,MIN(T52+CM53,$F$22+CL53))</f>
        <v/>
      </c>
      <c r="CO53">
        <f>IF(T52&lt;=0,CL53,MAX(0,$F$22+CL53-T52-CM53))</f>
        <v/>
      </c>
      <c r="CP53">
        <f>IF(U52&lt;=0,0,U52*$E$23/12)</f>
        <v/>
      </c>
      <c r="CQ53">
        <f>IF(U52&lt;=0,0,MIN(U52+CP53,$F$23+CO53))</f>
        <v/>
      </c>
      <c r="CR53">
        <f>IF(U52&lt;=0,CO53,MAX(0,$F$23+CO53-U52-CP53))</f>
        <v/>
      </c>
      <c r="CS53">
        <f>IF(V52&lt;=0,0,V52*$E$24/12)</f>
        <v/>
      </c>
      <c r="CT53">
        <f>IF(V52&lt;=0,0,MIN(V52+CS53,$F$24+CR53))</f>
        <v/>
      </c>
      <c r="CU53">
        <f>IF(V52&lt;=0,CR53,MAX(0,$F$24+CR53-V52-CS53))</f>
        <v/>
      </c>
    </row>
    <row r="54">
      <c r="B54" s="39" t="n">
        <v>28</v>
      </c>
      <c r="C54" s="13">
        <f>IF(C53&lt;=0,0,MAX(0,C53+AN54-AO54))</f>
        <v/>
      </c>
      <c r="D54" s="13">
        <f>IF(D53&lt;=0,0,MAX(0,D53+AQ54-AR54))</f>
        <v/>
      </c>
      <c r="E54" s="13">
        <f>IF(E53&lt;=0,0,MAX(0,E53+AT54-AU54))</f>
        <v/>
      </c>
      <c r="F54" s="13">
        <f>IF(F53&lt;=0,0,MAX(0,F53+AW54-AX54))</f>
        <v/>
      </c>
      <c r="G54" s="13">
        <f>IF(G53&lt;=0,0,MAX(0,G53+AZ54-BA54))</f>
        <v/>
      </c>
      <c r="H54" s="13">
        <f>IF(H53&lt;=0,0,MAX(0,H53+BC54-BD54))</f>
        <v/>
      </c>
      <c r="I54" s="13">
        <f>IF(I53&lt;=0,0,MAX(0,I53+BF54-BG54))</f>
        <v/>
      </c>
      <c r="J54" s="13">
        <f>IF(J53&lt;=0,0,MAX(0,J53+BI54-BJ54))</f>
        <v/>
      </c>
      <c r="K54" s="13">
        <f>IF(K53&lt;=0,0,MAX(0,K53+BL54-BM54))</f>
        <v/>
      </c>
      <c r="L54" s="13">
        <f>IF(L53&lt;=0,0,MAX(0,L53+BO54-BP54))</f>
        <v/>
      </c>
      <c r="M54" s="13">
        <f>IF(M53&lt;=0,0,MAX(0,M53+BR54-BS54))</f>
        <v/>
      </c>
      <c r="N54" s="13">
        <f>IF(N53&lt;=0,0,MAX(0,N53+BU54-BV54))</f>
        <v/>
      </c>
      <c r="O54" s="13">
        <f>IF(O53&lt;=0,0,MAX(0,O53+BX54-BY54))</f>
        <v/>
      </c>
      <c r="P54" s="13">
        <f>IF(P53&lt;=0,0,MAX(0,P53+CA54-CB54))</f>
        <v/>
      </c>
      <c r="Q54" s="13">
        <f>IF(Q53&lt;=0,0,MAX(0,Q53+CD54-CE54))</f>
        <v/>
      </c>
      <c r="R54" s="13">
        <f>IF(R53&lt;=0,0,MAX(0,R53+CG54-CH54))</f>
        <v/>
      </c>
      <c r="S54" s="13">
        <f>IF(S53&lt;=0,0,MAX(0,S53+CJ54-CK54))</f>
        <v/>
      </c>
      <c r="T54" s="13">
        <f>IF(T53&lt;=0,0,MAX(0,T53+CM54-CN54))</f>
        <v/>
      </c>
      <c r="U54" s="13">
        <f>IF(U53&lt;=0,0,MAX(0,U53+CP54-CQ54))</f>
        <v/>
      </c>
      <c r="V54" s="13">
        <f>IF(V53&lt;=0,0,MAX(0,V53+CS54-CT54))</f>
        <v/>
      </c>
      <c r="W54" s="13">
        <f>AO54+AR54+AU54+AX54+BA54+BD54+BG54+BJ54+BM54+BP54+BS54+BV54+BY54+CB54+CE54+CH54+CK54+CN54+CQ54+CT54</f>
        <v/>
      </c>
      <c r="X54" s="13">
        <f>AN54+AQ54+AT54+AW54+AZ54+BC54+BF54+BI54+BL54+BO54+BR54+BU54+BX54+CA54+CD54+CG54+CJ54+CM54+CP54+CS54</f>
        <v/>
      </c>
      <c r="Y54" s="27">
        <f>C54+D54+E54+F54+G54+H54+I54+J54+K54+L54+M54+N54+O54+P54+Q54+R54+S54+T54+U54+V54</f>
        <v/>
      </c>
      <c r="AN54">
        <f>IF(C53&lt;=0,0,C53*$E$5/12)</f>
        <v/>
      </c>
      <c r="AO54">
        <f>IF(C53&lt;=0,0,MIN(C53+AN54,$F$5+(Dashboard!$C$11+IF(C53&lt;=0,$F$5,0)+IF(D53&lt;=0,$F$6,0)+IF(E53&lt;=0,$F$7,0)+IF(F53&lt;=0,$F$8,0)+IF(G53&lt;=0,$F$9,0)+IF(H53&lt;=0,$F$10,0)+IF(I53&lt;=0,$F$11,0)+IF(J53&lt;=0,$F$12,0)+IF(K53&lt;=0,$F$13,0)+IF(L53&lt;=0,$F$14,0)+IF(M53&lt;=0,$F$15,0)+IF(N53&lt;=0,$F$16,0)+IF(O53&lt;=0,$F$17,0)+IF(P53&lt;=0,$F$18,0)+IF(Q53&lt;=0,$F$19,0)+IF(R53&lt;=0,$F$20,0)+IF(S53&lt;=0,$F$21,0)+IF(T53&lt;=0,$F$22,0)+IF(U53&lt;=0,$F$23,0)+IF(V53&lt;=0,$F$24,0))))</f>
        <v/>
      </c>
      <c r="AP54">
        <f>IF(C53&lt;=0,(Dashboard!$C$11+IF(C53&lt;=0,$F$5,0)+IF(D53&lt;=0,$F$6,0)+IF(E53&lt;=0,$F$7,0)+IF(F53&lt;=0,$F$8,0)+IF(G53&lt;=0,$F$9,0)+IF(H53&lt;=0,$F$10,0)+IF(I53&lt;=0,$F$11,0)+IF(J53&lt;=0,$F$12,0)+IF(K53&lt;=0,$F$13,0)+IF(L53&lt;=0,$F$14,0)+IF(M53&lt;=0,$F$15,0)+IF(N53&lt;=0,$F$16,0)+IF(O53&lt;=0,$F$17,0)+IF(P53&lt;=0,$F$18,0)+IF(Q53&lt;=0,$F$19,0)+IF(R53&lt;=0,$F$20,0)+IF(S53&lt;=0,$F$21,0)+IF(T53&lt;=0,$F$22,0)+IF(U53&lt;=0,$F$23,0)+IF(V53&lt;=0,$F$24,0)),MAX(0,$F$5+(Dashboard!$C$11+IF(C53&lt;=0,$F$5,0)+IF(D53&lt;=0,$F$6,0)+IF(E53&lt;=0,$F$7,0)+IF(F53&lt;=0,$F$8,0)+IF(G53&lt;=0,$F$9,0)+IF(H53&lt;=0,$F$10,0)+IF(I53&lt;=0,$F$11,0)+IF(J53&lt;=0,$F$12,0)+IF(K53&lt;=0,$F$13,0)+IF(L53&lt;=0,$F$14,0)+IF(M53&lt;=0,$F$15,0)+IF(N53&lt;=0,$F$16,0)+IF(O53&lt;=0,$F$17,0)+IF(P53&lt;=0,$F$18,0)+IF(Q53&lt;=0,$F$19,0)+IF(R53&lt;=0,$F$20,0)+IF(S53&lt;=0,$F$21,0)+IF(T53&lt;=0,$F$22,0)+IF(U53&lt;=0,$F$23,0)+IF(V53&lt;=0,$F$24,0))-C53-AN54))</f>
        <v/>
      </c>
      <c r="AQ54">
        <f>IF(D53&lt;=0,0,D53*$E$6/12)</f>
        <v/>
      </c>
      <c r="AR54">
        <f>IF(D53&lt;=0,0,MIN(D53+AQ54,$F$6+AP54))</f>
        <v/>
      </c>
      <c r="AS54">
        <f>IF(D53&lt;=0,AP54,MAX(0,$F$6+AP54-D53-AQ54))</f>
        <v/>
      </c>
      <c r="AT54">
        <f>IF(E53&lt;=0,0,E53*$E$7/12)</f>
        <v/>
      </c>
      <c r="AU54">
        <f>IF(E53&lt;=0,0,MIN(E53+AT54,$F$7+AS54))</f>
        <v/>
      </c>
      <c r="AV54">
        <f>IF(E53&lt;=0,AS54,MAX(0,$F$7+AS54-E53-AT54))</f>
        <v/>
      </c>
      <c r="AW54">
        <f>IF(F53&lt;=0,0,F53*$E$8/12)</f>
        <v/>
      </c>
      <c r="AX54">
        <f>IF(F53&lt;=0,0,MIN(F53+AW54,$F$8+AV54))</f>
        <v/>
      </c>
      <c r="AY54">
        <f>IF(F53&lt;=0,AV54,MAX(0,$F$8+AV54-F53-AW54))</f>
        <v/>
      </c>
      <c r="AZ54">
        <f>IF(G53&lt;=0,0,G53*$E$9/12)</f>
        <v/>
      </c>
      <c r="BA54">
        <f>IF(G53&lt;=0,0,MIN(G53+AZ54,$F$9+AY54))</f>
        <v/>
      </c>
      <c r="BB54">
        <f>IF(G53&lt;=0,AY54,MAX(0,$F$9+AY54-G53-AZ54))</f>
        <v/>
      </c>
      <c r="BC54">
        <f>IF(H53&lt;=0,0,H53*$E$10/12)</f>
        <v/>
      </c>
      <c r="BD54">
        <f>IF(H53&lt;=0,0,MIN(H53+BC54,$F$10+BB54))</f>
        <v/>
      </c>
      <c r="BE54">
        <f>IF(H53&lt;=0,BB54,MAX(0,$F$10+BB54-H53-BC54))</f>
        <v/>
      </c>
      <c r="BF54">
        <f>IF(I53&lt;=0,0,I53*$E$11/12)</f>
        <v/>
      </c>
      <c r="BG54">
        <f>IF(I53&lt;=0,0,MIN(I53+BF54,$F$11+BE54))</f>
        <v/>
      </c>
      <c r="BH54">
        <f>IF(I53&lt;=0,BE54,MAX(0,$F$11+BE54-I53-BF54))</f>
        <v/>
      </c>
      <c r="BI54">
        <f>IF(J53&lt;=0,0,J53*$E$12/12)</f>
        <v/>
      </c>
      <c r="BJ54">
        <f>IF(J53&lt;=0,0,MIN(J53+BI54,$F$12+BH54))</f>
        <v/>
      </c>
      <c r="BK54">
        <f>IF(J53&lt;=0,BH54,MAX(0,$F$12+BH54-J53-BI54))</f>
        <v/>
      </c>
      <c r="BL54">
        <f>IF(K53&lt;=0,0,K53*$E$13/12)</f>
        <v/>
      </c>
      <c r="BM54">
        <f>IF(K53&lt;=0,0,MIN(K53+BL54,$F$13+BK54))</f>
        <v/>
      </c>
      <c r="BN54">
        <f>IF(K53&lt;=0,BK54,MAX(0,$F$13+BK54-K53-BL54))</f>
        <v/>
      </c>
      <c r="BO54">
        <f>IF(L53&lt;=0,0,L53*$E$14/12)</f>
        <v/>
      </c>
      <c r="BP54">
        <f>IF(L53&lt;=0,0,MIN(L53+BO54,$F$14+BN54))</f>
        <v/>
      </c>
      <c r="BQ54">
        <f>IF(L53&lt;=0,BN54,MAX(0,$F$14+BN54-L53-BO54))</f>
        <v/>
      </c>
      <c r="BR54">
        <f>IF(M53&lt;=0,0,M53*$E$15/12)</f>
        <v/>
      </c>
      <c r="BS54">
        <f>IF(M53&lt;=0,0,MIN(M53+BR54,$F$15+BQ54))</f>
        <v/>
      </c>
      <c r="BT54">
        <f>IF(M53&lt;=0,BQ54,MAX(0,$F$15+BQ54-M53-BR54))</f>
        <v/>
      </c>
      <c r="BU54">
        <f>IF(N53&lt;=0,0,N53*$E$16/12)</f>
        <v/>
      </c>
      <c r="BV54">
        <f>IF(N53&lt;=0,0,MIN(N53+BU54,$F$16+BT54))</f>
        <v/>
      </c>
      <c r="BW54">
        <f>IF(N53&lt;=0,BT54,MAX(0,$F$16+BT54-N53-BU54))</f>
        <v/>
      </c>
      <c r="BX54">
        <f>IF(O53&lt;=0,0,O53*$E$17/12)</f>
        <v/>
      </c>
      <c r="BY54">
        <f>IF(O53&lt;=0,0,MIN(O53+BX54,$F$17+BW54))</f>
        <v/>
      </c>
      <c r="BZ54">
        <f>IF(O53&lt;=0,BW54,MAX(0,$F$17+BW54-O53-BX54))</f>
        <v/>
      </c>
      <c r="CA54">
        <f>IF(P53&lt;=0,0,P53*$E$18/12)</f>
        <v/>
      </c>
      <c r="CB54">
        <f>IF(P53&lt;=0,0,MIN(P53+CA54,$F$18+BZ54))</f>
        <v/>
      </c>
      <c r="CC54">
        <f>IF(P53&lt;=0,BZ54,MAX(0,$F$18+BZ54-P53-CA54))</f>
        <v/>
      </c>
      <c r="CD54">
        <f>IF(Q53&lt;=0,0,Q53*$E$19/12)</f>
        <v/>
      </c>
      <c r="CE54">
        <f>IF(Q53&lt;=0,0,MIN(Q53+CD54,$F$19+CC54))</f>
        <v/>
      </c>
      <c r="CF54">
        <f>IF(Q53&lt;=0,CC54,MAX(0,$F$19+CC54-Q53-CD54))</f>
        <v/>
      </c>
      <c r="CG54">
        <f>IF(R53&lt;=0,0,R53*$E$20/12)</f>
        <v/>
      </c>
      <c r="CH54">
        <f>IF(R53&lt;=0,0,MIN(R53+CG54,$F$20+CF54))</f>
        <v/>
      </c>
      <c r="CI54">
        <f>IF(R53&lt;=0,CF54,MAX(0,$F$20+CF54-R53-CG54))</f>
        <v/>
      </c>
      <c r="CJ54">
        <f>IF(S53&lt;=0,0,S53*$E$21/12)</f>
        <v/>
      </c>
      <c r="CK54">
        <f>IF(S53&lt;=0,0,MIN(S53+CJ54,$F$21+CI54))</f>
        <v/>
      </c>
      <c r="CL54">
        <f>IF(S53&lt;=0,CI54,MAX(0,$F$21+CI54-S53-CJ54))</f>
        <v/>
      </c>
      <c r="CM54">
        <f>IF(T53&lt;=0,0,T53*$E$22/12)</f>
        <v/>
      </c>
      <c r="CN54">
        <f>IF(T53&lt;=0,0,MIN(T53+CM54,$F$22+CL54))</f>
        <v/>
      </c>
      <c r="CO54">
        <f>IF(T53&lt;=0,CL54,MAX(0,$F$22+CL54-T53-CM54))</f>
        <v/>
      </c>
      <c r="CP54">
        <f>IF(U53&lt;=0,0,U53*$E$23/12)</f>
        <v/>
      </c>
      <c r="CQ54">
        <f>IF(U53&lt;=0,0,MIN(U53+CP54,$F$23+CO54))</f>
        <v/>
      </c>
      <c r="CR54">
        <f>IF(U53&lt;=0,CO54,MAX(0,$F$23+CO54-U53-CP54))</f>
        <v/>
      </c>
      <c r="CS54">
        <f>IF(V53&lt;=0,0,V53*$E$24/12)</f>
        <v/>
      </c>
      <c r="CT54">
        <f>IF(V53&lt;=0,0,MIN(V53+CS54,$F$24+CR54))</f>
        <v/>
      </c>
      <c r="CU54">
        <f>IF(V53&lt;=0,CR54,MAX(0,$F$24+CR54-V53-CS54))</f>
        <v/>
      </c>
    </row>
    <row r="55">
      <c r="B55" s="39" t="n">
        <v>29</v>
      </c>
      <c r="C55" s="13">
        <f>IF(C54&lt;=0,0,MAX(0,C54+AN55-AO55))</f>
        <v/>
      </c>
      <c r="D55" s="13">
        <f>IF(D54&lt;=0,0,MAX(0,D54+AQ55-AR55))</f>
        <v/>
      </c>
      <c r="E55" s="13">
        <f>IF(E54&lt;=0,0,MAX(0,E54+AT55-AU55))</f>
        <v/>
      </c>
      <c r="F55" s="13">
        <f>IF(F54&lt;=0,0,MAX(0,F54+AW55-AX55))</f>
        <v/>
      </c>
      <c r="G55" s="13">
        <f>IF(G54&lt;=0,0,MAX(0,G54+AZ55-BA55))</f>
        <v/>
      </c>
      <c r="H55" s="13">
        <f>IF(H54&lt;=0,0,MAX(0,H54+BC55-BD55))</f>
        <v/>
      </c>
      <c r="I55" s="13">
        <f>IF(I54&lt;=0,0,MAX(0,I54+BF55-BG55))</f>
        <v/>
      </c>
      <c r="J55" s="13">
        <f>IF(J54&lt;=0,0,MAX(0,J54+BI55-BJ55))</f>
        <v/>
      </c>
      <c r="K55" s="13">
        <f>IF(K54&lt;=0,0,MAX(0,K54+BL55-BM55))</f>
        <v/>
      </c>
      <c r="L55" s="13">
        <f>IF(L54&lt;=0,0,MAX(0,L54+BO55-BP55))</f>
        <v/>
      </c>
      <c r="M55" s="13">
        <f>IF(M54&lt;=0,0,MAX(0,M54+BR55-BS55))</f>
        <v/>
      </c>
      <c r="N55" s="13">
        <f>IF(N54&lt;=0,0,MAX(0,N54+BU55-BV55))</f>
        <v/>
      </c>
      <c r="O55" s="13">
        <f>IF(O54&lt;=0,0,MAX(0,O54+BX55-BY55))</f>
        <v/>
      </c>
      <c r="P55" s="13">
        <f>IF(P54&lt;=0,0,MAX(0,P54+CA55-CB55))</f>
        <v/>
      </c>
      <c r="Q55" s="13">
        <f>IF(Q54&lt;=0,0,MAX(0,Q54+CD55-CE55))</f>
        <v/>
      </c>
      <c r="R55" s="13">
        <f>IF(R54&lt;=0,0,MAX(0,R54+CG55-CH55))</f>
        <v/>
      </c>
      <c r="S55" s="13">
        <f>IF(S54&lt;=0,0,MAX(0,S54+CJ55-CK55))</f>
        <v/>
      </c>
      <c r="T55" s="13">
        <f>IF(T54&lt;=0,0,MAX(0,T54+CM55-CN55))</f>
        <v/>
      </c>
      <c r="U55" s="13">
        <f>IF(U54&lt;=0,0,MAX(0,U54+CP55-CQ55))</f>
        <v/>
      </c>
      <c r="V55" s="13">
        <f>IF(V54&lt;=0,0,MAX(0,V54+CS55-CT55))</f>
        <v/>
      </c>
      <c r="W55" s="13">
        <f>AO55+AR55+AU55+AX55+BA55+BD55+BG55+BJ55+BM55+BP55+BS55+BV55+BY55+CB55+CE55+CH55+CK55+CN55+CQ55+CT55</f>
        <v/>
      </c>
      <c r="X55" s="13">
        <f>AN55+AQ55+AT55+AW55+AZ55+BC55+BF55+BI55+BL55+BO55+BR55+BU55+BX55+CA55+CD55+CG55+CJ55+CM55+CP55+CS55</f>
        <v/>
      </c>
      <c r="Y55" s="27">
        <f>C55+D55+E55+F55+G55+H55+I55+J55+K55+L55+M55+N55+O55+P55+Q55+R55+S55+T55+U55+V55</f>
        <v/>
      </c>
      <c r="AN55">
        <f>IF(C54&lt;=0,0,C54*$E$5/12)</f>
        <v/>
      </c>
      <c r="AO55">
        <f>IF(C54&lt;=0,0,MIN(C54+AN55,$F$5+(Dashboard!$C$11+IF(C54&lt;=0,$F$5,0)+IF(D54&lt;=0,$F$6,0)+IF(E54&lt;=0,$F$7,0)+IF(F54&lt;=0,$F$8,0)+IF(G54&lt;=0,$F$9,0)+IF(H54&lt;=0,$F$10,0)+IF(I54&lt;=0,$F$11,0)+IF(J54&lt;=0,$F$12,0)+IF(K54&lt;=0,$F$13,0)+IF(L54&lt;=0,$F$14,0)+IF(M54&lt;=0,$F$15,0)+IF(N54&lt;=0,$F$16,0)+IF(O54&lt;=0,$F$17,0)+IF(P54&lt;=0,$F$18,0)+IF(Q54&lt;=0,$F$19,0)+IF(R54&lt;=0,$F$20,0)+IF(S54&lt;=0,$F$21,0)+IF(T54&lt;=0,$F$22,0)+IF(U54&lt;=0,$F$23,0)+IF(V54&lt;=0,$F$24,0))))</f>
        <v/>
      </c>
      <c r="AP55">
        <f>IF(C54&lt;=0,(Dashboard!$C$11+IF(C54&lt;=0,$F$5,0)+IF(D54&lt;=0,$F$6,0)+IF(E54&lt;=0,$F$7,0)+IF(F54&lt;=0,$F$8,0)+IF(G54&lt;=0,$F$9,0)+IF(H54&lt;=0,$F$10,0)+IF(I54&lt;=0,$F$11,0)+IF(J54&lt;=0,$F$12,0)+IF(K54&lt;=0,$F$13,0)+IF(L54&lt;=0,$F$14,0)+IF(M54&lt;=0,$F$15,0)+IF(N54&lt;=0,$F$16,0)+IF(O54&lt;=0,$F$17,0)+IF(P54&lt;=0,$F$18,0)+IF(Q54&lt;=0,$F$19,0)+IF(R54&lt;=0,$F$20,0)+IF(S54&lt;=0,$F$21,0)+IF(T54&lt;=0,$F$22,0)+IF(U54&lt;=0,$F$23,0)+IF(V54&lt;=0,$F$24,0)),MAX(0,$F$5+(Dashboard!$C$11+IF(C54&lt;=0,$F$5,0)+IF(D54&lt;=0,$F$6,0)+IF(E54&lt;=0,$F$7,0)+IF(F54&lt;=0,$F$8,0)+IF(G54&lt;=0,$F$9,0)+IF(H54&lt;=0,$F$10,0)+IF(I54&lt;=0,$F$11,0)+IF(J54&lt;=0,$F$12,0)+IF(K54&lt;=0,$F$13,0)+IF(L54&lt;=0,$F$14,0)+IF(M54&lt;=0,$F$15,0)+IF(N54&lt;=0,$F$16,0)+IF(O54&lt;=0,$F$17,0)+IF(P54&lt;=0,$F$18,0)+IF(Q54&lt;=0,$F$19,0)+IF(R54&lt;=0,$F$20,0)+IF(S54&lt;=0,$F$21,0)+IF(T54&lt;=0,$F$22,0)+IF(U54&lt;=0,$F$23,0)+IF(V54&lt;=0,$F$24,0))-C54-AN55))</f>
        <v/>
      </c>
      <c r="AQ55">
        <f>IF(D54&lt;=0,0,D54*$E$6/12)</f>
        <v/>
      </c>
      <c r="AR55">
        <f>IF(D54&lt;=0,0,MIN(D54+AQ55,$F$6+AP55))</f>
        <v/>
      </c>
      <c r="AS55">
        <f>IF(D54&lt;=0,AP55,MAX(0,$F$6+AP55-D54-AQ55))</f>
        <v/>
      </c>
      <c r="AT55">
        <f>IF(E54&lt;=0,0,E54*$E$7/12)</f>
        <v/>
      </c>
      <c r="AU55">
        <f>IF(E54&lt;=0,0,MIN(E54+AT55,$F$7+AS55))</f>
        <v/>
      </c>
      <c r="AV55">
        <f>IF(E54&lt;=0,AS55,MAX(0,$F$7+AS55-E54-AT55))</f>
        <v/>
      </c>
      <c r="AW55">
        <f>IF(F54&lt;=0,0,F54*$E$8/12)</f>
        <v/>
      </c>
      <c r="AX55">
        <f>IF(F54&lt;=0,0,MIN(F54+AW55,$F$8+AV55))</f>
        <v/>
      </c>
      <c r="AY55">
        <f>IF(F54&lt;=0,AV55,MAX(0,$F$8+AV55-F54-AW55))</f>
        <v/>
      </c>
      <c r="AZ55">
        <f>IF(G54&lt;=0,0,G54*$E$9/12)</f>
        <v/>
      </c>
      <c r="BA55">
        <f>IF(G54&lt;=0,0,MIN(G54+AZ55,$F$9+AY55))</f>
        <v/>
      </c>
      <c r="BB55">
        <f>IF(G54&lt;=0,AY55,MAX(0,$F$9+AY55-G54-AZ55))</f>
        <v/>
      </c>
      <c r="BC55">
        <f>IF(H54&lt;=0,0,H54*$E$10/12)</f>
        <v/>
      </c>
      <c r="BD55">
        <f>IF(H54&lt;=0,0,MIN(H54+BC55,$F$10+BB55))</f>
        <v/>
      </c>
      <c r="BE55">
        <f>IF(H54&lt;=0,BB55,MAX(0,$F$10+BB55-H54-BC55))</f>
        <v/>
      </c>
      <c r="BF55">
        <f>IF(I54&lt;=0,0,I54*$E$11/12)</f>
        <v/>
      </c>
      <c r="BG55">
        <f>IF(I54&lt;=0,0,MIN(I54+BF55,$F$11+BE55))</f>
        <v/>
      </c>
      <c r="BH55">
        <f>IF(I54&lt;=0,BE55,MAX(0,$F$11+BE55-I54-BF55))</f>
        <v/>
      </c>
      <c r="BI55">
        <f>IF(J54&lt;=0,0,J54*$E$12/12)</f>
        <v/>
      </c>
      <c r="BJ55">
        <f>IF(J54&lt;=0,0,MIN(J54+BI55,$F$12+BH55))</f>
        <v/>
      </c>
      <c r="BK55">
        <f>IF(J54&lt;=0,BH55,MAX(0,$F$12+BH55-J54-BI55))</f>
        <v/>
      </c>
      <c r="BL55">
        <f>IF(K54&lt;=0,0,K54*$E$13/12)</f>
        <v/>
      </c>
      <c r="BM55">
        <f>IF(K54&lt;=0,0,MIN(K54+BL55,$F$13+BK55))</f>
        <v/>
      </c>
      <c r="BN55">
        <f>IF(K54&lt;=0,BK55,MAX(0,$F$13+BK55-K54-BL55))</f>
        <v/>
      </c>
      <c r="BO55">
        <f>IF(L54&lt;=0,0,L54*$E$14/12)</f>
        <v/>
      </c>
      <c r="BP55">
        <f>IF(L54&lt;=0,0,MIN(L54+BO55,$F$14+BN55))</f>
        <v/>
      </c>
      <c r="BQ55">
        <f>IF(L54&lt;=0,BN55,MAX(0,$F$14+BN55-L54-BO55))</f>
        <v/>
      </c>
      <c r="BR55">
        <f>IF(M54&lt;=0,0,M54*$E$15/12)</f>
        <v/>
      </c>
      <c r="BS55">
        <f>IF(M54&lt;=0,0,MIN(M54+BR55,$F$15+BQ55))</f>
        <v/>
      </c>
      <c r="BT55">
        <f>IF(M54&lt;=0,BQ55,MAX(0,$F$15+BQ55-M54-BR55))</f>
        <v/>
      </c>
      <c r="BU55">
        <f>IF(N54&lt;=0,0,N54*$E$16/12)</f>
        <v/>
      </c>
      <c r="BV55">
        <f>IF(N54&lt;=0,0,MIN(N54+BU55,$F$16+BT55))</f>
        <v/>
      </c>
      <c r="BW55">
        <f>IF(N54&lt;=0,BT55,MAX(0,$F$16+BT55-N54-BU55))</f>
        <v/>
      </c>
      <c r="BX55">
        <f>IF(O54&lt;=0,0,O54*$E$17/12)</f>
        <v/>
      </c>
      <c r="BY55">
        <f>IF(O54&lt;=0,0,MIN(O54+BX55,$F$17+BW55))</f>
        <v/>
      </c>
      <c r="BZ55">
        <f>IF(O54&lt;=0,BW55,MAX(0,$F$17+BW55-O54-BX55))</f>
        <v/>
      </c>
      <c r="CA55">
        <f>IF(P54&lt;=0,0,P54*$E$18/12)</f>
        <v/>
      </c>
      <c r="CB55">
        <f>IF(P54&lt;=0,0,MIN(P54+CA55,$F$18+BZ55))</f>
        <v/>
      </c>
      <c r="CC55">
        <f>IF(P54&lt;=0,BZ55,MAX(0,$F$18+BZ55-P54-CA55))</f>
        <v/>
      </c>
      <c r="CD55">
        <f>IF(Q54&lt;=0,0,Q54*$E$19/12)</f>
        <v/>
      </c>
      <c r="CE55">
        <f>IF(Q54&lt;=0,0,MIN(Q54+CD55,$F$19+CC55))</f>
        <v/>
      </c>
      <c r="CF55">
        <f>IF(Q54&lt;=0,CC55,MAX(0,$F$19+CC55-Q54-CD55))</f>
        <v/>
      </c>
      <c r="CG55">
        <f>IF(R54&lt;=0,0,R54*$E$20/12)</f>
        <v/>
      </c>
      <c r="CH55">
        <f>IF(R54&lt;=0,0,MIN(R54+CG55,$F$20+CF55))</f>
        <v/>
      </c>
      <c r="CI55">
        <f>IF(R54&lt;=0,CF55,MAX(0,$F$20+CF55-R54-CG55))</f>
        <v/>
      </c>
      <c r="CJ55">
        <f>IF(S54&lt;=0,0,S54*$E$21/12)</f>
        <v/>
      </c>
      <c r="CK55">
        <f>IF(S54&lt;=0,0,MIN(S54+CJ55,$F$21+CI55))</f>
        <v/>
      </c>
      <c r="CL55">
        <f>IF(S54&lt;=0,CI55,MAX(0,$F$21+CI55-S54-CJ55))</f>
        <v/>
      </c>
      <c r="CM55">
        <f>IF(T54&lt;=0,0,T54*$E$22/12)</f>
        <v/>
      </c>
      <c r="CN55">
        <f>IF(T54&lt;=0,0,MIN(T54+CM55,$F$22+CL55))</f>
        <v/>
      </c>
      <c r="CO55">
        <f>IF(T54&lt;=0,CL55,MAX(0,$F$22+CL55-T54-CM55))</f>
        <v/>
      </c>
      <c r="CP55">
        <f>IF(U54&lt;=0,0,U54*$E$23/12)</f>
        <v/>
      </c>
      <c r="CQ55">
        <f>IF(U54&lt;=0,0,MIN(U54+CP55,$F$23+CO55))</f>
        <v/>
      </c>
      <c r="CR55">
        <f>IF(U54&lt;=0,CO55,MAX(0,$F$23+CO55-U54-CP55))</f>
        <v/>
      </c>
      <c r="CS55">
        <f>IF(V54&lt;=0,0,V54*$E$24/12)</f>
        <v/>
      </c>
      <c r="CT55">
        <f>IF(V54&lt;=0,0,MIN(V54+CS55,$F$24+CR55))</f>
        <v/>
      </c>
      <c r="CU55">
        <f>IF(V54&lt;=0,CR55,MAX(0,$F$24+CR55-V54-CS55))</f>
        <v/>
      </c>
    </row>
    <row r="56">
      <c r="B56" s="39" t="n">
        <v>30</v>
      </c>
      <c r="C56" s="13">
        <f>IF(C55&lt;=0,0,MAX(0,C55+AN56-AO56))</f>
        <v/>
      </c>
      <c r="D56" s="13">
        <f>IF(D55&lt;=0,0,MAX(0,D55+AQ56-AR56))</f>
        <v/>
      </c>
      <c r="E56" s="13">
        <f>IF(E55&lt;=0,0,MAX(0,E55+AT56-AU56))</f>
        <v/>
      </c>
      <c r="F56" s="13">
        <f>IF(F55&lt;=0,0,MAX(0,F55+AW56-AX56))</f>
        <v/>
      </c>
      <c r="G56" s="13">
        <f>IF(G55&lt;=0,0,MAX(0,G55+AZ56-BA56))</f>
        <v/>
      </c>
      <c r="H56" s="13">
        <f>IF(H55&lt;=0,0,MAX(0,H55+BC56-BD56))</f>
        <v/>
      </c>
      <c r="I56" s="13">
        <f>IF(I55&lt;=0,0,MAX(0,I55+BF56-BG56))</f>
        <v/>
      </c>
      <c r="J56" s="13">
        <f>IF(J55&lt;=0,0,MAX(0,J55+BI56-BJ56))</f>
        <v/>
      </c>
      <c r="K56" s="13">
        <f>IF(K55&lt;=0,0,MAX(0,K55+BL56-BM56))</f>
        <v/>
      </c>
      <c r="L56" s="13">
        <f>IF(L55&lt;=0,0,MAX(0,L55+BO56-BP56))</f>
        <v/>
      </c>
      <c r="M56" s="13">
        <f>IF(M55&lt;=0,0,MAX(0,M55+BR56-BS56))</f>
        <v/>
      </c>
      <c r="N56" s="13">
        <f>IF(N55&lt;=0,0,MAX(0,N55+BU56-BV56))</f>
        <v/>
      </c>
      <c r="O56" s="13">
        <f>IF(O55&lt;=0,0,MAX(0,O55+BX56-BY56))</f>
        <v/>
      </c>
      <c r="P56" s="13">
        <f>IF(P55&lt;=0,0,MAX(0,P55+CA56-CB56))</f>
        <v/>
      </c>
      <c r="Q56" s="13">
        <f>IF(Q55&lt;=0,0,MAX(0,Q55+CD56-CE56))</f>
        <v/>
      </c>
      <c r="R56" s="13">
        <f>IF(R55&lt;=0,0,MAX(0,R55+CG56-CH56))</f>
        <v/>
      </c>
      <c r="S56" s="13">
        <f>IF(S55&lt;=0,0,MAX(0,S55+CJ56-CK56))</f>
        <v/>
      </c>
      <c r="T56" s="13">
        <f>IF(T55&lt;=0,0,MAX(0,T55+CM56-CN56))</f>
        <v/>
      </c>
      <c r="U56" s="13">
        <f>IF(U55&lt;=0,0,MAX(0,U55+CP56-CQ56))</f>
        <v/>
      </c>
      <c r="V56" s="13">
        <f>IF(V55&lt;=0,0,MAX(0,V55+CS56-CT56))</f>
        <v/>
      </c>
      <c r="W56" s="13">
        <f>AO56+AR56+AU56+AX56+BA56+BD56+BG56+BJ56+BM56+BP56+BS56+BV56+BY56+CB56+CE56+CH56+CK56+CN56+CQ56+CT56</f>
        <v/>
      </c>
      <c r="X56" s="13">
        <f>AN56+AQ56+AT56+AW56+AZ56+BC56+BF56+BI56+BL56+BO56+BR56+BU56+BX56+CA56+CD56+CG56+CJ56+CM56+CP56+CS56</f>
        <v/>
      </c>
      <c r="Y56" s="27">
        <f>C56+D56+E56+F56+G56+H56+I56+J56+K56+L56+M56+N56+O56+P56+Q56+R56+S56+T56+U56+V56</f>
        <v/>
      </c>
      <c r="AN56">
        <f>IF(C55&lt;=0,0,C55*$E$5/12)</f>
        <v/>
      </c>
      <c r="AO56">
        <f>IF(C55&lt;=0,0,MIN(C55+AN56,$F$5+(Dashboard!$C$11+IF(C55&lt;=0,$F$5,0)+IF(D55&lt;=0,$F$6,0)+IF(E55&lt;=0,$F$7,0)+IF(F55&lt;=0,$F$8,0)+IF(G55&lt;=0,$F$9,0)+IF(H55&lt;=0,$F$10,0)+IF(I55&lt;=0,$F$11,0)+IF(J55&lt;=0,$F$12,0)+IF(K55&lt;=0,$F$13,0)+IF(L55&lt;=0,$F$14,0)+IF(M55&lt;=0,$F$15,0)+IF(N55&lt;=0,$F$16,0)+IF(O55&lt;=0,$F$17,0)+IF(P55&lt;=0,$F$18,0)+IF(Q55&lt;=0,$F$19,0)+IF(R55&lt;=0,$F$20,0)+IF(S55&lt;=0,$F$21,0)+IF(T55&lt;=0,$F$22,0)+IF(U55&lt;=0,$F$23,0)+IF(V55&lt;=0,$F$24,0))))</f>
        <v/>
      </c>
      <c r="AP56">
        <f>IF(C55&lt;=0,(Dashboard!$C$11+IF(C55&lt;=0,$F$5,0)+IF(D55&lt;=0,$F$6,0)+IF(E55&lt;=0,$F$7,0)+IF(F55&lt;=0,$F$8,0)+IF(G55&lt;=0,$F$9,0)+IF(H55&lt;=0,$F$10,0)+IF(I55&lt;=0,$F$11,0)+IF(J55&lt;=0,$F$12,0)+IF(K55&lt;=0,$F$13,0)+IF(L55&lt;=0,$F$14,0)+IF(M55&lt;=0,$F$15,0)+IF(N55&lt;=0,$F$16,0)+IF(O55&lt;=0,$F$17,0)+IF(P55&lt;=0,$F$18,0)+IF(Q55&lt;=0,$F$19,0)+IF(R55&lt;=0,$F$20,0)+IF(S55&lt;=0,$F$21,0)+IF(T55&lt;=0,$F$22,0)+IF(U55&lt;=0,$F$23,0)+IF(V55&lt;=0,$F$24,0)),MAX(0,$F$5+(Dashboard!$C$11+IF(C55&lt;=0,$F$5,0)+IF(D55&lt;=0,$F$6,0)+IF(E55&lt;=0,$F$7,0)+IF(F55&lt;=0,$F$8,0)+IF(G55&lt;=0,$F$9,0)+IF(H55&lt;=0,$F$10,0)+IF(I55&lt;=0,$F$11,0)+IF(J55&lt;=0,$F$12,0)+IF(K55&lt;=0,$F$13,0)+IF(L55&lt;=0,$F$14,0)+IF(M55&lt;=0,$F$15,0)+IF(N55&lt;=0,$F$16,0)+IF(O55&lt;=0,$F$17,0)+IF(P55&lt;=0,$F$18,0)+IF(Q55&lt;=0,$F$19,0)+IF(R55&lt;=0,$F$20,0)+IF(S55&lt;=0,$F$21,0)+IF(T55&lt;=0,$F$22,0)+IF(U55&lt;=0,$F$23,0)+IF(V55&lt;=0,$F$24,0))-C55-AN56))</f>
        <v/>
      </c>
      <c r="AQ56">
        <f>IF(D55&lt;=0,0,D55*$E$6/12)</f>
        <v/>
      </c>
      <c r="AR56">
        <f>IF(D55&lt;=0,0,MIN(D55+AQ56,$F$6+AP56))</f>
        <v/>
      </c>
      <c r="AS56">
        <f>IF(D55&lt;=0,AP56,MAX(0,$F$6+AP56-D55-AQ56))</f>
        <v/>
      </c>
      <c r="AT56">
        <f>IF(E55&lt;=0,0,E55*$E$7/12)</f>
        <v/>
      </c>
      <c r="AU56">
        <f>IF(E55&lt;=0,0,MIN(E55+AT56,$F$7+AS56))</f>
        <v/>
      </c>
      <c r="AV56">
        <f>IF(E55&lt;=0,AS56,MAX(0,$F$7+AS56-E55-AT56))</f>
        <v/>
      </c>
      <c r="AW56">
        <f>IF(F55&lt;=0,0,F55*$E$8/12)</f>
        <v/>
      </c>
      <c r="AX56">
        <f>IF(F55&lt;=0,0,MIN(F55+AW56,$F$8+AV56))</f>
        <v/>
      </c>
      <c r="AY56">
        <f>IF(F55&lt;=0,AV56,MAX(0,$F$8+AV56-F55-AW56))</f>
        <v/>
      </c>
      <c r="AZ56">
        <f>IF(G55&lt;=0,0,G55*$E$9/12)</f>
        <v/>
      </c>
      <c r="BA56">
        <f>IF(G55&lt;=0,0,MIN(G55+AZ56,$F$9+AY56))</f>
        <v/>
      </c>
      <c r="BB56">
        <f>IF(G55&lt;=0,AY56,MAX(0,$F$9+AY56-G55-AZ56))</f>
        <v/>
      </c>
      <c r="BC56">
        <f>IF(H55&lt;=0,0,H55*$E$10/12)</f>
        <v/>
      </c>
      <c r="BD56">
        <f>IF(H55&lt;=0,0,MIN(H55+BC56,$F$10+BB56))</f>
        <v/>
      </c>
      <c r="BE56">
        <f>IF(H55&lt;=0,BB56,MAX(0,$F$10+BB56-H55-BC56))</f>
        <v/>
      </c>
      <c r="BF56">
        <f>IF(I55&lt;=0,0,I55*$E$11/12)</f>
        <v/>
      </c>
      <c r="BG56">
        <f>IF(I55&lt;=0,0,MIN(I55+BF56,$F$11+BE56))</f>
        <v/>
      </c>
      <c r="BH56">
        <f>IF(I55&lt;=0,BE56,MAX(0,$F$11+BE56-I55-BF56))</f>
        <v/>
      </c>
      <c r="BI56">
        <f>IF(J55&lt;=0,0,J55*$E$12/12)</f>
        <v/>
      </c>
      <c r="BJ56">
        <f>IF(J55&lt;=0,0,MIN(J55+BI56,$F$12+BH56))</f>
        <v/>
      </c>
      <c r="BK56">
        <f>IF(J55&lt;=0,BH56,MAX(0,$F$12+BH56-J55-BI56))</f>
        <v/>
      </c>
      <c r="BL56">
        <f>IF(K55&lt;=0,0,K55*$E$13/12)</f>
        <v/>
      </c>
      <c r="BM56">
        <f>IF(K55&lt;=0,0,MIN(K55+BL56,$F$13+BK56))</f>
        <v/>
      </c>
      <c r="BN56">
        <f>IF(K55&lt;=0,BK56,MAX(0,$F$13+BK56-K55-BL56))</f>
        <v/>
      </c>
      <c r="BO56">
        <f>IF(L55&lt;=0,0,L55*$E$14/12)</f>
        <v/>
      </c>
      <c r="BP56">
        <f>IF(L55&lt;=0,0,MIN(L55+BO56,$F$14+BN56))</f>
        <v/>
      </c>
      <c r="BQ56">
        <f>IF(L55&lt;=0,BN56,MAX(0,$F$14+BN56-L55-BO56))</f>
        <v/>
      </c>
      <c r="BR56">
        <f>IF(M55&lt;=0,0,M55*$E$15/12)</f>
        <v/>
      </c>
      <c r="BS56">
        <f>IF(M55&lt;=0,0,MIN(M55+BR56,$F$15+BQ56))</f>
        <v/>
      </c>
      <c r="BT56">
        <f>IF(M55&lt;=0,BQ56,MAX(0,$F$15+BQ56-M55-BR56))</f>
        <v/>
      </c>
      <c r="BU56">
        <f>IF(N55&lt;=0,0,N55*$E$16/12)</f>
        <v/>
      </c>
      <c r="BV56">
        <f>IF(N55&lt;=0,0,MIN(N55+BU56,$F$16+BT56))</f>
        <v/>
      </c>
      <c r="BW56">
        <f>IF(N55&lt;=0,BT56,MAX(0,$F$16+BT56-N55-BU56))</f>
        <v/>
      </c>
      <c r="BX56">
        <f>IF(O55&lt;=0,0,O55*$E$17/12)</f>
        <v/>
      </c>
      <c r="BY56">
        <f>IF(O55&lt;=0,0,MIN(O55+BX56,$F$17+BW56))</f>
        <v/>
      </c>
      <c r="BZ56">
        <f>IF(O55&lt;=0,BW56,MAX(0,$F$17+BW56-O55-BX56))</f>
        <v/>
      </c>
      <c r="CA56">
        <f>IF(P55&lt;=0,0,P55*$E$18/12)</f>
        <v/>
      </c>
      <c r="CB56">
        <f>IF(P55&lt;=0,0,MIN(P55+CA56,$F$18+BZ56))</f>
        <v/>
      </c>
      <c r="CC56">
        <f>IF(P55&lt;=0,BZ56,MAX(0,$F$18+BZ56-P55-CA56))</f>
        <v/>
      </c>
      <c r="CD56">
        <f>IF(Q55&lt;=0,0,Q55*$E$19/12)</f>
        <v/>
      </c>
      <c r="CE56">
        <f>IF(Q55&lt;=0,0,MIN(Q55+CD56,$F$19+CC56))</f>
        <v/>
      </c>
      <c r="CF56">
        <f>IF(Q55&lt;=0,CC56,MAX(0,$F$19+CC56-Q55-CD56))</f>
        <v/>
      </c>
      <c r="CG56">
        <f>IF(R55&lt;=0,0,R55*$E$20/12)</f>
        <v/>
      </c>
      <c r="CH56">
        <f>IF(R55&lt;=0,0,MIN(R55+CG56,$F$20+CF56))</f>
        <v/>
      </c>
      <c r="CI56">
        <f>IF(R55&lt;=0,CF56,MAX(0,$F$20+CF56-R55-CG56))</f>
        <v/>
      </c>
      <c r="CJ56">
        <f>IF(S55&lt;=0,0,S55*$E$21/12)</f>
        <v/>
      </c>
      <c r="CK56">
        <f>IF(S55&lt;=0,0,MIN(S55+CJ56,$F$21+CI56))</f>
        <v/>
      </c>
      <c r="CL56">
        <f>IF(S55&lt;=0,CI56,MAX(0,$F$21+CI56-S55-CJ56))</f>
        <v/>
      </c>
      <c r="CM56">
        <f>IF(T55&lt;=0,0,T55*$E$22/12)</f>
        <v/>
      </c>
      <c r="CN56">
        <f>IF(T55&lt;=0,0,MIN(T55+CM56,$F$22+CL56))</f>
        <v/>
      </c>
      <c r="CO56">
        <f>IF(T55&lt;=0,CL56,MAX(0,$F$22+CL56-T55-CM56))</f>
        <v/>
      </c>
      <c r="CP56">
        <f>IF(U55&lt;=0,0,U55*$E$23/12)</f>
        <v/>
      </c>
      <c r="CQ56">
        <f>IF(U55&lt;=0,0,MIN(U55+CP56,$F$23+CO56))</f>
        <v/>
      </c>
      <c r="CR56">
        <f>IF(U55&lt;=0,CO56,MAX(0,$F$23+CO56-U55-CP56))</f>
        <v/>
      </c>
      <c r="CS56">
        <f>IF(V55&lt;=0,0,V55*$E$24/12)</f>
        <v/>
      </c>
      <c r="CT56">
        <f>IF(V55&lt;=0,0,MIN(V55+CS56,$F$24+CR56))</f>
        <v/>
      </c>
      <c r="CU56">
        <f>IF(V55&lt;=0,CR56,MAX(0,$F$24+CR56-V55-CS56))</f>
        <v/>
      </c>
    </row>
    <row r="57">
      <c r="B57" s="39" t="n">
        <v>31</v>
      </c>
      <c r="C57" s="13">
        <f>IF(C56&lt;=0,0,MAX(0,C56+AN57-AO57))</f>
        <v/>
      </c>
      <c r="D57" s="13">
        <f>IF(D56&lt;=0,0,MAX(0,D56+AQ57-AR57))</f>
        <v/>
      </c>
      <c r="E57" s="13">
        <f>IF(E56&lt;=0,0,MAX(0,E56+AT57-AU57))</f>
        <v/>
      </c>
      <c r="F57" s="13">
        <f>IF(F56&lt;=0,0,MAX(0,F56+AW57-AX57))</f>
        <v/>
      </c>
      <c r="G57" s="13">
        <f>IF(G56&lt;=0,0,MAX(0,G56+AZ57-BA57))</f>
        <v/>
      </c>
      <c r="H57" s="13">
        <f>IF(H56&lt;=0,0,MAX(0,H56+BC57-BD57))</f>
        <v/>
      </c>
      <c r="I57" s="13">
        <f>IF(I56&lt;=0,0,MAX(0,I56+BF57-BG57))</f>
        <v/>
      </c>
      <c r="J57" s="13">
        <f>IF(J56&lt;=0,0,MAX(0,J56+BI57-BJ57))</f>
        <v/>
      </c>
      <c r="K57" s="13">
        <f>IF(K56&lt;=0,0,MAX(0,K56+BL57-BM57))</f>
        <v/>
      </c>
      <c r="L57" s="13">
        <f>IF(L56&lt;=0,0,MAX(0,L56+BO57-BP57))</f>
        <v/>
      </c>
      <c r="M57" s="13">
        <f>IF(M56&lt;=0,0,MAX(0,M56+BR57-BS57))</f>
        <v/>
      </c>
      <c r="N57" s="13">
        <f>IF(N56&lt;=0,0,MAX(0,N56+BU57-BV57))</f>
        <v/>
      </c>
      <c r="O57" s="13">
        <f>IF(O56&lt;=0,0,MAX(0,O56+BX57-BY57))</f>
        <v/>
      </c>
      <c r="P57" s="13">
        <f>IF(P56&lt;=0,0,MAX(0,P56+CA57-CB57))</f>
        <v/>
      </c>
      <c r="Q57" s="13">
        <f>IF(Q56&lt;=0,0,MAX(0,Q56+CD57-CE57))</f>
        <v/>
      </c>
      <c r="R57" s="13">
        <f>IF(R56&lt;=0,0,MAX(0,R56+CG57-CH57))</f>
        <v/>
      </c>
      <c r="S57" s="13">
        <f>IF(S56&lt;=0,0,MAX(0,S56+CJ57-CK57))</f>
        <v/>
      </c>
      <c r="T57" s="13">
        <f>IF(T56&lt;=0,0,MAX(0,T56+CM57-CN57))</f>
        <v/>
      </c>
      <c r="U57" s="13">
        <f>IF(U56&lt;=0,0,MAX(0,U56+CP57-CQ57))</f>
        <v/>
      </c>
      <c r="V57" s="13">
        <f>IF(V56&lt;=0,0,MAX(0,V56+CS57-CT57))</f>
        <v/>
      </c>
      <c r="W57" s="13">
        <f>AO57+AR57+AU57+AX57+BA57+BD57+BG57+BJ57+BM57+BP57+BS57+BV57+BY57+CB57+CE57+CH57+CK57+CN57+CQ57+CT57</f>
        <v/>
      </c>
      <c r="X57" s="13">
        <f>AN57+AQ57+AT57+AW57+AZ57+BC57+BF57+BI57+BL57+BO57+BR57+BU57+BX57+CA57+CD57+CG57+CJ57+CM57+CP57+CS57</f>
        <v/>
      </c>
      <c r="Y57" s="27">
        <f>C57+D57+E57+F57+G57+H57+I57+J57+K57+L57+M57+N57+O57+P57+Q57+R57+S57+T57+U57+V57</f>
        <v/>
      </c>
      <c r="AN57">
        <f>IF(C56&lt;=0,0,C56*$E$5/12)</f>
        <v/>
      </c>
      <c r="AO57">
        <f>IF(C56&lt;=0,0,MIN(C56+AN57,$F$5+(Dashboard!$C$11+IF(C56&lt;=0,$F$5,0)+IF(D56&lt;=0,$F$6,0)+IF(E56&lt;=0,$F$7,0)+IF(F56&lt;=0,$F$8,0)+IF(G56&lt;=0,$F$9,0)+IF(H56&lt;=0,$F$10,0)+IF(I56&lt;=0,$F$11,0)+IF(J56&lt;=0,$F$12,0)+IF(K56&lt;=0,$F$13,0)+IF(L56&lt;=0,$F$14,0)+IF(M56&lt;=0,$F$15,0)+IF(N56&lt;=0,$F$16,0)+IF(O56&lt;=0,$F$17,0)+IF(P56&lt;=0,$F$18,0)+IF(Q56&lt;=0,$F$19,0)+IF(R56&lt;=0,$F$20,0)+IF(S56&lt;=0,$F$21,0)+IF(T56&lt;=0,$F$22,0)+IF(U56&lt;=0,$F$23,0)+IF(V56&lt;=0,$F$24,0))))</f>
        <v/>
      </c>
      <c r="AP57">
        <f>IF(C56&lt;=0,(Dashboard!$C$11+IF(C56&lt;=0,$F$5,0)+IF(D56&lt;=0,$F$6,0)+IF(E56&lt;=0,$F$7,0)+IF(F56&lt;=0,$F$8,0)+IF(G56&lt;=0,$F$9,0)+IF(H56&lt;=0,$F$10,0)+IF(I56&lt;=0,$F$11,0)+IF(J56&lt;=0,$F$12,0)+IF(K56&lt;=0,$F$13,0)+IF(L56&lt;=0,$F$14,0)+IF(M56&lt;=0,$F$15,0)+IF(N56&lt;=0,$F$16,0)+IF(O56&lt;=0,$F$17,0)+IF(P56&lt;=0,$F$18,0)+IF(Q56&lt;=0,$F$19,0)+IF(R56&lt;=0,$F$20,0)+IF(S56&lt;=0,$F$21,0)+IF(T56&lt;=0,$F$22,0)+IF(U56&lt;=0,$F$23,0)+IF(V56&lt;=0,$F$24,0)),MAX(0,$F$5+(Dashboard!$C$11+IF(C56&lt;=0,$F$5,0)+IF(D56&lt;=0,$F$6,0)+IF(E56&lt;=0,$F$7,0)+IF(F56&lt;=0,$F$8,0)+IF(G56&lt;=0,$F$9,0)+IF(H56&lt;=0,$F$10,0)+IF(I56&lt;=0,$F$11,0)+IF(J56&lt;=0,$F$12,0)+IF(K56&lt;=0,$F$13,0)+IF(L56&lt;=0,$F$14,0)+IF(M56&lt;=0,$F$15,0)+IF(N56&lt;=0,$F$16,0)+IF(O56&lt;=0,$F$17,0)+IF(P56&lt;=0,$F$18,0)+IF(Q56&lt;=0,$F$19,0)+IF(R56&lt;=0,$F$20,0)+IF(S56&lt;=0,$F$21,0)+IF(T56&lt;=0,$F$22,0)+IF(U56&lt;=0,$F$23,0)+IF(V56&lt;=0,$F$24,0))-C56-AN57))</f>
        <v/>
      </c>
      <c r="AQ57">
        <f>IF(D56&lt;=0,0,D56*$E$6/12)</f>
        <v/>
      </c>
      <c r="AR57">
        <f>IF(D56&lt;=0,0,MIN(D56+AQ57,$F$6+AP57))</f>
        <v/>
      </c>
      <c r="AS57">
        <f>IF(D56&lt;=0,AP57,MAX(0,$F$6+AP57-D56-AQ57))</f>
        <v/>
      </c>
      <c r="AT57">
        <f>IF(E56&lt;=0,0,E56*$E$7/12)</f>
        <v/>
      </c>
      <c r="AU57">
        <f>IF(E56&lt;=0,0,MIN(E56+AT57,$F$7+AS57))</f>
        <v/>
      </c>
      <c r="AV57">
        <f>IF(E56&lt;=0,AS57,MAX(0,$F$7+AS57-E56-AT57))</f>
        <v/>
      </c>
      <c r="AW57">
        <f>IF(F56&lt;=0,0,F56*$E$8/12)</f>
        <v/>
      </c>
      <c r="AX57">
        <f>IF(F56&lt;=0,0,MIN(F56+AW57,$F$8+AV57))</f>
        <v/>
      </c>
      <c r="AY57">
        <f>IF(F56&lt;=0,AV57,MAX(0,$F$8+AV57-F56-AW57))</f>
        <v/>
      </c>
      <c r="AZ57">
        <f>IF(G56&lt;=0,0,G56*$E$9/12)</f>
        <v/>
      </c>
      <c r="BA57">
        <f>IF(G56&lt;=0,0,MIN(G56+AZ57,$F$9+AY57))</f>
        <v/>
      </c>
      <c r="BB57">
        <f>IF(G56&lt;=0,AY57,MAX(0,$F$9+AY57-G56-AZ57))</f>
        <v/>
      </c>
      <c r="BC57">
        <f>IF(H56&lt;=0,0,H56*$E$10/12)</f>
        <v/>
      </c>
      <c r="BD57">
        <f>IF(H56&lt;=0,0,MIN(H56+BC57,$F$10+BB57))</f>
        <v/>
      </c>
      <c r="BE57">
        <f>IF(H56&lt;=0,BB57,MAX(0,$F$10+BB57-H56-BC57))</f>
        <v/>
      </c>
      <c r="BF57">
        <f>IF(I56&lt;=0,0,I56*$E$11/12)</f>
        <v/>
      </c>
      <c r="BG57">
        <f>IF(I56&lt;=0,0,MIN(I56+BF57,$F$11+BE57))</f>
        <v/>
      </c>
      <c r="BH57">
        <f>IF(I56&lt;=0,BE57,MAX(0,$F$11+BE57-I56-BF57))</f>
        <v/>
      </c>
      <c r="BI57">
        <f>IF(J56&lt;=0,0,J56*$E$12/12)</f>
        <v/>
      </c>
      <c r="BJ57">
        <f>IF(J56&lt;=0,0,MIN(J56+BI57,$F$12+BH57))</f>
        <v/>
      </c>
      <c r="BK57">
        <f>IF(J56&lt;=0,BH57,MAX(0,$F$12+BH57-J56-BI57))</f>
        <v/>
      </c>
      <c r="BL57">
        <f>IF(K56&lt;=0,0,K56*$E$13/12)</f>
        <v/>
      </c>
      <c r="BM57">
        <f>IF(K56&lt;=0,0,MIN(K56+BL57,$F$13+BK57))</f>
        <v/>
      </c>
      <c r="BN57">
        <f>IF(K56&lt;=0,BK57,MAX(0,$F$13+BK57-K56-BL57))</f>
        <v/>
      </c>
      <c r="BO57">
        <f>IF(L56&lt;=0,0,L56*$E$14/12)</f>
        <v/>
      </c>
      <c r="BP57">
        <f>IF(L56&lt;=0,0,MIN(L56+BO57,$F$14+BN57))</f>
        <v/>
      </c>
      <c r="BQ57">
        <f>IF(L56&lt;=0,BN57,MAX(0,$F$14+BN57-L56-BO57))</f>
        <v/>
      </c>
      <c r="BR57">
        <f>IF(M56&lt;=0,0,M56*$E$15/12)</f>
        <v/>
      </c>
      <c r="BS57">
        <f>IF(M56&lt;=0,0,MIN(M56+BR57,$F$15+BQ57))</f>
        <v/>
      </c>
      <c r="BT57">
        <f>IF(M56&lt;=0,BQ57,MAX(0,$F$15+BQ57-M56-BR57))</f>
        <v/>
      </c>
      <c r="BU57">
        <f>IF(N56&lt;=0,0,N56*$E$16/12)</f>
        <v/>
      </c>
      <c r="BV57">
        <f>IF(N56&lt;=0,0,MIN(N56+BU57,$F$16+BT57))</f>
        <v/>
      </c>
      <c r="BW57">
        <f>IF(N56&lt;=0,BT57,MAX(0,$F$16+BT57-N56-BU57))</f>
        <v/>
      </c>
      <c r="BX57">
        <f>IF(O56&lt;=0,0,O56*$E$17/12)</f>
        <v/>
      </c>
      <c r="BY57">
        <f>IF(O56&lt;=0,0,MIN(O56+BX57,$F$17+BW57))</f>
        <v/>
      </c>
      <c r="BZ57">
        <f>IF(O56&lt;=0,BW57,MAX(0,$F$17+BW57-O56-BX57))</f>
        <v/>
      </c>
      <c r="CA57">
        <f>IF(P56&lt;=0,0,P56*$E$18/12)</f>
        <v/>
      </c>
      <c r="CB57">
        <f>IF(P56&lt;=0,0,MIN(P56+CA57,$F$18+BZ57))</f>
        <v/>
      </c>
      <c r="CC57">
        <f>IF(P56&lt;=0,BZ57,MAX(0,$F$18+BZ57-P56-CA57))</f>
        <v/>
      </c>
      <c r="CD57">
        <f>IF(Q56&lt;=0,0,Q56*$E$19/12)</f>
        <v/>
      </c>
      <c r="CE57">
        <f>IF(Q56&lt;=0,0,MIN(Q56+CD57,$F$19+CC57))</f>
        <v/>
      </c>
      <c r="CF57">
        <f>IF(Q56&lt;=0,CC57,MAX(0,$F$19+CC57-Q56-CD57))</f>
        <v/>
      </c>
      <c r="CG57">
        <f>IF(R56&lt;=0,0,R56*$E$20/12)</f>
        <v/>
      </c>
      <c r="CH57">
        <f>IF(R56&lt;=0,0,MIN(R56+CG57,$F$20+CF57))</f>
        <v/>
      </c>
      <c r="CI57">
        <f>IF(R56&lt;=0,CF57,MAX(0,$F$20+CF57-R56-CG57))</f>
        <v/>
      </c>
      <c r="CJ57">
        <f>IF(S56&lt;=0,0,S56*$E$21/12)</f>
        <v/>
      </c>
      <c r="CK57">
        <f>IF(S56&lt;=0,0,MIN(S56+CJ57,$F$21+CI57))</f>
        <v/>
      </c>
      <c r="CL57">
        <f>IF(S56&lt;=0,CI57,MAX(0,$F$21+CI57-S56-CJ57))</f>
        <v/>
      </c>
      <c r="CM57">
        <f>IF(T56&lt;=0,0,T56*$E$22/12)</f>
        <v/>
      </c>
      <c r="CN57">
        <f>IF(T56&lt;=0,0,MIN(T56+CM57,$F$22+CL57))</f>
        <v/>
      </c>
      <c r="CO57">
        <f>IF(T56&lt;=0,CL57,MAX(0,$F$22+CL57-T56-CM57))</f>
        <v/>
      </c>
      <c r="CP57">
        <f>IF(U56&lt;=0,0,U56*$E$23/12)</f>
        <v/>
      </c>
      <c r="CQ57">
        <f>IF(U56&lt;=0,0,MIN(U56+CP57,$F$23+CO57))</f>
        <v/>
      </c>
      <c r="CR57">
        <f>IF(U56&lt;=0,CO57,MAX(0,$F$23+CO57-U56-CP57))</f>
        <v/>
      </c>
      <c r="CS57">
        <f>IF(V56&lt;=0,0,V56*$E$24/12)</f>
        <v/>
      </c>
      <c r="CT57">
        <f>IF(V56&lt;=0,0,MIN(V56+CS57,$F$24+CR57))</f>
        <v/>
      </c>
      <c r="CU57">
        <f>IF(V56&lt;=0,CR57,MAX(0,$F$24+CR57-V56-CS57))</f>
        <v/>
      </c>
    </row>
    <row r="58">
      <c r="B58" s="39" t="n">
        <v>32</v>
      </c>
      <c r="C58" s="13">
        <f>IF(C57&lt;=0,0,MAX(0,C57+AN58-AO58))</f>
        <v/>
      </c>
      <c r="D58" s="13">
        <f>IF(D57&lt;=0,0,MAX(0,D57+AQ58-AR58))</f>
        <v/>
      </c>
      <c r="E58" s="13">
        <f>IF(E57&lt;=0,0,MAX(0,E57+AT58-AU58))</f>
        <v/>
      </c>
      <c r="F58" s="13">
        <f>IF(F57&lt;=0,0,MAX(0,F57+AW58-AX58))</f>
        <v/>
      </c>
      <c r="G58" s="13">
        <f>IF(G57&lt;=0,0,MAX(0,G57+AZ58-BA58))</f>
        <v/>
      </c>
      <c r="H58" s="13">
        <f>IF(H57&lt;=0,0,MAX(0,H57+BC58-BD58))</f>
        <v/>
      </c>
      <c r="I58" s="13">
        <f>IF(I57&lt;=0,0,MAX(0,I57+BF58-BG58))</f>
        <v/>
      </c>
      <c r="J58" s="13">
        <f>IF(J57&lt;=0,0,MAX(0,J57+BI58-BJ58))</f>
        <v/>
      </c>
      <c r="K58" s="13">
        <f>IF(K57&lt;=0,0,MAX(0,K57+BL58-BM58))</f>
        <v/>
      </c>
      <c r="L58" s="13">
        <f>IF(L57&lt;=0,0,MAX(0,L57+BO58-BP58))</f>
        <v/>
      </c>
      <c r="M58" s="13">
        <f>IF(M57&lt;=0,0,MAX(0,M57+BR58-BS58))</f>
        <v/>
      </c>
      <c r="N58" s="13">
        <f>IF(N57&lt;=0,0,MAX(0,N57+BU58-BV58))</f>
        <v/>
      </c>
      <c r="O58" s="13">
        <f>IF(O57&lt;=0,0,MAX(0,O57+BX58-BY58))</f>
        <v/>
      </c>
      <c r="P58" s="13">
        <f>IF(P57&lt;=0,0,MAX(0,P57+CA58-CB58))</f>
        <v/>
      </c>
      <c r="Q58" s="13">
        <f>IF(Q57&lt;=0,0,MAX(0,Q57+CD58-CE58))</f>
        <v/>
      </c>
      <c r="R58" s="13">
        <f>IF(R57&lt;=0,0,MAX(0,R57+CG58-CH58))</f>
        <v/>
      </c>
      <c r="S58" s="13">
        <f>IF(S57&lt;=0,0,MAX(0,S57+CJ58-CK58))</f>
        <v/>
      </c>
      <c r="T58" s="13">
        <f>IF(T57&lt;=0,0,MAX(0,T57+CM58-CN58))</f>
        <v/>
      </c>
      <c r="U58" s="13">
        <f>IF(U57&lt;=0,0,MAX(0,U57+CP58-CQ58))</f>
        <v/>
      </c>
      <c r="V58" s="13">
        <f>IF(V57&lt;=0,0,MAX(0,V57+CS58-CT58))</f>
        <v/>
      </c>
      <c r="W58" s="13">
        <f>AO58+AR58+AU58+AX58+BA58+BD58+BG58+BJ58+BM58+BP58+BS58+BV58+BY58+CB58+CE58+CH58+CK58+CN58+CQ58+CT58</f>
        <v/>
      </c>
      <c r="X58" s="13">
        <f>AN58+AQ58+AT58+AW58+AZ58+BC58+BF58+BI58+BL58+BO58+BR58+BU58+BX58+CA58+CD58+CG58+CJ58+CM58+CP58+CS58</f>
        <v/>
      </c>
      <c r="Y58" s="27">
        <f>C58+D58+E58+F58+G58+H58+I58+J58+K58+L58+M58+N58+O58+P58+Q58+R58+S58+T58+U58+V58</f>
        <v/>
      </c>
      <c r="AN58">
        <f>IF(C57&lt;=0,0,C57*$E$5/12)</f>
        <v/>
      </c>
      <c r="AO58">
        <f>IF(C57&lt;=0,0,MIN(C57+AN58,$F$5+(Dashboard!$C$11+IF(C57&lt;=0,$F$5,0)+IF(D57&lt;=0,$F$6,0)+IF(E57&lt;=0,$F$7,0)+IF(F57&lt;=0,$F$8,0)+IF(G57&lt;=0,$F$9,0)+IF(H57&lt;=0,$F$10,0)+IF(I57&lt;=0,$F$11,0)+IF(J57&lt;=0,$F$12,0)+IF(K57&lt;=0,$F$13,0)+IF(L57&lt;=0,$F$14,0)+IF(M57&lt;=0,$F$15,0)+IF(N57&lt;=0,$F$16,0)+IF(O57&lt;=0,$F$17,0)+IF(P57&lt;=0,$F$18,0)+IF(Q57&lt;=0,$F$19,0)+IF(R57&lt;=0,$F$20,0)+IF(S57&lt;=0,$F$21,0)+IF(T57&lt;=0,$F$22,0)+IF(U57&lt;=0,$F$23,0)+IF(V57&lt;=0,$F$24,0))))</f>
        <v/>
      </c>
      <c r="AP58">
        <f>IF(C57&lt;=0,(Dashboard!$C$11+IF(C57&lt;=0,$F$5,0)+IF(D57&lt;=0,$F$6,0)+IF(E57&lt;=0,$F$7,0)+IF(F57&lt;=0,$F$8,0)+IF(G57&lt;=0,$F$9,0)+IF(H57&lt;=0,$F$10,0)+IF(I57&lt;=0,$F$11,0)+IF(J57&lt;=0,$F$12,0)+IF(K57&lt;=0,$F$13,0)+IF(L57&lt;=0,$F$14,0)+IF(M57&lt;=0,$F$15,0)+IF(N57&lt;=0,$F$16,0)+IF(O57&lt;=0,$F$17,0)+IF(P57&lt;=0,$F$18,0)+IF(Q57&lt;=0,$F$19,0)+IF(R57&lt;=0,$F$20,0)+IF(S57&lt;=0,$F$21,0)+IF(T57&lt;=0,$F$22,0)+IF(U57&lt;=0,$F$23,0)+IF(V57&lt;=0,$F$24,0)),MAX(0,$F$5+(Dashboard!$C$11+IF(C57&lt;=0,$F$5,0)+IF(D57&lt;=0,$F$6,0)+IF(E57&lt;=0,$F$7,0)+IF(F57&lt;=0,$F$8,0)+IF(G57&lt;=0,$F$9,0)+IF(H57&lt;=0,$F$10,0)+IF(I57&lt;=0,$F$11,0)+IF(J57&lt;=0,$F$12,0)+IF(K57&lt;=0,$F$13,0)+IF(L57&lt;=0,$F$14,0)+IF(M57&lt;=0,$F$15,0)+IF(N57&lt;=0,$F$16,0)+IF(O57&lt;=0,$F$17,0)+IF(P57&lt;=0,$F$18,0)+IF(Q57&lt;=0,$F$19,0)+IF(R57&lt;=0,$F$20,0)+IF(S57&lt;=0,$F$21,0)+IF(T57&lt;=0,$F$22,0)+IF(U57&lt;=0,$F$23,0)+IF(V57&lt;=0,$F$24,0))-C57-AN58))</f>
        <v/>
      </c>
      <c r="AQ58">
        <f>IF(D57&lt;=0,0,D57*$E$6/12)</f>
        <v/>
      </c>
      <c r="AR58">
        <f>IF(D57&lt;=0,0,MIN(D57+AQ58,$F$6+AP58))</f>
        <v/>
      </c>
      <c r="AS58">
        <f>IF(D57&lt;=0,AP58,MAX(0,$F$6+AP58-D57-AQ58))</f>
        <v/>
      </c>
      <c r="AT58">
        <f>IF(E57&lt;=0,0,E57*$E$7/12)</f>
        <v/>
      </c>
      <c r="AU58">
        <f>IF(E57&lt;=0,0,MIN(E57+AT58,$F$7+AS58))</f>
        <v/>
      </c>
      <c r="AV58">
        <f>IF(E57&lt;=0,AS58,MAX(0,$F$7+AS58-E57-AT58))</f>
        <v/>
      </c>
      <c r="AW58">
        <f>IF(F57&lt;=0,0,F57*$E$8/12)</f>
        <v/>
      </c>
      <c r="AX58">
        <f>IF(F57&lt;=0,0,MIN(F57+AW58,$F$8+AV58))</f>
        <v/>
      </c>
      <c r="AY58">
        <f>IF(F57&lt;=0,AV58,MAX(0,$F$8+AV58-F57-AW58))</f>
        <v/>
      </c>
      <c r="AZ58">
        <f>IF(G57&lt;=0,0,G57*$E$9/12)</f>
        <v/>
      </c>
      <c r="BA58">
        <f>IF(G57&lt;=0,0,MIN(G57+AZ58,$F$9+AY58))</f>
        <v/>
      </c>
      <c r="BB58">
        <f>IF(G57&lt;=0,AY58,MAX(0,$F$9+AY58-G57-AZ58))</f>
        <v/>
      </c>
      <c r="BC58">
        <f>IF(H57&lt;=0,0,H57*$E$10/12)</f>
        <v/>
      </c>
      <c r="BD58">
        <f>IF(H57&lt;=0,0,MIN(H57+BC58,$F$10+BB58))</f>
        <v/>
      </c>
      <c r="BE58">
        <f>IF(H57&lt;=0,BB58,MAX(0,$F$10+BB58-H57-BC58))</f>
        <v/>
      </c>
      <c r="BF58">
        <f>IF(I57&lt;=0,0,I57*$E$11/12)</f>
        <v/>
      </c>
      <c r="BG58">
        <f>IF(I57&lt;=0,0,MIN(I57+BF58,$F$11+BE58))</f>
        <v/>
      </c>
      <c r="BH58">
        <f>IF(I57&lt;=0,BE58,MAX(0,$F$11+BE58-I57-BF58))</f>
        <v/>
      </c>
      <c r="BI58">
        <f>IF(J57&lt;=0,0,J57*$E$12/12)</f>
        <v/>
      </c>
      <c r="BJ58">
        <f>IF(J57&lt;=0,0,MIN(J57+BI58,$F$12+BH58))</f>
        <v/>
      </c>
      <c r="BK58">
        <f>IF(J57&lt;=0,BH58,MAX(0,$F$12+BH58-J57-BI58))</f>
        <v/>
      </c>
      <c r="BL58">
        <f>IF(K57&lt;=0,0,K57*$E$13/12)</f>
        <v/>
      </c>
      <c r="BM58">
        <f>IF(K57&lt;=0,0,MIN(K57+BL58,$F$13+BK58))</f>
        <v/>
      </c>
      <c r="BN58">
        <f>IF(K57&lt;=0,BK58,MAX(0,$F$13+BK58-K57-BL58))</f>
        <v/>
      </c>
      <c r="BO58">
        <f>IF(L57&lt;=0,0,L57*$E$14/12)</f>
        <v/>
      </c>
      <c r="BP58">
        <f>IF(L57&lt;=0,0,MIN(L57+BO58,$F$14+BN58))</f>
        <v/>
      </c>
      <c r="BQ58">
        <f>IF(L57&lt;=0,BN58,MAX(0,$F$14+BN58-L57-BO58))</f>
        <v/>
      </c>
      <c r="BR58">
        <f>IF(M57&lt;=0,0,M57*$E$15/12)</f>
        <v/>
      </c>
      <c r="BS58">
        <f>IF(M57&lt;=0,0,MIN(M57+BR58,$F$15+BQ58))</f>
        <v/>
      </c>
      <c r="BT58">
        <f>IF(M57&lt;=0,BQ58,MAX(0,$F$15+BQ58-M57-BR58))</f>
        <v/>
      </c>
      <c r="BU58">
        <f>IF(N57&lt;=0,0,N57*$E$16/12)</f>
        <v/>
      </c>
      <c r="BV58">
        <f>IF(N57&lt;=0,0,MIN(N57+BU58,$F$16+BT58))</f>
        <v/>
      </c>
      <c r="BW58">
        <f>IF(N57&lt;=0,BT58,MAX(0,$F$16+BT58-N57-BU58))</f>
        <v/>
      </c>
      <c r="BX58">
        <f>IF(O57&lt;=0,0,O57*$E$17/12)</f>
        <v/>
      </c>
      <c r="BY58">
        <f>IF(O57&lt;=0,0,MIN(O57+BX58,$F$17+BW58))</f>
        <v/>
      </c>
      <c r="BZ58">
        <f>IF(O57&lt;=0,BW58,MAX(0,$F$17+BW58-O57-BX58))</f>
        <v/>
      </c>
      <c r="CA58">
        <f>IF(P57&lt;=0,0,P57*$E$18/12)</f>
        <v/>
      </c>
      <c r="CB58">
        <f>IF(P57&lt;=0,0,MIN(P57+CA58,$F$18+BZ58))</f>
        <v/>
      </c>
      <c r="CC58">
        <f>IF(P57&lt;=0,BZ58,MAX(0,$F$18+BZ58-P57-CA58))</f>
        <v/>
      </c>
      <c r="CD58">
        <f>IF(Q57&lt;=0,0,Q57*$E$19/12)</f>
        <v/>
      </c>
      <c r="CE58">
        <f>IF(Q57&lt;=0,0,MIN(Q57+CD58,$F$19+CC58))</f>
        <v/>
      </c>
      <c r="CF58">
        <f>IF(Q57&lt;=0,CC58,MAX(0,$F$19+CC58-Q57-CD58))</f>
        <v/>
      </c>
      <c r="CG58">
        <f>IF(R57&lt;=0,0,R57*$E$20/12)</f>
        <v/>
      </c>
      <c r="CH58">
        <f>IF(R57&lt;=0,0,MIN(R57+CG58,$F$20+CF58))</f>
        <v/>
      </c>
      <c r="CI58">
        <f>IF(R57&lt;=0,CF58,MAX(0,$F$20+CF58-R57-CG58))</f>
        <v/>
      </c>
      <c r="CJ58">
        <f>IF(S57&lt;=0,0,S57*$E$21/12)</f>
        <v/>
      </c>
      <c r="CK58">
        <f>IF(S57&lt;=0,0,MIN(S57+CJ58,$F$21+CI58))</f>
        <v/>
      </c>
      <c r="CL58">
        <f>IF(S57&lt;=0,CI58,MAX(0,$F$21+CI58-S57-CJ58))</f>
        <v/>
      </c>
      <c r="CM58">
        <f>IF(T57&lt;=0,0,T57*$E$22/12)</f>
        <v/>
      </c>
      <c r="CN58">
        <f>IF(T57&lt;=0,0,MIN(T57+CM58,$F$22+CL58))</f>
        <v/>
      </c>
      <c r="CO58">
        <f>IF(T57&lt;=0,CL58,MAX(0,$F$22+CL58-T57-CM58))</f>
        <v/>
      </c>
      <c r="CP58">
        <f>IF(U57&lt;=0,0,U57*$E$23/12)</f>
        <v/>
      </c>
      <c r="CQ58">
        <f>IF(U57&lt;=0,0,MIN(U57+CP58,$F$23+CO58))</f>
        <v/>
      </c>
      <c r="CR58">
        <f>IF(U57&lt;=0,CO58,MAX(0,$F$23+CO58-U57-CP58))</f>
        <v/>
      </c>
      <c r="CS58">
        <f>IF(V57&lt;=0,0,V57*$E$24/12)</f>
        <v/>
      </c>
      <c r="CT58">
        <f>IF(V57&lt;=0,0,MIN(V57+CS58,$F$24+CR58))</f>
        <v/>
      </c>
      <c r="CU58">
        <f>IF(V57&lt;=0,CR58,MAX(0,$F$24+CR58-V57-CS58))</f>
        <v/>
      </c>
    </row>
    <row r="59">
      <c r="B59" s="39" t="n">
        <v>33</v>
      </c>
      <c r="C59" s="13">
        <f>IF(C58&lt;=0,0,MAX(0,C58+AN59-AO59))</f>
        <v/>
      </c>
      <c r="D59" s="13">
        <f>IF(D58&lt;=0,0,MAX(0,D58+AQ59-AR59))</f>
        <v/>
      </c>
      <c r="E59" s="13">
        <f>IF(E58&lt;=0,0,MAX(0,E58+AT59-AU59))</f>
        <v/>
      </c>
      <c r="F59" s="13">
        <f>IF(F58&lt;=0,0,MAX(0,F58+AW59-AX59))</f>
        <v/>
      </c>
      <c r="G59" s="13">
        <f>IF(G58&lt;=0,0,MAX(0,G58+AZ59-BA59))</f>
        <v/>
      </c>
      <c r="H59" s="13">
        <f>IF(H58&lt;=0,0,MAX(0,H58+BC59-BD59))</f>
        <v/>
      </c>
      <c r="I59" s="13">
        <f>IF(I58&lt;=0,0,MAX(0,I58+BF59-BG59))</f>
        <v/>
      </c>
      <c r="J59" s="13">
        <f>IF(J58&lt;=0,0,MAX(0,J58+BI59-BJ59))</f>
        <v/>
      </c>
      <c r="K59" s="13">
        <f>IF(K58&lt;=0,0,MAX(0,K58+BL59-BM59))</f>
        <v/>
      </c>
      <c r="L59" s="13">
        <f>IF(L58&lt;=0,0,MAX(0,L58+BO59-BP59))</f>
        <v/>
      </c>
      <c r="M59" s="13">
        <f>IF(M58&lt;=0,0,MAX(0,M58+BR59-BS59))</f>
        <v/>
      </c>
      <c r="N59" s="13">
        <f>IF(N58&lt;=0,0,MAX(0,N58+BU59-BV59))</f>
        <v/>
      </c>
      <c r="O59" s="13">
        <f>IF(O58&lt;=0,0,MAX(0,O58+BX59-BY59))</f>
        <v/>
      </c>
      <c r="P59" s="13">
        <f>IF(P58&lt;=0,0,MAX(0,P58+CA59-CB59))</f>
        <v/>
      </c>
      <c r="Q59" s="13">
        <f>IF(Q58&lt;=0,0,MAX(0,Q58+CD59-CE59))</f>
        <v/>
      </c>
      <c r="R59" s="13">
        <f>IF(R58&lt;=0,0,MAX(0,R58+CG59-CH59))</f>
        <v/>
      </c>
      <c r="S59" s="13">
        <f>IF(S58&lt;=0,0,MAX(0,S58+CJ59-CK59))</f>
        <v/>
      </c>
      <c r="T59" s="13">
        <f>IF(T58&lt;=0,0,MAX(0,T58+CM59-CN59))</f>
        <v/>
      </c>
      <c r="U59" s="13">
        <f>IF(U58&lt;=0,0,MAX(0,U58+CP59-CQ59))</f>
        <v/>
      </c>
      <c r="V59" s="13">
        <f>IF(V58&lt;=0,0,MAX(0,V58+CS59-CT59))</f>
        <v/>
      </c>
      <c r="W59" s="13">
        <f>AO59+AR59+AU59+AX59+BA59+BD59+BG59+BJ59+BM59+BP59+BS59+BV59+BY59+CB59+CE59+CH59+CK59+CN59+CQ59+CT59</f>
        <v/>
      </c>
      <c r="X59" s="13">
        <f>AN59+AQ59+AT59+AW59+AZ59+BC59+BF59+BI59+BL59+BO59+BR59+BU59+BX59+CA59+CD59+CG59+CJ59+CM59+CP59+CS59</f>
        <v/>
      </c>
      <c r="Y59" s="27">
        <f>C59+D59+E59+F59+G59+H59+I59+J59+K59+L59+M59+N59+O59+P59+Q59+R59+S59+T59+U59+V59</f>
        <v/>
      </c>
      <c r="AN59">
        <f>IF(C58&lt;=0,0,C58*$E$5/12)</f>
        <v/>
      </c>
      <c r="AO59">
        <f>IF(C58&lt;=0,0,MIN(C58+AN59,$F$5+(Dashboard!$C$11+IF(C58&lt;=0,$F$5,0)+IF(D58&lt;=0,$F$6,0)+IF(E58&lt;=0,$F$7,0)+IF(F58&lt;=0,$F$8,0)+IF(G58&lt;=0,$F$9,0)+IF(H58&lt;=0,$F$10,0)+IF(I58&lt;=0,$F$11,0)+IF(J58&lt;=0,$F$12,0)+IF(K58&lt;=0,$F$13,0)+IF(L58&lt;=0,$F$14,0)+IF(M58&lt;=0,$F$15,0)+IF(N58&lt;=0,$F$16,0)+IF(O58&lt;=0,$F$17,0)+IF(P58&lt;=0,$F$18,0)+IF(Q58&lt;=0,$F$19,0)+IF(R58&lt;=0,$F$20,0)+IF(S58&lt;=0,$F$21,0)+IF(T58&lt;=0,$F$22,0)+IF(U58&lt;=0,$F$23,0)+IF(V58&lt;=0,$F$24,0))))</f>
        <v/>
      </c>
      <c r="AP59">
        <f>IF(C58&lt;=0,(Dashboard!$C$11+IF(C58&lt;=0,$F$5,0)+IF(D58&lt;=0,$F$6,0)+IF(E58&lt;=0,$F$7,0)+IF(F58&lt;=0,$F$8,0)+IF(G58&lt;=0,$F$9,0)+IF(H58&lt;=0,$F$10,0)+IF(I58&lt;=0,$F$11,0)+IF(J58&lt;=0,$F$12,0)+IF(K58&lt;=0,$F$13,0)+IF(L58&lt;=0,$F$14,0)+IF(M58&lt;=0,$F$15,0)+IF(N58&lt;=0,$F$16,0)+IF(O58&lt;=0,$F$17,0)+IF(P58&lt;=0,$F$18,0)+IF(Q58&lt;=0,$F$19,0)+IF(R58&lt;=0,$F$20,0)+IF(S58&lt;=0,$F$21,0)+IF(T58&lt;=0,$F$22,0)+IF(U58&lt;=0,$F$23,0)+IF(V58&lt;=0,$F$24,0)),MAX(0,$F$5+(Dashboard!$C$11+IF(C58&lt;=0,$F$5,0)+IF(D58&lt;=0,$F$6,0)+IF(E58&lt;=0,$F$7,0)+IF(F58&lt;=0,$F$8,0)+IF(G58&lt;=0,$F$9,0)+IF(H58&lt;=0,$F$10,0)+IF(I58&lt;=0,$F$11,0)+IF(J58&lt;=0,$F$12,0)+IF(K58&lt;=0,$F$13,0)+IF(L58&lt;=0,$F$14,0)+IF(M58&lt;=0,$F$15,0)+IF(N58&lt;=0,$F$16,0)+IF(O58&lt;=0,$F$17,0)+IF(P58&lt;=0,$F$18,0)+IF(Q58&lt;=0,$F$19,0)+IF(R58&lt;=0,$F$20,0)+IF(S58&lt;=0,$F$21,0)+IF(T58&lt;=0,$F$22,0)+IF(U58&lt;=0,$F$23,0)+IF(V58&lt;=0,$F$24,0))-C58-AN59))</f>
        <v/>
      </c>
      <c r="AQ59">
        <f>IF(D58&lt;=0,0,D58*$E$6/12)</f>
        <v/>
      </c>
      <c r="AR59">
        <f>IF(D58&lt;=0,0,MIN(D58+AQ59,$F$6+AP59))</f>
        <v/>
      </c>
      <c r="AS59">
        <f>IF(D58&lt;=0,AP59,MAX(0,$F$6+AP59-D58-AQ59))</f>
        <v/>
      </c>
      <c r="AT59">
        <f>IF(E58&lt;=0,0,E58*$E$7/12)</f>
        <v/>
      </c>
      <c r="AU59">
        <f>IF(E58&lt;=0,0,MIN(E58+AT59,$F$7+AS59))</f>
        <v/>
      </c>
      <c r="AV59">
        <f>IF(E58&lt;=0,AS59,MAX(0,$F$7+AS59-E58-AT59))</f>
        <v/>
      </c>
      <c r="AW59">
        <f>IF(F58&lt;=0,0,F58*$E$8/12)</f>
        <v/>
      </c>
      <c r="AX59">
        <f>IF(F58&lt;=0,0,MIN(F58+AW59,$F$8+AV59))</f>
        <v/>
      </c>
      <c r="AY59">
        <f>IF(F58&lt;=0,AV59,MAX(0,$F$8+AV59-F58-AW59))</f>
        <v/>
      </c>
      <c r="AZ59">
        <f>IF(G58&lt;=0,0,G58*$E$9/12)</f>
        <v/>
      </c>
      <c r="BA59">
        <f>IF(G58&lt;=0,0,MIN(G58+AZ59,$F$9+AY59))</f>
        <v/>
      </c>
      <c r="BB59">
        <f>IF(G58&lt;=0,AY59,MAX(0,$F$9+AY59-G58-AZ59))</f>
        <v/>
      </c>
      <c r="BC59">
        <f>IF(H58&lt;=0,0,H58*$E$10/12)</f>
        <v/>
      </c>
      <c r="BD59">
        <f>IF(H58&lt;=0,0,MIN(H58+BC59,$F$10+BB59))</f>
        <v/>
      </c>
      <c r="BE59">
        <f>IF(H58&lt;=0,BB59,MAX(0,$F$10+BB59-H58-BC59))</f>
        <v/>
      </c>
      <c r="BF59">
        <f>IF(I58&lt;=0,0,I58*$E$11/12)</f>
        <v/>
      </c>
      <c r="BG59">
        <f>IF(I58&lt;=0,0,MIN(I58+BF59,$F$11+BE59))</f>
        <v/>
      </c>
      <c r="BH59">
        <f>IF(I58&lt;=0,BE59,MAX(0,$F$11+BE59-I58-BF59))</f>
        <v/>
      </c>
      <c r="BI59">
        <f>IF(J58&lt;=0,0,J58*$E$12/12)</f>
        <v/>
      </c>
      <c r="BJ59">
        <f>IF(J58&lt;=0,0,MIN(J58+BI59,$F$12+BH59))</f>
        <v/>
      </c>
      <c r="BK59">
        <f>IF(J58&lt;=0,BH59,MAX(0,$F$12+BH59-J58-BI59))</f>
        <v/>
      </c>
      <c r="BL59">
        <f>IF(K58&lt;=0,0,K58*$E$13/12)</f>
        <v/>
      </c>
      <c r="BM59">
        <f>IF(K58&lt;=0,0,MIN(K58+BL59,$F$13+BK59))</f>
        <v/>
      </c>
      <c r="BN59">
        <f>IF(K58&lt;=0,BK59,MAX(0,$F$13+BK59-K58-BL59))</f>
        <v/>
      </c>
      <c r="BO59">
        <f>IF(L58&lt;=0,0,L58*$E$14/12)</f>
        <v/>
      </c>
      <c r="BP59">
        <f>IF(L58&lt;=0,0,MIN(L58+BO59,$F$14+BN59))</f>
        <v/>
      </c>
      <c r="BQ59">
        <f>IF(L58&lt;=0,BN59,MAX(0,$F$14+BN59-L58-BO59))</f>
        <v/>
      </c>
      <c r="BR59">
        <f>IF(M58&lt;=0,0,M58*$E$15/12)</f>
        <v/>
      </c>
      <c r="BS59">
        <f>IF(M58&lt;=0,0,MIN(M58+BR59,$F$15+BQ59))</f>
        <v/>
      </c>
      <c r="BT59">
        <f>IF(M58&lt;=0,BQ59,MAX(0,$F$15+BQ59-M58-BR59))</f>
        <v/>
      </c>
      <c r="BU59">
        <f>IF(N58&lt;=0,0,N58*$E$16/12)</f>
        <v/>
      </c>
      <c r="BV59">
        <f>IF(N58&lt;=0,0,MIN(N58+BU59,$F$16+BT59))</f>
        <v/>
      </c>
      <c r="BW59">
        <f>IF(N58&lt;=0,BT59,MAX(0,$F$16+BT59-N58-BU59))</f>
        <v/>
      </c>
      <c r="BX59">
        <f>IF(O58&lt;=0,0,O58*$E$17/12)</f>
        <v/>
      </c>
      <c r="BY59">
        <f>IF(O58&lt;=0,0,MIN(O58+BX59,$F$17+BW59))</f>
        <v/>
      </c>
      <c r="BZ59">
        <f>IF(O58&lt;=0,BW59,MAX(0,$F$17+BW59-O58-BX59))</f>
        <v/>
      </c>
      <c r="CA59">
        <f>IF(P58&lt;=0,0,P58*$E$18/12)</f>
        <v/>
      </c>
      <c r="CB59">
        <f>IF(P58&lt;=0,0,MIN(P58+CA59,$F$18+BZ59))</f>
        <v/>
      </c>
      <c r="CC59">
        <f>IF(P58&lt;=0,BZ59,MAX(0,$F$18+BZ59-P58-CA59))</f>
        <v/>
      </c>
      <c r="CD59">
        <f>IF(Q58&lt;=0,0,Q58*$E$19/12)</f>
        <v/>
      </c>
      <c r="CE59">
        <f>IF(Q58&lt;=0,0,MIN(Q58+CD59,$F$19+CC59))</f>
        <v/>
      </c>
      <c r="CF59">
        <f>IF(Q58&lt;=0,CC59,MAX(0,$F$19+CC59-Q58-CD59))</f>
        <v/>
      </c>
      <c r="CG59">
        <f>IF(R58&lt;=0,0,R58*$E$20/12)</f>
        <v/>
      </c>
      <c r="CH59">
        <f>IF(R58&lt;=0,0,MIN(R58+CG59,$F$20+CF59))</f>
        <v/>
      </c>
      <c r="CI59">
        <f>IF(R58&lt;=0,CF59,MAX(0,$F$20+CF59-R58-CG59))</f>
        <v/>
      </c>
      <c r="CJ59">
        <f>IF(S58&lt;=0,0,S58*$E$21/12)</f>
        <v/>
      </c>
      <c r="CK59">
        <f>IF(S58&lt;=0,0,MIN(S58+CJ59,$F$21+CI59))</f>
        <v/>
      </c>
      <c r="CL59">
        <f>IF(S58&lt;=0,CI59,MAX(0,$F$21+CI59-S58-CJ59))</f>
        <v/>
      </c>
      <c r="CM59">
        <f>IF(T58&lt;=0,0,T58*$E$22/12)</f>
        <v/>
      </c>
      <c r="CN59">
        <f>IF(T58&lt;=0,0,MIN(T58+CM59,$F$22+CL59))</f>
        <v/>
      </c>
      <c r="CO59">
        <f>IF(T58&lt;=0,CL59,MAX(0,$F$22+CL59-T58-CM59))</f>
        <v/>
      </c>
      <c r="CP59">
        <f>IF(U58&lt;=0,0,U58*$E$23/12)</f>
        <v/>
      </c>
      <c r="CQ59">
        <f>IF(U58&lt;=0,0,MIN(U58+CP59,$F$23+CO59))</f>
        <v/>
      </c>
      <c r="CR59">
        <f>IF(U58&lt;=0,CO59,MAX(0,$F$23+CO59-U58-CP59))</f>
        <v/>
      </c>
      <c r="CS59">
        <f>IF(V58&lt;=0,0,V58*$E$24/12)</f>
        <v/>
      </c>
      <c r="CT59">
        <f>IF(V58&lt;=0,0,MIN(V58+CS59,$F$24+CR59))</f>
        <v/>
      </c>
      <c r="CU59">
        <f>IF(V58&lt;=0,CR59,MAX(0,$F$24+CR59-V58-CS59))</f>
        <v/>
      </c>
    </row>
    <row r="60">
      <c r="B60" s="39" t="n">
        <v>34</v>
      </c>
      <c r="C60" s="13">
        <f>IF(C59&lt;=0,0,MAX(0,C59+AN60-AO60))</f>
        <v/>
      </c>
      <c r="D60" s="13">
        <f>IF(D59&lt;=0,0,MAX(0,D59+AQ60-AR60))</f>
        <v/>
      </c>
      <c r="E60" s="13">
        <f>IF(E59&lt;=0,0,MAX(0,E59+AT60-AU60))</f>
        <v/>
      </c>
      <c r="F60" s="13">
        <f>IF(F59&lt;=0,0,MAX(0,F59+AW60-AX60))</f>
        <v/>
      </c>
      <c r="G60" s="13">
        <f>IF(G59&lt;=0,0,MAX(0,G59+AZ60-BA60))</f>
        <v/>
      </c>
      <c r="H60" s="13">
        <f>IF(H59&lt;=0,0,MAX(0,H59+BC60-BD60))</f>
        <v/>
      </c>
      <c r="I60" s="13">
        <f>IF(I59&lt;=0,0,MAX(0,I59+BF60-BG60))</f>
        <v/>
      </c>
      <c r="J60" s="13">
        <f>IF(J59&lt;=0,0,MAX(0,J59+BI60-BJ60))</f>
        <v/>
      </c>
      <c r="K60" s="13">
        <f>IF(K59&lt;=0,0,MAX(0,K59+BL60-BM60))</f>
        <v/>
      </c>
      <c r="L60" s="13">
        <f>IF(L59&lt;=0,0,MAX(0,L59+BO60-BP60))</f>
        <v/>
      </c>
      <c r="M60" s="13">
        <f>IF(M59&lt;=0,0,MAX(0,M59+BR60-BS60))</f>
        <v/>
      </c>
      <c r="N60" s="13">
        <f>IF(N59&lt;=0,0,MAX(0,N59+BU60-BV60))</f>
        <v/>
      </c>
      <c r="O60" s="13">
        <f>IF(O59&lt;=0,0,MAX(0,O59+BX60-BY60))</f>
        <v/>
      </c>
      <c r="P60" s="13">
        <f>IF(P59&lt;=0,0,MAX(0,P59+CA60-CB60))</f>
        <v/>
      </c>
      <c r="Q60" s="13">
        <f>IF(Q59&lt;=0,0,MAX(0,Q59+CD60-CE60))</f>
        <v/>
      </c>
      <c r="R60" s="13">
        <f>IF(R59&lt;=0,0,MAX(0,R59+CG60-CH60))</f>
        <v/>
      </c>
      <c r="S60" s="13">
        <f>IF(S59&lt;=0,0,MAX(0,S59+CJ60-CK60))</f>
        <v/>
      </c>
      <c r="T60" s="13">
        <f>IF(T59&lt;=0,0,MAX(0,T59+CM60-CN60))</f>
        <v/>
      </c>
      <c r="U60" s="13">
        <f>IF(U59&lt;=0,0,MAX(0,U59+CP60-CQ60))</f>
        <v/>
      </c>
      <c r="V60" s="13">
        <f>IF(V59&lt;=0,0,MAX(0,V59+CS60-CT60))</f>
        <v/>
      </c>
      <c r="W60" s="13">
        <f>AO60+AR60+AU60+AX60+BA60+BD60+BG60+BJ60+BM60+BP60+BS60+BV60+BY60+CB60+CE60+CH60+CK60+CN60+CQ60+CT60</f>
        <v/>
      </c>
      <c r="X60" s="13">
        <f>AN60+AQ60+AT60+AW60+AZ60+BC60+BF60+BI60+BL60+BO60+BR60+BU60+BX60+CA60+CD60+CG60+CJ60+CM60+CP60+CS60</f>
        <v/>
      </c>
      <c r="Y60" s="27">
        <f>C60+D60+E60+F60+G60+H60+I60+J60+K60+L60+M60+N60+O60+P60+Q60+R60+S60+T60+U60+V60</f>
        <v/>
      </c>
      <c r="AN60">
        <f>IF(C59&lt;=0,0,C59*$E$5/12)</f>
        <v/>
      </c>
      <c r="AO60">
        <f>IF(C59&lt;=0,0,MIN(C59+AN60,$F$5+(Dashboard!$C$11+IF(C59&lt;=0,$F$5,0)+IF(D59&lt;=0,$F$6,0)+IF(E59&lt;=0,$F$7,0)+IF(F59&lt;=0,$F$8,0)+IF(G59&lt;=0,$F$9,0)+IF(H59&lt;=0,$F$10,0)+IF(I59&lt;=0,$F$11,0)+IF(J59&lt;=0,$F$12,0)+IF(K59&lt;=0,$F$13,0)+IF(L59&lt;=0,$F$14,0)+IF(M59&lt;=0,$F$15,0)+IF(N59&lt;=0,$F$16,0)+IF(O59&lt;=0,$F$17,0)+IF(P59&lt;=0,$F$18,0)+IF(Q59&lt;=0,$F$19,0)+IF(R59&lt;=0,$F$20,0)+IF(S59&lt;=0,$F$21,0)+IF(T59&lt;=0,$F$22,0)+IF(U59&lt;=0,$F$23,0)+IF(V59&lt;=0,$F$24,0))))</f>
        <v/>
      </c>
      <c r="AP60">
        <f>IF(C59&lt;=0,(Dashboard!$C$11+IF(C59&lt;=0,$F$5,0)+IF(D59&lt;=0,$F$6,0)+IF(E59&lt;=0,$F$7,0)+IF(F59&lt;=0,$F$8,0)+IF(G59&lt;=0,$F$9,0)+IF(H59&lt;=0,$F$10,0)+IF(I59&lt;=0,$F$11,0)+IF(J59&lt;=0,$F$12,0)+IF(K59&lt;=0,$F$13,0)+IF(L59&lt;=0,$F$14,0)+IF(M59&lt;=0,$F$15,0)+IF(N59&lt;=0,$F$16,0)+IF(O59&lt;=0,$F$17,0)+IF(P59&lt;=0,$F$18,0)+IF(Q59&lt;=0,$F$19,0)+IF(R59&lt;=0,$F$20,0)+IF(S59&lt;=0,$F$21,0)+IF(T59&lt;=0,$F$22,0)+IF(U59&lt;=0,$F$23,0)+IF(V59&lt;=0,$F$24,0)),MAX(0,$F$5+(Dashboard!$C$11+IF(C59&lt;=0,$F$5,0)+IF(D59&lt;=0,$F$6,0)+IF(E59&lt;=0,$F$7,0)+IF(F59&lt;=0,$F$8,0)+IF(G59&lt;=0,$F$9,0)+IF(H59&lt;=0,$F$10,0)+IF(I59&lt;=0,$F$11,0)+IF(J59&lt;=0,$F$12,0)+IF(K59&lt;=0,$F$13,0)+IF(L59&lt;=0,$F$14,0)+IF(M59&lt;=0,$F$15,0)+IF(N59&lt;=0,$F$16,0)+IF(O59&lt;=0,$F$17,0)+IF(P59&lt;=0,$F$18,0)+IF(Q59&lt;=0,$F$19,0)+IF(R59&lt;=0,$F$20,0)+IF(S59&lt;=0,$F$21,0)+IF(T59&lt;=0,$F$22,0)+IF(U59&lt;=0,$F$23,0)+IF(V59&lt;=0,$F$24,0))-C59-AN60))</f>
        <v/>
      </c>
      <c r="AQ60">
        <f>IF(D59&lt;=0,0,D59*$E$6/12)</f>
        <v/>
      </c>
      <c r="AR60">
        <f>IF(D59&lt;=0,0,MIN(D59+AQ60,$F$6+AP60))</f>
        <v/>
      </c>
      <c r="AS60">
        <f>IF(D59&lt;=0,AP60,MAX(0,$F$6+AP60-D59-AQ60))</f>
        <v/>
      </c>
      <c r="AT60">
        <f>IF(E59&lt;=0,0,E59*$E$7/12)</f>
        <v/>
      </c>
      <c r="AU60">
        <f>IF(E59&lt;=0,0,MIN(E59+AT60,$F$7+AS60))</f>
        <v/>
      </c>
      <c r="AV60">
        <f>IF(E59&lt;=0,AS60,MAX(0,$F$7+AS60-E59-AT60))</f>
        <v/>
      </c>
      <c r="AW60">
        <f>IF(F59&lt;=0,0,F59*$E$8/12)</f>
        <v/>
      </c>
      <c r="AX60">
        <f>IF(F59&lt;=0,0,MIN(F59+AW60,$F$8+AV60))</f>
        <v/>
      </c>
      <c r="AY60">
        <f>IF(F59&lt;=0,AV60,MAX(0,$F$8+AV60-F59-AW60))</f>
        <v/>
      </c>
      <c r="AZ60">
        <f>IF(G59&lt;=0,0,G59*$E$9/12)</f>
        <v/>
      </c>
      <c r="BA60">
        <f>IF(G59&lt;=0,0,MIN(G59+AZ60,$F$9+AY60))</f>
        <v/>
      </c>
      <c r="BB60">
        <f>IF(G59&lt;=0,AY60,MAX(0,$F$9+AY60-G59-AZ60))</f>
        <v/>
      </c>
      <c r="BC60">
        <f>IF(H59&lt;=0,0,H59*$E$10/12)</f>
        <v/>
      </c>
      <c r="BD60">
        <f>IF(H59&lt;=0,0,MIN(H59+BC60,$F$10+BB60))</f>
        <v/>
      </c>
      <c r="BE60">
        <f>IF(H59&lt;=0,BB60,MAX(0,$F$10+BB60-H59-BC60))</f>
        <v/>
      </c>
      <c r="BF60">
        <f>IF(I59&lt;=0,0,I59*$E$11/12)</f>
        <v/>
      </c>
      <c r="BG60">
        <f>IF(I59&lt;=0,0,MIN(I59+BF60,$F$11+BE60))</f>
        <v/>
      </c>
      <c r="BH60">
        <f>IF(I59&lt;=0,BE60,MAX(0,$F$11+BE60-I59-BF60))</f>
        <v/>
      </c>
      <c r="BI60">
        <f>IF(J59&lt;=0,0,J59*$E$12/12)</f>
        <v/>
      </c>
      <c r="BJ60">
        <f>IF(J59&lt;=0,0,MIN(J59+BI60,$F$12+BH60))</f>
        <v/>
      </c>
      <c r="BK60">
        <f>IF(J59&lt;=0,BH60,MAX(0,$F$12+BH60-J59-BI60))</f>
        <v/>
      </c>
      <c r="BL60">
        <f>IF(K59&lt;=0,0,K59*$E$13/12)</f>
        <v/>
      </c>
      <c r="BM60">
        <f>IF(K59&lt;=0,0,MIN(K59+BL60,$F$13+BK60))</f>
        <v/>
      </c>
      <c r="BN60">
        <f>IF(K59&lt;=0,BK60,MAX(0,$F$13+BK60-K59-BL60))</f>
        <v/>
      </c>
      <c r="BO60">
        <f>IF(L59&lt;=0,0,L59*$E$14/12)</f>
        <v/>
      </c>
      <c r="BP60">
        <f>IF(L59&lt;=0,0,MIN(L59+BO60,$F$14+BN60))</f>
        <v/>
      </c>
      <c r="BQ60">
        <f>IF(L59&lt;=0,BN60,MAX(0,$F$14+BN60-L59-BO60))</f>
        <v/>
      </c>
      <c r="BR60">
        <f>IF(M59&lt;=0,0,M59*$E$15/12)</f>
        <v/>
      </c>
      <c r="BS60">
        <f>IF(M59&lt;=0,0,MIN(M59+BR60,$F$15+BQ60))</f>
        <v/>
      </c>
      <c r="BT60">
        <f>IF(M59&lt;=0,BQ60,MAX(0,$F$15+BQ60-M59-BR60))</f>
        <v/>
      </c>
      <c r="BU60">
        <f>IF(N59&lt;=0,0,N59*$E$16/12)</f>
        <v/>
      </c>
      <c r="BV60">
        <f>IF(N59&lt;=0,0,MIN(N59+BU60,$F$16+BT60))</f>
        <v/>
      </c>
      <c r="BW60">
        <f>IF(N59&lt;=0,BT60,MAX(0,$F$16+BT60-N59-BU60))</f>
        <v/>
      </c>
      <c r="BX60">
        <f>IF(O59&lt;=0,0,O59*$E$17/12)</f>
        <v/>
      </c>
      <c r="BY60">
        <f>IF(O59&lt;=0,0,MIN(O59+BX60,$F$17+BW60))</f>
        <v/>
      </c>
      <c r="BZ60">
        <f>IF(O59&lt;=0,BW60,MAX(0,$F$17+BW60-O59-BX60))</f>
        <v/>
      </c>
      <c r="CA60">
        <f>IF(P59&lt;=0,0,P59*$E$18/12)</f>
        <v/>
      </c>
      <c r="CB60">
        <f>IF(P59&lt;=0,0,MIN(P59+CA60,$F$18+BZ60))</f>
        <v/>
      </c>
      <c r="CC60">
        <f>IF(P59&lt;=0,BZ60,MAX(0,$F$18+BZ60-P59-CA60))</f>
        <v/>
      </c>
      <c r="CD60">
        <f>IF(Q59&lt;=0,0,Q59*$E$19/12)</f>
        <v/>
      </c>
      <c r="CE60">
        <f>IF(Q59&lt;=0,0,MIN(Q59+CD60,$F$19+CC60))</f>
        <v/>
      </c>
      <c r="CF60">
        <f>IF(Q59&lt;=0,CC60,MAX(0,$F$19+CC60-Q59-CD60))</f>
        <v/>
      </c>
      <c r="CG60">
        <f>IF(R59&lt;=0,0,R59*$E$20/12)</f>
        <v/>
      </c>
      <c r="CH60">
        <f>IF(R59&lt;=0,0,MIN(R59+CG60,$F$20+CF60))</f>
        <v/>
      </c>
      <c r="CI60">
        <f>IF(R59&lt;=0,CF60,MAX(0,$F$20+CF60-R59-CG60))</f>
        <v/>
      </c>
      <c r="CJ60">
        <f>IF(S59&lt;=0,0,S59*$E$21/12)</f>
        <v/>
      </c>
      <c r="CK60">
        <f>IF(S59&lt;=0,0,MIN(S59+CJ60,$F$21+CI60))</f>
        <v/>
      </c>
      <c r="CL60">
        <f>IF(S59&lt;=0,CI60,MAX(0,$F$21+CI60-S59-CJ60))</f>
        <v/>
      </c>
      <c r="CM60">
        <f>IF(T59&lt;=0,0,T59*$E$22/12)</f>
        <v/>
      </c>
      <c r="CN60">
        <f>IF(T59&lt;=0,0,MIN(T59+CM60,$F$22+CL60))</f>
        <v/>
      </c>
      <c r="CO60">
        <f>IF(T59&lt;=0,CL60,MAX(0,$F$22+CL60-T59-CM60))</f>
        <v/>
      </c>
      <c r="CP60">
        <f>IF(U59&lt;=0,0,U59*$E$23/12)</f>
        <v/>
      </c>
      <c r="CQ60">
        <f>IF(U59&lt;=0,0,MIN(U59+CP60,$F$23+CO60))</f>
        <v/>
      </c>
      <c r="CR60">
        <f>IF(U59&lt;=0,CO60,MAX(0,$F$23+CO60-U59-CP60))</f>
        <v/>
      </c>
      <c r="CS60">
        <f>IF(V59&lt;=0,0,V59*$E$24/12)</f>
        <v/>
      </c>
      <c r="CT60">
        <f>IF(V59&lt;=0,0,MIN(V59+CS60,$F$24+CR60))</f>
        <v/>
      </c>
      <c r="CU60">
        <f>IF(V59&lt;=0,CR60,MAX(0,$F$24+CR60-V59-CS60))</f>
        <v/>
      </c>
    </row>
    <row r="61">
      <c r="B61" s="39" t="n">
        <v>35</v>
      </c>
      <c r="C61" s="13">
        <f>IF(C60&lt;=0,0,MAX(0,C60+AN61-AO61))</f>
        <v/>
      </c>
      <c r="D61" s="13">
        <f>IF(D60&lt;=0,0,MAX(0,D60+AQ61-AR61))</f>
        <v/>
      </c>
      <c r="E61" s="13">
        <f>IF(E60&lt;=0,0,MAX(0,E60+AT61-AU61))</f>
        <v/>
      </c>
      <c r="F61" s="13">
        <f>IF(F60&lt;=0,0,MAX(0,F60+AW61-AX61))</f>
        <v/>
      </c>
      <c r="G61" s="13">
        <f>IF(G60&lt;=0,0,MAX(0,G60+AZ61-BA61))</f>
        <v/>
      </c>
      <c r="H61" s="13">
        <f>IF(H60&lt;=0,0,MAX(0,H60+BC61-BD61))</f>
        <v/>
      </c>
      <c r="I61" s="13">
        <f>IF(I60&lt;=0,0,MAX(0,I60+BF61-BG61))</f>
        <v/>
      </c>
      <c r="J61" s="13">
        <f>IF(J60&lt;=0,0,MAX(0,J60+BI61-BJ61))</f>
        <v/>
      </c>
      <c r="K61" s="13">
        <f>IF(K60&lt;=0,0,MAX(0,K60+BL61-BM61))</f>
        <v/>
      </c>
      <c r="L61" s="13">
        <f>IF(L60&lt;=0,0,MAX(0,L60+BO61-BP61))</f>
        <v/>
      </c>
      <c r="M61" s="13">
        <f>IF(M60&lt;=0,0,MAX(0,M60+BR61-BS61))</f>
        <v/>
      </c>
      <c r="N61" s="13">
        <f>IF(N60&lt;=0,0,MAX(0,N60+BU61-BV61))</f>
        <v/>
      </c>
      <c r="O61" s="13">
        <f>IF(O60&lt;=0,0,MAX(0,O60+BX61-BY61))</f>
        <v/>
      </c>
      <c r="P61" s="13">
        <f>IF(P60&lt;=0,0,MAX(0,P60+CA61-CB61))</f>
        <v/>
      </c>
      <c r="Q61" s="13">
        <f>IF(Q60&lt;=0,0,MAX(0,Q60+CD61-CE61))</f>
        <v/>
      </c>
      <c r="R61" s="13">
        <f>IF(R60&lt;=0,0,MAX(0,R60+CG61-CH61))</f>
        <v/>
      </c>
      <c r="S61" s="13">
        <f>IF(S60&lt;=0,0,MAX(0,S60+CJ61-CK61))</f>
        <v/>
      </c>
      <c r="T61" s="13">
        <f>IF(T60&lt;=0,0,MAX(0,T60+CM61-CN61))</f>
        <v/>
      </c>
      <c r="U61" s="13">
        <f>IF(U60&lt;=0,0,MAX(0,U60+CP61-CQ61))</f>
        <v/>
      </c>
      <c r="V61" s="13">
        <f>IF(V60&lt;=0,0,MAX(0,V60+CS61-CT61))</f>
        <v/>
      </c>
      <c r="W61" s="13">
        <f>AO61+AR61+AU61+AX61+BA61+BD61+BG61+BJ61+BM61+BP61+BS61+BV61+BY61+CB61+CE61+CH61+CK61+CN61+CQ61+CT61</f>
        <v/>
      </c>
      <c r="X61" s="13">
        <f>AN61+AQ61+AT61+AW61+AZ61+BC61+BF61+BI61+BL61+BO61+BR61+BU61+BX61+CA61+CD61+CG61+CJ61+CM61+CP61+CS61</f>
        <v/>
      </c>
      <c r="Y61" s="27">
        <f>C61+D61+E61+F61+G61+H61+I61+J61+K61+L61+M61+N61+O61+P61+Q61+R61+S61+T61+U61+V61</f>
        <v/>
      </c>
      <c r="AN61">
        <f>IF(C60&lt;=0,0,C60*$E$5/12)</f>
        <v/>
      </c>
      <c r="AO61">
        <f>IF(C60&lt;=0,0,MIN(C60+AN61,$F$5+(Dashboard!$C$11+IF(C60&lt;=0,$F$5,0)+IF(D60&lt;=0,$F$6,0)+IF(E60&lt;=0,$F$7,0)+IF(F60&lt;=0,$F$8,0)+IF(G60&lt;=0,$F$9,0)+IF(H60&lt;=0,$F$10,0)+IF(I60&lt;=0,$F$11,0)+IF(J60&lt;=0,$F$12,0)+IF(K60&lt;=0,$F$13,0)+IF(L60&lt;=0,$F$14,0)+IF(M60&lt;=0,$F$15,0)+IF(N60&lt;=0,$F$16,0)+IF(O60&lt;=0,$F$17,0)+IF(P60&lt;=0,$F$18,0)+IF(Q60&lt;=0,$F$19,0)+IF(R60&lt;=0,$F$20,0)+IF(S60&lt;=0,$F$21,0)+IF(T60&lt;=0,$F$22,0)+IF(U60&lt;=0,$F$23,0)+IF(V60&lt;=0,$F$24,0))))</f>
        <v/>
      </c>
      <c r="AP61">
        <f>IF(C60&lt;=0,(Dashboard!$C$11+IF(C60&lt;=0,$F$5,0)+IF(D60&lt;=0,$F$6,0)+IF(E60&lt;=0,$F$7,0)+IF(F60&lt;=0,$F$8,0)+IF(G60&lt;=0,$F$9,0)+IF(H60&lt;=0,$F$10,0)+IF(I60&lt;=0,$F$11,0)+IF(J60&lt;=0,$F$12,0)+IF(K60&lt;=0,$F$13,0)+IF(L60&lt;=0,$F$14,0)+IF(M60&lt;=0,$F$15,0)+IF(N60&lt;=0,$F$16,0)+IF(O60&lt;=0,$F$17,0)+IF(P60&lt;=0,$F$18,0)+IF(Q60&lt;=0,$F$19,0)+IF(R60&lt;=0,$F$20,0)+IF(S60&lt;=0,$F$21,0)+IF(T60&lt;=0,$F$22,0)+IF(U60&lt;=0,$F$23,0)+IF(V60&lt;=0,$F$24,0)),MAX(0,$F$5+(Dashboard!$C$11+IF(C60&lt;=0,$F$5,0)+IF(D60&lt;=0,$F$6,0)+IF(E60&lt;=0,$F$7,0)+IF(F60&lt;=0,$F$8,0)+IF(G60&lt;=0,$F$9,0)+IF(H60&lt;=0,$F$10,0)+IF(I60&lt;=0,$F$11,0)+IF(J60&lt;=0,$F$12,0)+IF(K60&lt;=0,$F$13,0)+IF(L60&lt;=0,$F$14,0)+IF(M60&lt;=0,$F$15,0)+IF(N60&lt;=0,$F$16,0)+IF(O60&lt;=0,$F$17,0)+IF(P60&lt;=0,$F$18,0)+IF(Q60&lt;=0,$F$19,0)+IF(R60&lt;=0,$F$20,0)+IF(S60&lt;=0,$F$21,0)+IF(T60&lt;=0,$F$22,0)+IF(U60&lt;=0,$F$23,0)+IF(V60&lt;=0,$F$24,0))-C60-AN61))</f>
        <v/>
      </c>
      <c r="AQ61">
        <f>IF(D60&lt;=0,0,D60*$E$6/12)</f>
        <v/>
      </c>
      <c r="AR61">
        <f>IF(D60&lt;=0,0,MIN(D60+AQ61,$F$6+AP61))</f>
        <v/>
      </c>
      <c r="AS61">
        <f>IF(D60&lt;=0,AP61,MAX(0,$F$6+AP61-D60-AQ61))</f>
        <v/>
      </c>
      <c r="AT61">
        <f>IF(E60&lt;=0,0,E60*$E$7/12)</f>
        <v/>
      </c>
      <c r="AU61">
        <f>IF(E60&lt;=0,0,MIN(E60+AT61,$F$7+AS61))</f>
        <v/>
      </c>
      <c r="AV61">
        <f>IF(E60&lt;=0,AS61,MAX(0,$F$7+AS61-E60-AT61))</f>
        <v/>
      </c>
      <c r="AW61">
        <f>IF(F60&lt;=0,0,F60*$E$8/12)</f>
        <v/>
      </c>
      <c r="AX61">
        <f>IF(F60&lt;=0,0,MIN(F60+AW61,$F$8+AV61))</f>
        <v/>
      </c>
      <c r="AY61">
        <f>IF(F60&lt;=0,AV61,MAX(0,$F$8+AV61-F60-AW61))</f>
        <v/>
      </c>
      <c r="AZ61">
        <f>IF(G60&lt;=0,0,G60*$E$9/12)</f>
        <v/>
      </c>
      <c r="BA61">
        <f>IF(G60&lt;=0,0,MIN(G60+AZ61,$F$9+AY61))</f>
        <v/>
      </c>
      <c r="BB61">
        <f>IF(G60&lt;=0,AY61,MAX(0,$F$9+AY61-G60-AZ61))</f>
        <v/>
      </c>
      <c r="BC61">
        <f>IF(H60&lt;=0,0,H60*$E$10/12)</f>
        <v/>
      </c>
      <c r="BD61">
        <f>IF(H60&lt;=0,0,MIN(H60+BC61,$F$10+BB61))</f>
        <v/>
      </c>
      <c r="BE61">
        <f>IF(H60&lt;=0,BB61,MAX(0,$F$10+BB61-H60-BC61))</f>
        <v/>
      </c>
      <c r="BF61">
        <f>IF(I60&lt;=0,0,I60*$E$11/12)</f>
        <v/>
      </c>
      <c r="BG61">
        <f>IF(I60&lt;=0,0,MIN(I60+BF61,$F$11+BE61))</f>
        <v/>
      </c>
      <c r="BH61">
        <f>IF(I60&lt;=0,BE61,MAX(0,$F$11+BE61-I60-BF61))</f>
        <v/>
      </c>
      <c r="BI61">
        <f>IF(J60&lt;=0,0,J60*$E$12/12)</f>
        <v/>
      </c>
      <c r="BJ61">
        <f>IF(J60&lt;=0,0,MIN(J60+BI61,$F$12+BH61))</f>
        <v/>
      </c>
      <c r="BK61">
        <f>IF(J60&lt;=0,BH61,MAX(0,$F$12+BH61-J60-BI61))</f>
        <v/>
      </c>
      <c r="BL61">
        <f>IF(K60&lt;=0,0,K60*$E$13/12)</f>
        <v/>
      </c>
      <c r="BM61">
        <f>IF(K60&lt;=0,0,MIN(K60+BL61,$F$13+BK61))</f>
        <v/>
      </c>
      <c r="BN61">
        <f>IF(K60&lt;=0,BK61,MAX(0,$F$13+BK61-K60-BL61))</f>
        <v/>
      </c>
      <c r="BO61">
        <f>IF(L60&lt;=0,0,L60*$E$14/12)</f>
        <v/>
      </c>
      <c r="BP61">
        <f>IF(L60&lt;=0,0,MIN(L60+BO61,$F$14+BN61))</f>
        <v/>
      </c>
      <c r="BQ61">
        <f>IF(L60&lt;=0,BN61,MAX(0,$F$14+BN61-L60-BO61))</f>
        <v/>
      </c>
      <c r="BR61">
        <f>IF(M60&lt;=0,0,M60*$E$15/12)</f>
        <v/>
      </c>
      <c r="BS61">
        <f>IF(M60&lt;=0,0,MIN(M60+BR61,$F$15+BQ61))</f>
        <v/>
      </c>
      <c r="BT61">
        <f>IF(M60&lt;=0,BQ61,MAX(0,$F$15+BQ61-M60-BR61))</f>
        <v/>
      </c>
      <c r="BU61">
        <f>IF(N60&lt;=0,0,N60*$E$16/12)</f>
        <v/>
      </c>
      <c r="BV61">
        <f>IF(N60&lt;=0,0,MIN(N60+BU61,$F$16+BT61))</f>
        <v/>
      </c>
      <c r="BW61">
        <f>IF(N60&lt;=0,BT61,MAX(0,$F$16+BT61-N60-BU61))</f>
        <v/>
      </c>
      <c r="BX61">
        <f>IF(O60&lt;=0,0,O60*$E$17/12)</f>
        <v/>
      </c>
      <c r="BY61">
        <f>IF(O60&lt;=0,0,MIN(O60+BX61,$F$17+BW61))</f>
        <v/>
      </c>
      <c r="BZ61">
        <f>IF(O60&lt;=0,BW61,MAX(0,$F$17+BW61-O60-BX61))</f>
        <v/>
      </c>
      <c r="CA61">
        <f>IF(P60&lt;=0,0,P60*$E$18/12)</f>
        <v/>
      </c>
      <c r="CB61">
        <f>IF(P60&lt;=0,0,MIN(P60+CA61,$F$18+BZ61))</f>
        <v/>
      </c>
      <c r="CC61">
        <f>IF(P60&lt;=0,BZ61,MAX(0,$F$18+BZ61-P60-CA61))</f>
        <v/>
      </c>
      <c r="CD61">
        <f>IF(Q60&lt;=0,0,Q60*$E$19/12)</f>
        <v/>
      </c>
      <c r="CE61">
        <f>IF(Q60&lt;=0,0,MIN(Q60+CD61,$F$19+CC61))</f>
        <v/>
      </c>
      <c r="CF61">
        <f>IF(Q60&lt;=0,CC61,MAX(0,$F$19+CC61-Q60-CD61))</f>
        <v/>
      </c>
      <c r="CG61">
        <f>IF(R60&lt;=0,0,R60*$E$20/12)</f>
        <v/>
      </c>
      <c r="CH61">
        <f>IF(R60&lt;=0,0,MIN(R60+CG61,$F$20+CF61))</f>
        <v/>
      </c>
      <c r="CI61">
        <f>IF(R60&lt;=0,CF61,MAX(0,$F$20+CF61-R60-CG61))</f>
        <v/>
      </c>
      <c r="CJ61">
        <f>IF(S60&lt;=0,0,S60*$E$21/12)</f>
        <v/>
      </c>
      <c r="CK61">
        <f>IF(S60&lt;=0,0,MIN(S60+CJ61,$F$21+CI61))</f>
        <v/>
      </c>
      <c r="CL61">
        <f>IF(S60&lt;=0,CI61,MAX(0,$F$21+CI61-S60-CJ61))</f>
        <v/>
      </c>
      <c r="CM61">
        <f>IF(T60&lt;=0,0,T60*$E$22/12)</f>
        <v/>
      </c>
      <c r="CN61">
        <f>IF(T60&lt;=0,0,MIN(T60+CM61,$F$22+CL61))</f>
        <v/>
      </c>
      <c r="CO61">
        <f>IF(T60&lt;=0,CL61,MAX(0,$F$22+CL61-T60-CM61))</f>
        <v/>
      </c>
      <c r="CP61">
        <f>IF(U60&lt;=0,0,U60*$E$23/12)</f>
        <v/>
      </c>
      <c r="CQ61">
        <f>IF(U60&lt;=0,0,MIN(U60+CP61,$F$23+CO61))</f>
        <v/>
      </c>
      <c r="CR61">
        <f>IF(U60&lt;=0,CO61,MAX(0,$F$23+CO61-U60-CP61))</f>
        <v/>
      </c>
      <c r="CS61">
        <f>IF(V60&lt;=0,0,V60*$E$24/12)</f>
        <v/>
      </c>
      <c r="CT61">
        <f>IF(V60&lt;=0,0,MIN(V60+CS61,$F$24+CR61))</f>
        <v/>
      </c>
      <c r="CU61">
        <f>IF(V60&lt;=0,CR61,MAX(0,$F$24+CR61-V60-CS61))</f>
        <v/>
      </c>
    </row>
    <row r="62">
      <c r="B62" s="39" t="n">
        <v>36</v>
      </c>
      <c r="C62" s="13">
        <f>IF(C61&lt;=0,0,MAX(0,C61+AN62-AO62))</f>
        <v/>
      </c>
      <c r="D62" s="13">
        <f>IF(D61&lt;=0,0,MAX(0,D61+AQ62-AR62))</f>
        <v/>
      </c>
      <c r="E62" s="13">
        <f>IF(E61&lt;=0,0,MAX(0,E61+AT62-AU62))</f>
        <v/>
      </c>
      <c r="F62" s="13">
        <f>IF(F61&lt;=0,0,MAX(0,F61+AW62-AX62))</f>
        <v/>
      </c>
      <c r="G62" s="13">
        <f>IF(G61&lt;=0,0,MAX(0,G61+AZ62-BA62))</f>
        <v/>
      </c>
      <c r="H62" s="13">
        <f>IF(H61&lt;=0,0,MAX(0,H61+BC62-BD62))</f>
        <v/>
      </c>
      <c r="I62" s="13">
        <f>IF(I61&lt;=0,0,MAX(0,I61+BF62-BG62))</f>
        <v/>
      </c>
      <c r="J62" s="13">
        <f>IF(J61&lt;=0,0,MAX(0,J61+BI62-BJ62))</f>
        <v/>
      </c>
      <c r="K62" s="13">
        <f>IF(K61&lt;=0,0,MAX(0,K61+BL62-BM62))</f>
        <v/>
      </c>
      <c r="L62" s="13">
        <f>IF(L61&lt;=0,0,MAX(0,L61+BO62-BP62))</f>
        <v/>
      </c>
      <c r="M62" s="13">
        <f>IF(M61&lt;=0,0,MAX(0,M61+BR62-BS62))</f>
        <v/>
      </c>
      <c r="N62" s="13">
        <f>IF(N61&lt;=0,0,MAX(0,N61+BU62-BV62))</f>
        <v/>
      </c>
      <c r="O62" s="13">
        <f>IF(O61&lt;=0,0,MAX(0,O61+BX62-BY62))</f>
        <v/>
      </c>
      <c r="P62" s="13">
        <f>IF(P61&lt;=0,0,MAX(0,P61+CA62-CB62))</f>
        <v/>
      </c>
      <c r="Q62" s="13">
        <f>IF(Q61&lt;=0,0,MAX(0,Q61+CD62-CE62))</f>
        <v/>
      </c>
      <c r="R62" s="13">
        <f>IF(R61&lt;=0,0,MAX(0,R61+CG62-CH62))</f>
        <v/>
      </c>
      <c r="S62" s="13">
        <f>IF(S61&lt;=0,0,MAX(0,S61+CJ62-CK62))</f>
        <v/>
      </c>
      <c r="T62" s="13">
        <f>IF(T61&lt;=0,0,MAX(0,T61+CM62-CN62))</f>
        <v/>
      </c>
      <c r="U62" s="13">
        <f>IF(U61&lt;=0,0,MAX(0,U61+CP62-CQ62))</f>
        <v/>
      </c>
      <c r="V62" s="13">
        <f>IF(V61&lt;=0,0,MAX(0,V61+CS62-CT62))</f>
        <v/>
      </c>
      <c r="W62" s="13">
        <f>AO62+AR62+AU62+AX62+BA62+BD62+BG62+BJ62+BM62+BP62+BS62+BV62+BY62+CB62+CE62+CH62+CK62+CN62+CQ62+CT62</f>
        <v/>
      </c>
      <c r="X62" s="13">
        <f>AN62+AQ62+AT62+AW62+AZ62+BC62+BF62+BI62+BL62+BO62+BR62+BU62+BX62+CA62+CD62+CG62+CJ62+CM62+CP62+CS62</f>
        <v/>
      </c>
      <c r="Y62" s="27">
        <f>C62+D62+E62+F62+G62+H62+I62+J62+K62+L62+M62+N62+O62+P62+Q62+R62+S62+T62+U62+V62</f>
        <v/>
      </c>
      <c r="AN62">
        <f>IF(C61&lt;=0,0,C61*$E$5/12)</f>
        <v/>
      </c>
      <c r="AO62">
        <f>IF(C61&lt;=0,0,MIN(C61+AN62,$F$5+(Dashboard!$C$11+IF(C61&lt;=0,$F$5,0)+IF(D61&lt;=0,$F$6,0)+IF(E61&lt;=0,$F$7,0)+IF(F61&lt;=0,$F$8,0)+IF(G61&lt;=0,$F$9,0)+IF(H61&lt;=0,$F$10,0)+IF(I61&lt;=0,$F$11,0)+IF(J61&lt;=0,$F$12,0)+IF(K61&lt;=0,$F$13,0)+IF(L61&lt;=0,$F$14,0)+IF(M61&lt;=0,$F$15,0)+IF(N61&lt;=0,$F$16,0)+IF(O61&lt;=0,$F$17,0)+IF(P61&lt;=0,$F$18,0)+IF(Q61&lt;=0,$F$19,0)+IF(R61&lt;=0,$F$20,0)+IF(S61&lt;=0,$F$21,0)+IF(T61&lt;=0,$F$22,0)+IF(U61&lt;=0,$F$23,0)+IF(V61&lt;=0,$F$24,0))))</f>
        <v/>
      </c>
      <c r="AP62">
        <f>IF(C61&lt;=0,(Dashboard!$C$11+IF(C61&lt;=0,$F$5,0)+IF(D61&lt;=0,$F$6,0)+IF(E61&lt;=0,$F$7,0)+IF(F61&lt;=0,$F$8,0)+IF(G61&lt;=0,$F$9,0)+IF(H61&lt;=0,$F$10,0)+IF(I61&lt;=0,$F$11,0)+IF(J61&lt;=0,$F$12,0)+IF(K61&lt;=0,$F$13,0)+IF(L61&lt;=0,$F$14,0)+IF(M61&lt;=0,$F$15,0)+IF(N61&lt;=0,$F$16,0)+IF(O61&lt;=0,$F$17,0)+IF(P61&lt;=0,$F$18,0)+IF(Q61&lt;=0,$F$19,0)+IF(R61&lt;=0,$F$20,0)+IF(S61&lt;=0,$F$21,0)+IF(T61&lt;=0,$F$22,0)+IF(U61&lt;=0,$F$23,0)+IF(V61&lt;=0,$F$24,0)),MAX(0,$F$5+(Dashboard!$C$11+IF(C61&lt;=0,$F$5,0)+IF(D61&lt;=0,$F$6,0)+IF(E61&lt;=0,$F$7,0)+IF(F61&lt;=0,$F$8,0)+IF(G61&lt;=0,$F$9,0)+IF(H61&lt;=0,$F$10,0)+IF(I61&lt;=0,$F$11,0)+IF(J61&lt;=0,$F$12,0)+IF(K61&lt;=0,$F$13,0)+IF(L61&lt;=0,$F$14,0)+IF(M61&lt;=0,$F$15,0)+IF(N61&lt;=0,$F$16,0)+IF(O61&lt;=0,$F$17,0)+IF(P61&lt;=0,$F$18,0)+IF(Q61&lt;=0,$F$19,0)+IF(R61&lt;=0,$F$20,0)+IF(S61&lt;=0,$F$21,0)+IF(T61&lt;=0,$F$22,0)+IF(U61&lt;=0,$F$23,0)+IF(V61&lt;=0,$F$24,0))-C61-AN62))</f>
        <v/>
      </c>
      <c r="AQ62">
        <f>IF(D61&lt;=0,0,D61*$E$6/12)</f>
        <v/>
      </c>
      <c r="AR62">
        <f>IF(D61&lt;=0,0,MIN(D61+AQ62,$F$6+AP62))</f>
        <v/>
      </c>
      <c r="AS62">
        <f>IF(D61&lt;=0,AP62,MAX(0,$F$6+AP62-D61-AQ62))</f>
        <v/>
      </c>
      <c r="AT62">
        <f>IF(E61&lt;=0,0,E61*$E$7/12)</f>
        <v/>
      </c>
      <c r="AU62">
        <f>IF(E61&lt;=0,0,MIN(E61+AT62,$F$7+AS62))</f>
        <v/>
      </c>
      <c r="AV62">
        <f>IF(E61&lt;=0,AS62,MAX(0,$F$7+AS62-E61-AT62))</f>
        <v/>
      </c>
      <c r="AW62">
        <f>IF(F61&lt;=0,0,F61*$E$8/12)</f>
        <v/>
      </c>
      <c r="AX62">
        <f>IF(F61&lt;=0,0,MIN(F61+AW62,$F$8+AV62))</f>
        <v/>
      </c>
      <c r="AY62">
        <f>IF(F61&lt;=0,AV62,MAX(0,$F$8+AV62-F61-AW62))</f>
        <v/>
      </c>
      <c r="AZ62">
        <f>IF(G61&lt;=0,0,G61*$E$9/12)</f>
        <v/>
      </c>
      <c r="BA62">
        <f>IF(G61&lt;=0,0,MIN(G61+AZ62,$F$9+AY62))</f>
        <v/>
      </c>
      <c r="BB62">
        <f>IF(G61&lt;=0,AY62,MAX(0,$F$9+AY62-G61-AZ62))</f>
        <v/>
      </c>
      <c r="BC62">
        <f>IF(H61&lt;=0,0,H61*$E$10/12)</f>
        <v/>
      </c>
      <c r="BD62">
        <f>IF(H61&lt;=0,0,MIN(H61+BC62,$F$10+BB62))</f>
        <v/>
      </c>
      <c r="BE62">
        <f>IF(H61&lt;=0,BB62,MAX(0,$F$10+BB62-H61-BC62))</f>
        <v/>
      </c>
      <c r="BF62">
        <f>IF(I61&lt;=0,0,I61*$E$11/12)</f>
        <v/>
      </c>
      <c r="BG62">
        <f>IF(I61&lt;=0,0,MIN(I61+BF62,$F$11+BE62))</f>
        <v/>
      </c>
      <c r="BH62">
        <f>IF(I61&lt;=0,BE62,MAX(0,$F$11+BE62-I61-BF62))</f>
        <v/>
      </c>
      <c r="BI62">
        <f>IF(J61&lt;=0,0,J61*$E$12/12)</f>
        <v/>
      </c>
      <c r="BJ62">
        <f>IF(J61&lt;=0,0,MIN(J61+BI62,$F$12+BH62))</f>
        <v/>
      </c>
      <c r="BK62">
        <f>IF(J61&lt;=0,BH62,MAX(0,$F$12+BH62-J61-BI62))</f>
        <v/>
      </c>
      <c r="BL62">
        <f>IF(K61&lt;=0,0,K61*$E$13/12)</f>
        <v/>
      </c>
      <c r="BM62">
        <f>IF(K61&lt;=0,0,MIN(K61+BL62,$F$13+BK62))</f>
        <v/>
      </c>
      <c r="BN62">
        <f>IF(K61&lt;=0,BK62,MAX(0,$F$13+BK62-K61-BL62))</f>
        <v/>
      </c>
      <c r="BO62">
        <f>IF(L61&lt;=0,0,L61*$E$14/12)</f>
        <v/>
      </c>
      <c r="BP62">
        <f>IF(L61&lt;=0,0,MIN(L61+BO62,$F$14+BN62))</f>
        <v/>
      </c>
      <c r="BQ62">
        <f>IF(L61&lt;=0,BN62,MAX(0,$F$14+BN62-L61-BO62))</f>
        <v/>
      </c>
      <c r="BR62">
        <f>IF(M61&lt;=0,0,M61*$E$15/12)</f>
        <v/>
      </c>
      <c r="BS62">
        <f>IF(M61&lt;=0,0,MIN(M61+BR62,$F$15+BQ62))</f>
        <v/>
      </c>
      <c r="BT62">
        <f>IF(M61&lt;=0,BQ62,MAX(0,$F$15+BQ62-M61-BR62))</f>
        <v/>
      </c>
      <c r="BU62">
        <f>IF(N61&lt;=0,0,N61*$E$16/12)</f>
        <v/>
      </c>
      <c r="BV62">
        <f>IF(N61&lt;=0,0,MIN(N61+BU62,$F$16+BT62))</f>
        <v/>
      </c>
      <c r="BW62">
        <f>IF(N61&lt;=0,BT62,MAX(0,$F$16+BT62-N61-BU62))</f>
        <v/>
      </c>
      <c r="BX62">
        <f>IF(O61&lt;=0,0,O61*$E$17/12)</f>
        <v/>
      </c>
      <c r="BY62">
        <f>IF(O61&lt;=0,0,MIN(O61+BX62,$F$17+BW62))</f>
        <v/>
      </c>
      <c r="BZ62">
        <f>IF(O61&lt;=0,BW62,MAX(0,$F$17+BW62-O61-BX62))</f>
        <v/>
      </c>
      <c r="CA62">
        <f>IF(P61&lt;=0,0,P61*$E$18/12)</f>
        <v/>
      </c>
      <c r="CB62">
        <f>IF(P61&lt;=0,0,MIN(P61+CA62,$F$18+BZ62))</f>
        <v/>
      </c>
      <c r="CC62">
        <f>IF(P61&lt;=0,BZ62,MAX(0,$F$18+BZ62-P61-CA62))</f>
        <v/>
      </c>
      <c r="CD62">
        <f>IF(Q61&lt;=0,0,Q61*$E$19/12)</f>
        <v/>
      </c>
      <c r="CE62">
        <f>IF(Q61&lt;=0,0,MIN(Q61+CD62,$F$19+CC62))</f>
        <v/>
      </c>
      <c r="CF62">
        <f>IF(Q61&lt;=0,CC62,MAX(0,$F$19+CC62-Q61-CD62))</f>
        <v/>
      </c>
      <c r="CG62">
        <f>IF(R61&lt;=0,0,R61*$E$20/12)</f>
        <v/>
      </c>
      <c r="CH62">
        <f>IF(R61&lt;=0,0,MIN(R61+CG62,$F$20+CF62))</f>
        <v/>
      </c>
      <c r="CI62">
        <f>IF(R61&lt;=0,CF62,MAX(0,$F$20+CF62-R61-CG62))</f>
        <v/>
      </c>
      <c r="CJ62">
        <f>IF(S61&lt;=0,0,S61*$E$21/12)</f>
        <v/>
      </c>
      <c r="CK62">
        <f>IF(S61&lt;=0,0,MIN(S61+CJ62,$F$21+CI62))</f>
        <v/>
      </c>
      <c r="CL62">
        <f>IF(S61&lt;=0,CI62,MAX(0,$F$21+CI62-S61-CJ62))</f>
        <v/>
      </c>
      <c r="CM62">
        <f>IF(T61&lt;=0,0,T61*$E$22/12)</f>
        <v/>
      </c>
      <c r="CN62">
        <f>IF(T61&lt;=0,0,MIN(T61+CM62,$F$22+CL62))</f>
        <v/>
      </c>
      <c r="CO62">
        <f>IF(T61&lt;=0,CL62,MAX(0,$F$22+CL62-T61-CM62))</f>
        <v/>
      </c>
      <c r="CP62">
        <f>IF(U61&lt;=0,0,U61*$E$23/12)</f>
        <v/>
      </c>
      <c r="CQ62">
        <f>IF(U61&lt;=0,0,MIN(U61+CP62,$F$23+CO62))</f>
        <v/>
      </c>
      <c r="CR62">
        <f>IF(U61&lt;=0,CO62,MAX(0,$F$23+CO62-U61-CP62))</f>
        <v/>
      </c>
      <c r="CS62">
        <f>IF(V61&lt;=0,0,V61*$E$24/12)</f>
        <v/>
      </c>
      <c r="CT62">
        <f>IF(V61&lt;=0,0,MIN(V61+CS62,$F$24+CR62))</f>
        <v/>
      </c>
      <c r="CU62">
        <f>IF(V61&lt;=0,CR62,MAX(0,$F$24+CR62-V61-CS62))</f>
        <v/>
      </c>
    </row>
    <row r="63">
      <c r="B63" s="39" t="n">
        <v>37</v>
      </c>
      <c r="C63" s="13">
        <f>IF(C62&lt;=0,0,MAX(0,C62+AN63-AO63))</f>
        <v/>
      </c>
      <c r="D63" s="13">
        <f>IF(D62&lt;=0,0,MAX(0,D62+AQ63-AR63))</f>
        <v/>
      </c>
      <c r="E63" s="13">
        <f>IF(E62&lt;=0,0,MAX(0,E62+AT63-AU63))</f>
        <v/>
      </c>
      <c r="F63" s="13">
        <f>IF(F62&lt;=0,0,MAX(0,F62+AW63-AX63))</f>
        <v/>
      </c>
      <c r="G63" s="13">
        <f>IF(G62&lt;=0,0,MAX(0,G62+AZ63-BA63))</f>
        <v/>
      </c>
      <c r="H63" s="13">
        <f>IF(H62&lt;=0,0,MAX(0,H62+BC63-BD63))</f>
        <v/>
      </c>
      <c r="I63" s="13">
        <f>IF(I62&lt;=0,0,MAX(0,I62+BF63-BG63))</f>
        <v/>
      </c>
      <c r="J63" s="13">
        <f>IF(J62&lt;=0,0,MAX(0,J62+BI63-BJ63))</f>
        <v/>
      </c>
      <c r="K63" s="13">
        <f>IF(K62&lt;=0,0,MAX(0,K62+BL63-BM63))</f>
        <v/>
      </c>
      <c r="L63" s="13">
        <f>IF(L62&lt;=0,0,MAX(0,L62+BO63-BP63))</f>
        <v/>
      </c>
      <c r="M63" s="13">
        <f>IF(M62&lt;=0,0,MAX(0,M62+BR63-BS63))</f>
        <v/>
      </c>
      <c r="N63" s="13">
        <f>IF(N62&lt;=0,0,MAX(0,N62+BU63-BV63))</f>
        <v/>
      </c>
      <c r="O63" s="13">
        <f>IF(O62&lt;=0,0,MAX(0,O62+BX63-BY63))</f>
        <v/>
      </c>
      <c r="P63" s="13">
        <f>IF(P62&lt;=0,0,MAX(0,P62+CA63-CB63))</f>
        <v/>
      </c>
      <c r="Q63" s="13">
        <f>IF(Q62&lt;=0,0,MAX(0,Q62+CD63-CE63))</f>
        <v/>
      </c>
      <c r="R63" s="13">
        <f>IF(R62&lt;=0,0,MAX(0,R62+CG63-CH63))</f>
        <v/>
      </c>
      <c r="S63" s="13">
        <f>IF(S62&lt;=0,0,MAX(0,S62+CJ63-CK63))</f>
        <v/>
      </c>
      <c r="T63" s="13">
        <f>IF(T62&lt;=0,0,MAX(0,T62+CM63-CN63))</f>
        <v/>
      </c>
      <c r="U63" s="13">
        <f>IF(U62&lt;=0,0,MAX(0,U62+CP63-CQ63))</f>
        <v/>
      </c>
      <c r="V63" s="13">
        <f>IF(V62&lt;=0,0,MAX(0,V62+CS63-CT63))</f>
        <v/>
      </c>
      <c r="W63" s="13">
        <f>AO63+AR63+AU63+AX63+BA63+BD63+BG63+BJ63+BM63+BP63+BS63+BV63+BY63+CB63+CE63+CH63+CK63+CN63+CQ63+CT63</f>
        <v/>
      </c>
      <c r="X63" s="13">
        <f>AN63+AQ63+AT63+AW63+AZ63+BC63+BF63+BI63+BL63+BO63+BR63+BU63+BX63+CA63+CD63+CG63+CJ63+CM63+CP63+CS63</f>
        <v/>
      </c>
      <c r="Y63" s="27">
        <f>C63+D63+E63+F63+G63+H63+I63+J63+K63+L63+M63+N63+O63+P63+Q63+R63+S63+T63+U63+V63</f>
        <v/>
      </c>
      <c r="AN63">
        <f>IF(C62&lt;=0,0,C62*$E$5/12)</f>
        <v/>
      </c>
      <c r="AO63">
        <f>IF(C62&lt;=0,0,MIN(C62+AN63,$F$5+(Dashboard!$C$11+IF(C62&lt;=0,$F$5,0)+IF(D62&lt;=0,$F$6,0)+IF(E62&lt;=0,$F$7,0)+IF(F62&lt;=0,$F$8,0)+IF(G62&lt;=0,$F$9,0)+IF(H62&lt;=0,$F$10,0)+IF(I62&lt;=0,$F$11,0)+IF(J62&lt;=0,$F$12,0)+IF(K62&lt;=0,$F$13,0)+IF(L62&lt;=0,$F$14,0)+IF(M62&lt;=0,$F$15,0)+IF(N62&lt;=0,$F$16,0)+IF(O62&lt;=0,$F$17,0)+IF(P62&lt;=0,$F$18,0)+IF(Q62&lt;=0,$F$19,0)+IF(R62&lt;=0,$F$20,0)+IF(S62&lt;=0,$F$21,0)+IF(T62&lt;=0,$F$22,0)+IF(U62&lt;=0,$F$23,0)+IF(V62&lt;=0,$F$24,0))))</f>
        <v/>
      </c>
      <c r="AP63">
        <f>IF(C62&lt;=0,(Dashboard!$C$11+IF(C62&lt;=0,$F$5,0)+IF(D62&lt;=0,$F$6,0)+IF(E62&lt;=0,$F$7,0)+IF(F62&lt;=0,$F$8,0)+IF(G62&lt;=0,$F$9,0)+IF(H62&lt;=0,$F$10,0)+IF(I62&lt;=0,$F$11,0)+IF(J62&lt;=0,$F$12,0)+IF(K62&lt;=0,$F$13,0)+IF(L62&lt;=0,$F$14,0)+IF(M62&lt;=0,$F$15,0)+IF(N62&lt;=0,$F$16,0)+IF(O62&lt;=0,$F$17,0)+IF(P62&lt;=0,$F$18,0)+IF(Q62&lt;=0,$F$19,0)+IF(R62&lt;=0,$F$20,0)+IF(S62&lt;=0,$F$21,0)+IF(T62&lt;=0,$F$22,0)+IF(U62&lt;=0,$F$23,0)+IF(V62&lt;=0,$F$24,0)),MAX(0,$F$5+(Dashboard!$C$11+IF(C62&lt;=0,$F$5,0)+IF(D62&lt;=0,$F$6,0)+IF(E62&lt;=0,$F$7,0)+IF(F62&lt;=0,$F$8,0)+IF(G62&lt;=0,$F$9,0)+IF(H62&lt;=0,$F$10,0)+IF(I62&lt;=0,$F$11,0)+IF(J62&lt;=0,$F$12,0)+IF(K62&lt;=0,$F$13,0)+IF(L62&lt;=0,$F$14,0)+IF(M62&lt;=0,$F$15,0)+IF(N62&lt;=0,$F$16,0)+IF(O62&lt;=0,$F$17,0)+IF(P62&lt;=0,$F$18,0)+IF(Q62&lt;=0,$F$19,0)+IF(R62&lt;=0,$F$20,0)+IF(S62&lt;=0,$F$21,0)+IF(T62&lt;=0,$F$22,0)+IF(U62&lt;=0,$F$23,0)+IF(V62&lt;=0,$F$24,0))-C62-AN63))</f>
        <v/>
      </c>
      <c r="AQ63">
        <f>IF(D62&lt;=0,0,D62*$E$6/12)</f>
        <v/>
      </c>
      <c r="AR63">
        <f>IF(D62&lt;=0,0,MIN(D62+AQ63,$F$6+AP63))</f>
        <v/>
      </c>
      <c r="AS63">
        <f>IF(D62&lt;=0,AP63,MAX(0,$F$6+AP63-D62-AQ63))</f>
        <v/>
      </c>
      <c r="AT63">
        <f>IF(E62&lt;=0,0,E62*$E$7/12)</f>
        <v/>
      </c>
      <c r="AU63">
        <f>IF(E62&lt;=0,0,MIN(E62+AT63,$F$7+AS63))</f>
        <v/>
      </c>
      <c r="AV63">
        <f>IF(E62&lt;=0,AS63,MAX(0,$F$7+AS63-E62-AT63))</f>
        <v/>
      </c>
      <c r="AW63">
        <f>IF(F62&lt;=0,0,F62*$E$8/12)</f>
        <v/>
      </c>
      <c r="AX63">
        <f>IF(F62&lt;=0,0,MIN(F62+AW63,$F$8+AV63))</f>
        <v/>
      </c>
      <c r="AY63">
        <f>IF(F62&lt;=0,AV63,MAX(0,$F$8+AV63-F62-AW63))</f>
        <v/>
      </c>
      <c r="AZ63">
        <f>IF(G62&lt;=0,0,G62*$E$9/12)</f>
        <v/>
      </c>
      <c r="BA63">
        <f>IF(G62&lt;=0,0,MIN(G62+AZ63,$F$9+AY63))</f>
        <v/>
      </c>
      <c r="BB63">
        <f>IF(G62&lt;=0,AY63,MAX(0,$F$9+AY63-G62-AZ63))</f>
        <v/>
      </c>
      <c r="BC63">
        <f>IF(H62&lt;=0,0,H62*$E$10/12)</f>
        <v/>
      </c>
      <c r="BD63">
        <f>IF(H62&lt;=0,0,MIN(H62+BC63,$F$10+BB63))</f>
        <v/>
      </c>
      <c r="BE63">
        <f>IF(H62&lt;=0,BB63,MAX(0,$F$10+BB63-H62-BC63))</f>
        <v/>
      </c>
      <c r="BF63">
        <f>IF(I62&lt;=0,0,I62*$E$11/12)</f>
        <v/>
      </c>
      <c r="BG63">
        <f>IF(I62&lt;=0,0,MIN(I62+BF63,$F$11+BE63))</f>
        <v/>
      </c>
      <c r="BH63">
        <f>IF(I62&lt;=0,BE63,MAX(0,$F$11+BE63-I62-BF63))</f>
        <v/>
      </c>
      <c r="BI63">
        <f>IF(J62&lt;=0,0,J62*$E$12/12)</f>
        <v/>
      </c>
      <c r="BJ63">
        <f>IF(J62&lt;=0,0,MIN(J62+BI63,$F$12+BH63))</f>
        <v/>
      </c>
      <c r="BK63">
        <f>IF(J62&lt;=0,BH63,MAX(0,$F$12+BH63-J62-BI63))</f>
        <v/>
      </c>
      <c r="BL63">
        <f>IF(K62&lt;=0,0,K62*$E$13/12)</f>
        <v/>
      </c>
      <c r="BM63">
        <f>IF(K62&lt;=0,0,MIN(K62+BL63,$F$13+BK63))</f>
        <v/>
      </c>
      <c r="BN63">
        <f>IF(K62&lt;=0,BK63,MAX(0,$F$13+BK63-K62-BL63))</f>
        <v/>
      </c>
      <c r="BO63">
        <f>IF(L62&lt;=0,0,L62*$E$14/12)</f>
        <v/>
      </c>
      <c r="BP63">
        <f>IF(L62&lt;=0,0,MIN(L62+BO63,$F$14+BN63))</f>
        <v/>
      </c>
      <c r="BQ63">
        <f>IF(L62&lt;=0,BN63,MAX(0,$F$14+BN63-L62-BO63))</f>
        <v/>
      </c>
      <c r="BR63">
        <f>IF(M62&lt;=0,0,M62*$E$15/12)</f>
        <v/>
      </c>
      <c r="BS63">
        <f>IF(M62&lt;=0,0,MIN(M62+BR63,$F$15+BQ63))</f>
        <v/>
      </c>
      <c r="BT63">
        <f>IF(M62&lt;=0,BQ63,MAX(0,$F$15+BQ63-M62-BR63))</f>
        <v/>
      </c>
      <c r="BU63">
        <f>IF(N62&lt;=0,0,N62*$E$16/12)</f>
        <v/>
      </c>
      <c r="BV63">
        <f>IF(N62&lt;=0,0,MIN(N62+BU63,$F$16+BT63))</f>
        <v/>
      </c>
      <c r="BW63">
        <f>IF(N62&lt;=0,BT63,MAX(0,$F$16+BT63-N62-BU63))</f>
        <v/>
      </c>
      <c r="BX63">
        <f>IF(O62&lt;=0,0,O62*$E$17/12)</f>
        <v/>
      </c>
      <c r="BY63">
        <f>IF(O62&lt;=0,0,MIN(O62+BX63,$F$17+BW63))</f>
        <v/>
      </c>
      <c r="BZ63">
        <f>IF(O62&lt;=0,BW63,MAX(0,$F$17+BW63-O62-BX63))</f>
        <v/>
      </c>
      <c r="CA63">
        <f>IF(P62&lt;=0,0,P62*$E$18/12)</f>
        <v/>
      </c>
      <c r="CB63">
        <f>IF(P62&lt;=0,0,MIN(P62+CA63,$F$18+BZ63))</f>
        <v/>
      </c>
      <c r="CC63">
        <f>IF(P62&lt;=0,BZ63,MAX(0,$F$18+BZ63-P62-CA63))</f>
        <v/>
      </c>
      <c r="CD63">
        <f>IF(Q62&lt;=0,0,Q62*$E$19/12)</f>
        <v/>
      </c>
      <c r="CE63">
        <f>IF(Q62&lt;=0,0,MIN(Q62+CD63,$F$19+CC63))</f>
        <v/>
      </c>
      <c r="CF63">
        <f>IF(Q62&lt;=0,CC63,MAX(0,$F$19+CC63-Q62-CD63))</f>
        <v/>
      </c>
      <c r="CG63">
        <f>IF(R62&lt;=0,0,R62*$E$20/12)</f>
        <v/>
      </c>
      <c r="CH63">
        <f>IF(R62&lt;=0,0,MIN(R62+CG63,$F$20+CF63))</f>
        <v/>
      </c>
      <c r="CI63">
        <f>IF(R62&lt;=0,CF63,MAX(0,$F$20+CF63-R62-CG63))</f>
        <v/>
      </c>
      <c r="CJ63">
        <f>IF(S62&lt;=0,0,S62*$E$21/12)</f>
        <v/>
      </c>
      <c r="CK63">
        <f>IF(S62&lt;=0,0,MIN(S62+CJ63,$F$21+CI63))</f>
        <v/>
      </c>
      <c r="CL63">
        <f>IF(S62&lt;=0,CI63,MAX(0,$F$21+CI63-S62-CJ63))</f>
        <v/>
      </c>
      <c r="CM63">
        <f>IF(T62&lt;=0,0,T62*$E$22/12)</f>
        <v/>
      </c>
      <c r="CN63">
        <f>IF(T62&lt;=0,0,MIN(T62+CM63,$F$22+CL63))</f>
        <v/>
      </c>
      <c r="CO63">
        <f>IF(T62&lt;=0,CL63,MAX(0,$F$22+CL63-T62-CM63))</f>
        <v/>
      </c>
      <c r="CP63">
        <f>IF(U62&lt;=0,0,U62*$E$23/12)</f>
        <v/>
      </c>
      <c r="CQ63">
        <f>IF(U62&lt;=0,0,MIN(U62+CP63,$F$23+CO63))</f>
        <v/>
      </c>
      <c r="CR63">
        <f>IF(U62&lt;=0,CO63,MAX(0,$F$23+CO63-U62-CP63))</f>
        <v/>
      </c>
      <c r="CS63">
        <f>IF(V62&lt;=0,0,V62*$E$24/12)</f>
        <v/>
      </c>
      <c r="CT63">
        <f>IF(V62&lt;=0,0,MIN(V62+CS63,$F$24+CR63))</f>
        <v/>
      </c>
      <c r="CU63">
        <f>IF(V62&lt;=0,CR63,MAX(0,$F$24+CR63-V62-CS63))</f>
        <v/>
      </c>
    </row>
    <row r="64">
      <c r="B64" s="39" t="n">
        <v>38</v>
      </c>
      <c r="C64" s="13">
        <f>IF(C63&lt;=0,0,MAX(0,C63+AN64-AO64))</f>
        <v/>
      </c>
      <c r="D64" s="13">
        <f>IF(D63&lt;=0,0,MAX(0,D63+AQ64-AR64))</f>
        <v/>
      </c>
      <c r="E64" s="13">
        <f>IF(E63&lt;=0,0,MAX(0,E63+AT64-AU64))</f>
        <v/>
      </c>
      <c r="F64" s="13">
        <f>IF(F63&lt;=0,0,MAX(0,F63+AW64-AX64))</f>
        <v/>
      </c>
      <c r="G64" s="13">
        <f>IF(G63&lt;=0,0,MAX(0,G63+AZ64-BA64))</f>
        <v/>
      </c>
      <c r="H64" s="13">
        <f>IF(H63&lt;=0,0,MAX(0,H63+BC64-BD64))</f>
        <v/>
      </c>
      <c r="I64" s="13">
        <f>IF(I63&lt;=0,0,MAX(0,I63+BF64-BG64))</f>
        <v/>
      </c>
      <c r="J64" s="13">
        <f>IF(J63&lt;=0,0,MAX(0,J63+BI64-BJ64))</f>
        <v/>
      </c>
      <c r="K64" s="13">
        <f>IF(K63&lt;=0,0,MAX(0,K63+BL64-BM64))</f>
        <v/>
      </c>
      <c r="L64" s="13">
        <f>IF(L63&lt;=0,0,MAX(0,L63+BO64-BP64))</f>
        <v/>
      </c>
      <c r="M64" s="13">
        <f>IF(M63&lt;=0,0,MAX(0,M63+BR64-BS64))</f>
        <v/>
      </c>
      <c r="N64" s="13">
        <f>IF(N63&lt;=0,0,MAX(0,N63+BU64-BV64))</f>
        <v/>
      </c>
      <c r="O64" s="13">
        <f>IF(O63&lt;=0,0,MAX(0,O63+BX64-BY64))</f>
        <v/>
      </c>
      <c r="P64" s="13">
        <f>IF(P63&lt;=0,0,MAX(0,P63+CA64-CB64))</f>
        <v/>
      </c>
      <c r="Q64" s="13">
        <f>IF(Q63&lt;=0,0,MAX(0,Q63+CD64-CE64))</f>
        <v/>
      </c>
      <c r="R64" s="13">
        <f>IF(R63&lt;=0,0,MAX(0,R63+CG64-CH64))</f>
        <v/>
      </c>
      <c r="S64" s="13">
        <f>IF(S63&lt;=0,0,MAX(0,S63+CJ64-CK64))</f>
        <v/>
      </c>
      <c r="T64" s="13">
        <f>IF(T63&lt;=0,0,MAX(0,T63+CM64-CN64))</f>
        <v/>
      </c>
      <c r="U64" s="13">
        <f>IF(U63&lt;=0,0,MAX(0,U63+CP64-CQ64))</f>
        <v/>
      </c>
      <c r="V64" s="13">
        <f>IF(V63&lt;=0,0,MAX(0,V63+CS64-CT64))</f>
        <v/>
      </c>
      <c r="W64" s="13">
        <f>AO64+AR64+AU64+AX64+BA64+BD64+BG64+BJ64+BM64+BP64+BS64+BV64+BY64+CB64+CE64+CH64+CK64+CN64+CQ64+CT64</f>
        <v/>
      </c>
      <c r="X64" s="13">
        <f>AN64+AQ64+AT64+AW64+AZ64+BC64+BF64+BI64+BL64+BO64+BR64+BU64+BX64+CA64+CD64+CG64+CJ64+CM64+CP64+CS64</f>
        <v/>
      </c>
      <c r="Y64" s="27">
        <f>C64+D64+E64+F64+G64+H64+I64+J64+K64+L64+M64+N64+O64+P64+Q64+R64+S64+T64+U64+V64</f>
        <v/>
      </c>
      <c r="AN64">
        <f>IF(C63&lt;=0,0,C63*$E$5/12)</f>
        <v/>
      </c>
      <c r="AO64">
        <f>IF(C63&lt;=0,0,MIN(C63+AN64,$F$5+(Dashboard!$C$11+IF(C63&lt;=0,$F$5,0)+IF(D63&lt;=0,$F$6,0)+IF(E63&lt;=0,$F$7,0)+IF(F63&lt;=0,$F$8,0)+IF(G63&lt;=0,$F$9,0)+IF(H63&lt;=0,$F$10,0)+IF(I63&lt;=0,$F$11,0)+IF(J63&lt;=0,$F$12,0)+IF(K63&lt;=0,$F$13,0)+IF(L63&lt;=0,$F$14,0)+IF(M63&lt;=0,$F$15,0)+IF(N63&lt;=0,$F$16,0)+IF(O63&lt;=0,$F$17,0)+IF(P63&lt;=0,$F$18,0)+IF(Q63&lt;=0,$F$19,0)+IF(R63&lt;=0,$F$20,0)+IF(S63&lt;=0,$F$21,0)+IF(T63&lt;=0,$F$22,0)+IF(U63&lt;=0,$F$23,0)+IF(V63&lt;=0,$F$24,0))))</f>
        <v/>
      </c>
      <c r="AP64">
        <f>IF(C63&lt;=0,(Dashboard!$C$11+IF(C63&lt;=0,$F$5,0)+IF(D63&lt;=0,$F$6,0)+IF(E63&lt;=0,$F$7,0)+IF(F63&lt;=0,$F$8,0)+IF(G63&lt;=0,$F$9,0)+IF(H63&lt;=0,$F$10,0)+IF(I63&lt;=0,$F$11,0)+IF(J63&lt;=0,$F$12,0)+IF(K63&lt;=0,$F$13,0)+IF(L63&lt;=0,$F$14,0)+IF(M63&lt;=0,$F$15,0)+IF(N63&lt;=0,$F$16,0)+IF(O63&lt;=0,$F$17,0)+IF(P63&lt;=0,$F$18,0)+IF(Q63&lt;=0,$F$19,0)+IF(R63&lt;=0,$F$20,0)+IF(S63&lt;=0,$F$21,0)+IF(T63&lt;=0,$F$22,0)+IF(U63&lt;=0,$F$23,0)+IF(V63&lt;=0,$F$24,0)),MAX(0,$F$5+(Dashboard!$C$11+IF(C63&lt;=0,$F$5,0)+IF(D63&lt;=0,$F$6,0)+IF(E63&lt;=0,$F$7,0)+IF(F63&lt;=0,$F$8,0)+IF(G63&lt;=0,$F$9,0)+IF(H63&lt;=0,$F$10,0)+IF(I63&lt;=0,$F$11,0)+IF(J63&lt;=0,$F$12,0)+IF(K63&lt;=0,$F$13,0)+IF(L63&lt;=0,$F$14,0)+IF(M63&lt;=0,$F$15,0)+IF(N63&lt;=0,$F$16,0)+IF(O63&lt;=0,$F$17,0)+IF(P63&lt;=0,$F$18,0)+IF(Q63&lt;=0,$F$19,0)+IF(R63&lt;=0,$F$20,0)+IF(S63&lt;=0,$F$21,0)+IF(T63&lt;=0,$F$22,0)+IF(U63&lt;=0,$F$23,0)+IF(V63&lt;=0,$F$24,0))-C63-AN64))</f>
        <v/>
      </c>
      <c r="AQ64">
        <f>IF(D63&lt;=0,0,D63*$E$6/12)</f>
        <v/>
      </c>
      <c r="AR64">
        <f>IF(D63&lt;=0,0,MIN(D63+AQ64,$F$6+AP64))</f>
        <v/>
      </c>
      <c r="AS64">
        <f>IF(D63&lt;=0,AP64,MAX(0,$F$6+AP64-D63-AQ64))</f>
        <v/>
      </c>
      <c r="AT64">
        <f>IF(E63&lt;=0,0,E63*$E$7/12)</f>
        <v/>
      </c>
      <c r="AU64">
        <f>IF(E63&lt;=0,0,MIN(E63+AT64,$F$7+AS64))</f>
        <v/>
      </c>
      <c r="AV64">
        <f>IF(E63&lt;=0,AS64,MAX(0,$F$7+AS64-E63-AT64))</f>
        <v/>
      </c>
      <c r="AW64">
        <f>IF(F63&lt;=0,0,F63*$E$8/12)</f>
        <v/>
      </c>
      <c r="AX64">
        <f>IF(F63&lt;=0,0,MIN(F63+AW64,$F$8+AV64))</f>
        <v/>
      </c>
      <c r="AY64">
        <f>IF(F63&lt;=0,AV64,MAX(0,$F$8+AV64-F63-AW64))</f>
        <v/>
      </c>
      <c r="AZ64">
        <f>IF(G63&lt;=0,0,G63*$E$9/12)</f>
        <v/>
      </c>
      <c r="BA64">
        <f>IF(G63&lt;=0,0,MIN(G63+AZ64,$F$9+AY64))</f>
        <v/>
      </c>
      <c r="BB64">
        <f>IF(G63&lt;=0,AY64,MAX(0,$F$9+AY64-G63-AZ64))</f>
        <v/>
      </c>
      <c r="BC64">
        <f>IF(H63&lt;=0,0,H63*$E$10/12)</f>
        <v/>
      </c>
      <c r="BD64">
        <f>IF(H63&lt;=0,0,MIN(H63+BC64,$F$10+BB64))</f>
        <v/>
      </c>
      <c r="BE64">
        <f>IF(H63&lt;=0,BB64,MAX(0,$F$10+BB64-H63-BC64))</f>
        <v/>
      </c>
      <c r="BF64">
        <f>IF(I63&lt;=0,0,I63*$E$11/12)</f>
        <v/>
      </c>
      <c r="BG64">
        <f>IF(I63&lt;=0,0,MIN(I63+BF64,$F$11+BE64))</f>
        <v/>
      </c>
      <c r="BH64">
        <f>IF(I63&lt;=0,BE64,MAX(0,$F$11+BE64-I63-BF64))</f>
        <v/>
      </c>
      <c r="BI64">
        <f>IF(J63&lt;=0,0,J63*$E$12/12)</f>
        <v/>
      </c>
      <c r="BJ64">
        <f>IF(J63&lt;=0,0,MIN(J63+BI64,$F$12+BH64))</f>
        <v/>
      </c>
      <c r="BK64">
        <f>IF(J63&lt;=0,BH64,MAX(0,$F$12+BH64-J63-BI64))</f>
        <v/>
      </c>
      <c r="BL64">
        <f>IF(K63&lt;=0,0,K63*$E$13/12)</f>
        <v/>
      </c>
      <c r="BM64">
        <f>IF(K63&lt;=0,0,MIN(K63+BL64,$F$13+BK64))</f>
        <v/>
      </c>
      <c r="BN64">
        <f>IF(K63&lt;=0,BK64,MAX(0,$F$13+BK64-K63-BL64))</f>
        <v/>
      </c>
      <c r="BO64">
        <f>IF(L63&lt;=0,0,L63*$E$14/12)</f>
        <v/>
      </c>
      <c r="BP64">
        <f>IF(L63&lt;=0,0,MIN(L63+BO64,$F$14+BN64))</f>
        <v/>
      </c>
      <c r="BQ64">
        <f>IF(L63&lt;=0,BN64,MAX(0,$F$14+BN64-L63-BO64))</f>
        <v/>
      </c>
      <c r="BR64">
        <f>IF(M63&lt;=0,0,M63*$E$15/12)</f>
        <v/>
      </c>
      <c r="BS64">
        <f>IF(M63&lt;=0,0,MIN(M63+BR64,$F$15+BQ64))</f>
        <v/>
      </c>
      <c r="BT64">
        <f>IF(M63&lt;=0,BQ64,MAX(0,$F$15+BQ64-M63-BR64))</f>
        <v/>
      </c>
      <c r="BU64">
        <f>IF(N63&lt;=0,0,N63*$E$16/12)</f>
        <v/>
      </c>
      <c r="BV64">
        <f>IF(N63&lt;=0,0,MIN(N63+BU64,$F$16+BT64))</f>
        <v/>
      </c>
      <c r="BW64">
        <f>IF(N63&lt;=0,BT64,MAX(0,$F$16+BT64-N63-BU64))</f>
        <v/>
      </c>
      <c r="BX64">
        <f>IF(O63&lt;=0,0,O63*$E$17/12)</f>
        <v/>
      </c>
      <c r="BY64">
        <f>IF(O63&lt;=0,0,MIN(O63+BX64,$F$17+BW64))</f>
        <v/>
      </c>
      <c r="BZ64">
        <f>IF(O63&lt;=0,BW64,MAX(0,$F$17+BW64-O63-BX64))</f>
        <v/>
      </c>
      <c r="CA64">
        <f>IF(P63&lt;=0,0,P63*$E$18/12)</f>
        <v/>
      </c>
      <c r="CB64">
        <f>IF(P63&lt;=0,0,MIN(P63+CA64,$F$18+BZ64))</f>
        <v/>
      </c>
      <c r="CC64">
        <f>IF(P63&lt;=0,BZ64,MAX(0,$F$18+BZ64-P63-CA64))</f>
        <v/>
      </c>
      <c r="CD64">
        <f>IF(Q63&lt;=0,0,Q63*$E$19/12)</f>
        <v/>
      </c>
      <c r="CE64">
        <f>IF(Q63&lt;=0,0,MIN(Q63+CD64,$F$19+CC64))</f>
        <v/>
      </c>
      <c r="CF64">
        <f>IF(Q63&lt;=0,CC64,MAX(0,$F$19+CC64-Q63-CD64))</f>
        <v/>
      </c>
      <c r="CG64">
        <f>IF(R63&lt;=0,0,R63*$E$20/12)</f>
        <v/>
      </c>
      <c r="CH64">
        <f>IF(R63&lt;=0,0,MIN(R63+CG64,$F$20+CF64))</f>
        <v/>
      </c>
      <c r="CI64">
        <f>IF(R63&lt;=0,CF64,MAX(0,$F$20+CF64-R63-CG64))</f>
        <v/>
      </c>
      <c r="CJ64">
        <f>IF(S63&lt;=0,0,S63*$E$21/12)</f>
        <v/>
      </c>
      <c r="CK64">
        <f>IF(S63&lt;=0,0,MIN(S63+CJ64,$F$21+CI64))</f>
        <v/>
      </c>
      <c r="CL64">
        <f>IF(S63&lt;=0,CI64,MAX(0,$F$21+CI64-S63-CJ64))</f>
        <v/>
      </c>
      <c r="CM64">
        <f>IF(T63&lt;=0,0,T63*$E$22/12)</f>
        <v/>
      </c>
      <c r="CN64">
        <f>IF(T63&lt;=0,0,MIN(T63+CM64,$F$22+CL64))</f>
        <v/>
      </c>
      <c r="CO64">
        <f>IF(T63&lt;=0,CL64,MAX(0,$F$22+CL64-T63-CM64))</f>
        <v/>
      </c>
      <c r="CP64">
        <f>IF(U63&lt;=0,0,U63*$E$23/12)</f>
        <v/>
      </c>
      <c r="CQ64">
        <f>IF(U63&lt;=0,0,MIN(U63+CP64,$F$23+CO64))</f>
        <v/>
      </c>
      <c r="CR64">
        <f>IF(U63&lt;=0,CO64,MAX(0,$F$23+CO64-U63-CP64))</f>
        <v/>
      </c>
      <c r="CS64">
        <f>IF(V63&lt;=0,0,V63*$E$24/12)</f>
        <v/>
      </c>
      <c r="CT64">
        <f>IF(V63&lt;=0,0,MIN(V63+CS64,$F$24+CR64))</f>
        <v/>
      </c>
      <c r="CU64">
        <f>IF(V63&lt;=0,CR64,MAX(0,$F$24+CR64-V63-CS64))</f>
        <v/>
      </c>
    </row>
    <row r="65">
      <c r="B65" s="39" t="n">
        <v>39</v>
      </c>
      <c r="C65" s="13">
        <f>IF(C64&lt;=0,0,MAX(0,C64+AN65-AO65))</f>
        <v/>
      </c>
      <c r="D65" s="13">
        <f>IF(D64&lt;=0,0,MAX(0,D64+AQ65-AR65))</f>
        <v/>
      </c>
      <c r="E65" s="13">
        <f>IF(E64&lt;=0,0,MAX(0,E64+AT65-AU65))</f>
        <v/>
      </c>
      <c r="F65" s="13">
        <f>IF(F64&lt;=0,0,MAX(0,F64+AW65-AX65))</f>
        <v/>
      </c>
      <c r="G65" s="13">
        <f>IF(G64&lt;=0,0,MAX(0,G64+AZ65-BA65))</f>
        <v/>
      </c>
      <c r="H65" s="13">
        <f>IF(H64&lt;=0,0,MAX(0,H64+BC65-BD65))</f>
        <v/>
      </c>
      <c r="I65" s="13">
        <f>IF(I64&lt;=0,0,MAX(0,I64+BF65-BG65))</f>
        <v/>
      </c>
      <c r="J65" s="13">
        <f>IF(J64&lt;=0,0,MAX(0,J64+BI65-BJ65))</f>
        <v/>
      </c>
      <c r="K65" s="13">
        <f>IF(K64&lt;=0,0,MAX(0,K64+BL65-BM65))</f>
        <v/>
      </c>
      <c r="L65" s="13">
        <f>IF(L64&lt;=0,0,MAX(0,L64+BO65-BP65))</f>
        <v/>
      </c>
      <c r="M65" s="13">
        <f>IF(M64&lt;=0,0,MAX(0,M64+BR65-BS65))</f>
        <v/>
      </c>
      <c r="N65" s="13">
        <f>IF(N64&lt;=0,0,MAX(0,N64+BU65-BV65))</f>
        <v/>
      </c>
      <c r="O65" s="13">
        <f>IF(O64&lt;=0,0,MAX(0,O64+BX65-BY65))</f>
        <v/>
      </c>
      <c r="P65" s="13">
        <f>IF(P64&lt;=0,0,MAX(0,P64+CA65-CB65))</f>
        <v/>
      </c>
      <c r="Q65" s="13">
        <f>IF(Q64&lt;=0,0,MAX(0,Q64+CD65-CE65))</f>
        <v/>
      </c>
      <c r="R65" s="13">
        <f>IF(R64&lt;=0,0,MAX(0,R64+CG65-CH65))</f>
        <v/>
      </c>
      <c r="S65" s="13">
        <f>IF(S64&lt;=0,0,MAX(0,S64+CJ65-CK65))</f>
        <v/>
      </c>
      <c r="T65" s="13">
        <f>IF(T64&lt;=0,0,MAX(0,T64+CM65-CN65))</f>
        <v/>
      </c>
      <c r="U65" s="13">
        <f>IF(U64&lt;=0,0,MAX(0,U64+CP65-CQ65))</f>
        <v/>
      </c>
      <c r="V65" s="13">
        <f>IF(V64&lt;=0,0,MAX(0,V64+CS65-CT65))</f>
        <v/>
      </c>
      <c r="W65" s="13">
        <f>AO65+AR65+AU65+AX65+BA65+BD65+BG65+BJ65+BM65+BP65+BS65+BV65+BY65+CB65+CE65+CH65+CK65+CN65+CQ65+CT65</f>
        <v/>
      </c>
      <c r="X65" s="13">
        <f>AN65+AQ65+AT65+AW65+AZ65+BC65+BF65+BI65+BL65+BO65+BR65+BU65+BX65+CA65+CD65+CG65+CJ65+CM65+CP65+CS65</f>
        <v/>
      </c>
      <c r="Y65" s="27">
        <f>C65+D65+E65+F65+G65+H65+I65+J65+K65+L65+M65+N65+O65+P65+Q65+R65+S65+T65+U65+V65</f>
        <v/>
      </c>
      <c r="AN65">
        <f>IF(C64&lt;=0,0,C64*$E$5/12)</f>
        <v/>
      </c>
      <c r="AO65">
        <f>IF(C64&lt;=0,0,MIN(C64+AN65,$F$5+(Dashboard!$C$11+IF(C64&lt;=0,$F$5,0)+IF(D64&lt;=0,$F$6,0)+IF(E64&lt;=0,$F$7,0)+IF(F64&lt;=0,$F$8,0)+IF(G64&lt;=0,$F$9,0)+IF(H64&lt;=0,$F$10,0)+IF(I64&lt;=0,$F$11,0)+IF(J64&lt;=0,$F$12,0)+IF(K64&lt;=0,$F$13,0)+IF(L64&lt;=0,$F$14,0)+IF(M64&lt;=0,$F$15,0)+IF(N64&lt;=0,$F$16,0)+IF(O64&lt;=0,$F$17,0)+IF(P64&lt;=0,$F$18,0)+IF(Q64&lt;=0,$F$19,0)+IF(R64&lt;=0,$F$20,0)+IF(S64&lt;=0,$F$21,0)+IF(T64&lt;=0,$F$22,0)+IF(U64&lt;=0,$F$23,0)+IF(V64&lt;=0,$F$24,0))))</f>
        <v/>
      </c>
      <c r="AP65">
        <f>IF(C64&lt;=0,(Dashboard!$C$11+IF(C64&lt;=0,$F$5,0)+IF(D64&lt;=0,$F$6,0)+IF(E64&lt;=0,$F$7,0)+IF(F64&lt;=0,$F$8,0)+IF(G64&lt;=0,$F$9,0)+IF(H64&lt;=0,$F$10,0)+IF(I64&lt;=0,$F$11,0)+IF(J64&lt;=0,$F$12,0)+IF(K64&lt;=0,$F$13,0)+IF(L64&lt;=0,$F$14,0)+IF(M64&lt;=0,$F$15,0)+IF(N64&lt;=0,$F$16,0)+IF(O64&lt;=0,$F$17,0)+IF(P64&lt;=0,$F$18,0)+IF(Q64&lt;=0,$F$19,0)+IF(R64&lt;=0,$F$20,0)+IF(S64&lt;=0,$F$21,0)+IF(T64&lt;=0,$F$22,0)+IF(U64&lt;=0,$F$23,0)+IF(V64&lt;=0,$F$24,0)),MAX(0,$F$5+(Dashboard!$C$11+IF(C64&lt;=0,$F$5,0)+IF(D64&lt;=0,$F$6,0)+IF(E64&lt;=0,$F$7,0)+IF(F64&lt;=0,$F$8,0)+IF(G64&lt;=0,$F$9,0)+IF(H64&lt;=0,$F$10,0)+IF(I64&lt;=0,$F$11,0)+IF(J64&lt;=0,$F$12,0)+IF(K64&lt;=0,$F$13,0)+IF(L64&lt;=0,$F$14,0)+IF(M64&lt;=0,$F$15,0)+IF(N64&lt;=0,$F$16,0)+IF(O64&lt;=0,$F$17,0)+IF(P64&lt;=0,$F$18,0)+IF(Q64&lt;=0,$F$19,0)+IF(R64&lt;=0,$F$20,0)+IF(S64&lt;=0,$F$21,0)+IF(T64&lt;=0,$F$22,0)+IF(U64&lt;=0,$F$23,0)+IF(V64&lt;=0,$F$24,0))-C64-AN65))</f>
        <v/>
      </c>
      <c r="AQ65">
        <f>IF(D64&lt;=0,0,D64*$E$6/12)</f>
        <v/>
      </c>
      <c r="AR65">
        <f>IF(D64&lt;=0,0,MIN(D64+AQ65,$F$6+AP65))</f>
        <v/>
      </c>
      <c r="AS65">
        <f>IF(D64&lt;=0,AP65,MAX(0,$F$6+AP65-D64-AQ65))</f>
        <v/>
      </c>
      <c r="AT65">
        <f>IF(E64&lt;=0,0,E64*$E$7/12)</f>
        <v/>
      </c>
      <c r="AU65">
        <f>IF(E64&lt;=0,0,MIN(E64+AT65,$F$7+AS65))</f>
        <v/>
      </c>
      <c r="AV65">
        <f>IF(E64&lt;=0,AS65,MAX(0,$F$7+AS65-E64-AT65))</f>
        <v/>
      </c>
      <c r="AW65">
        <f>IF(F64&lt;=0,0,F64*$E$8/12)</f>
        <v/>
      </c>
      <c r="AX65">
        <f>IF(F64&lt;=0,0,MIN(F64+AW65,$F$8+AV65))</f>
        <v/>
      </c>
      <c r="AY65">
        <f>IF(F64&lt;=0,AV65,MAX(0,$F$8+AV65-F64-AW65))</f>
        <v/>
      </c>
      <c r="AZ65">
        <f>IF(G64&lt;=0,0,G64*$E$9/12)</f>
        <v/>
      </c>
      <c r="BA65">
        <f>IF(G64&lt;=0,0,MIN(G64+AZ65,$F$9+AY65))</f>
        <v/>
      </c>
      <c r="BB65">
        <f>IF(G64&lt;=0,AY65,MAX(0,$F$9+AY65-G64-AZ65))</f>
        <v/>
      </c>
      <c r="BC65">
        <f>IF(H64&lt;=0,0,H64*$E$10/12)</f>
        <v/>
      </c>
      <c r="BD65">
        <f>IF(H64&lt;=0,0,MIN(H64+BC65,$F$10+BB65))</f>
        <v/>
      </c>
      <c r="BE65">
        <f>IF(H64&lt;=0,BB65,MAX(0,$F$10+BB65-H64-BC65))</f>
        <v/>
      </c>
      <c r="BF65">
        <f>IF(I64&lt;=0,0,I64*$E$11/12)</f>
        <v/>
      </c>
      <c r="BG65">
        <f>IF(I64&lt;=0,0,MIN(I64+BF65,$F$11+BE65))</f>
        <v/>
      </c>
      <c r="BH65">
        <f>IF(I64&lt;=0,BE65,MAX(0,$F$11+BE65-I64-BF65))</f>
        <v/>
      </c>
      <c r="BI65">
        <f>IF(J64&lt;=0,0,J64*$E$12/12)</f>
        <v/>
      </c>
      <c r="BJ65">
        <f>IF(J64&lt;=0,0,MIN(J64+BI65,$F$12+BH65))</f>
        <v/>
      </c>
      <c r="BK65">
        <f>IF(J64&lt;=0,BH65,MAX(0,$F$12+BH65-J64-BI65))</f>
        <v/>
      </c>
      <c r="BL65">
        <f>IF(K64&lt;=0,0,K64*$E$13/12)</f>
        <v/>
      </c>
      <c r="BM65">
        <f>IF(K64&lt;=0,0,MIN(K64+BL65,$F$13+BK65))</f>
        <v/>
      </c>
      <c r="BN65">
        <f>IF(K64&lt;=0,BK65,MAX(0,$F$13+BK65-K64-BL65))</f>
        <v/>
      </c>
      <c r="BO65">
        <f>IF(L64&lt;=0,0,L64*$E$14/12)</f>
        <v/>
      </c>
      <c r="BP65">
        <f>IF(L64&lt;=0,0,MIN(L64+BO65,$F$14+BN65))</f>
        <v/>
      </c>
      <c r="BQ65">
        <f>IF(L64&lt;=0,BN65,MAX(0,$F$14+BN65-L64-BO65))</f>
        <v/>
      </c>
      <c r="BR65">
        <f>IF(M64&lt;=0,0,M64*$E$15/12)</f>
        <v/>
      </c>
      <c r="BS65">
        <f>IF(M64&lt;=0,0,MIN(M64+BR65,$F$15+BQ65))</f>
        <v/>
      </c>
      <c r="BT65">
        <f>IF(M64&lt;=0,BQ65,MAX(0,$F$15+BQ65-M64-BR65))</f>
        <v/>
      </c>
      <c r="BU65">
        <f>IF(N64&lt;=0,0,N64*$E$16/12)</f>
        <v/>
      </c>
      <c r="BV65">
        <f>IF(N64&lt;=0,0,MIN(N64+BU65,$F$16+BT65))</f>
        <v/>
      </c>
      <c r="BW65">
        <f>IF(N64&lt;=0,BT65,MAX(0,$F$16+BT65-N64-BU65))</f>
        <v/>
      </c>
      <c r="BX65">
        <f>IF(O64&lt;=0,0,O64*$E$17/12)</f>
        <v/>
      </c>
      <c r="BY65">
        <f>IF(O64&lt;=0,0,MIN(O64+BX65,$F$17+BW65))</f>
        <v/>
      </c>
      <c r="BZ65">
        <f>IF(O64&lt;=0,BW65,MAX(0,$F$17+BW65-O64-BX65))</f>
        <v/>
      </c>
      <c r="CA65">
        <f>IF(P64&lt;=0,0,P64*$E$18/12)</f>
        <v/>
      </c>
      <c r="CB65">
        <f>IF(P64&lt;=0,0,MIN(P64+CA65,$F$18+BZ65))</f>
        <v/>
      </c>
      <c r="CC65">
        <f>IF(P64&lt;=0,BZ65,MAX(0,$F$18+BZ65-P64-CA65))</f>
        <v/>
      </c>
      <c r="CD65">
        <f>IF(Q64&lt;=0,0,Q64*$E$19/12)</f>
        <v/>
      </c>
      <c r="CE65">
        <f>IF(Q64&lt;=0,0,MIN(Q64+CD65,$F$19+CC65))</f>
        <v/>
      </c>
      <c r="CF65">
        <f>IF(Q64&lt;=0,CC65,MAX(0,$F$19+CC65-Q64-CD65))</f>
        <v/>
      </c>
      <c r="CG65">
        <f>IF(R64&lt;=0,0,R64*$E$20/12)</f>
        <v/>
      </c>
      <c r="CH65">
        <f>IF(R64&lt;=0,0,MIN(R64+CG65,$F$20+CF65))</f>
        <v/>
      </c>
      <c r="CI65">
        <f>IF(R64&lt;=0,CF65,MAX(0,$F$20+CF65-R64-CG65))</f>
        <v/>
      </c>
      <c r="CJ65">
        <f>IF(S64&lt;=0,0,S64*$E$21/12)</f>
        <v/>
      </c>
      <c r="CK65">
        <f>IF(S64&lt;=0,0,MIN(S64+CJ65,$F$21+CI65))</f>
        <v/>
      </c>
      <c r="CL65">
        <f>IF(S64&lt;=0,CI65,MAX(0,$F$21+CI65-S64-CJ65))</f>
        <v/>
      </c>
      <c r="CM65">
        <f>IF(T64&lt;=0,0,T64*$E$22/12)</f>
        <v/>
      </c>
      <c r="CN65">
        <f>IF(T64&lt;=0,0,MIN(T64+CM65,$F$22+CL65))</f>
        <v/>
      </c>
      <c r="CO65">
        <f>IF(T64&lt;=0,CL65,MAX(0,$F$22+CL65-T64-CM65))</f>
        <v/>
      </c>
      <c r="CP65">
        <f>IF(U64&lt;=0,0,U64*$E$23/12)</f>
        <v/>
      </c>
      <c r="CQ65">
        <f>IF(U64&lt;=0,0,MIN(U64+CP65,$F$23+CO65))</f>
        <v/>
      </c>
      <c r="CR65">
        <f>IF(U64&lt;=0,CO65,MAX(0,$F$23+CO65-U64-CP65))</f>
        <v/>
      </c>
      <c r="CS65">
        <f>IF(V64&lt;=0,0,V64*$E$24/12)</f>
        <v/>
      </c>
      <c r="CT65">
        <f>IF(V64&lt;=0,0,MIN(V64+CS65,$F$24+CR65))</f>
        <v/>
      </c>
      <c r="CU65">
        <f>IF(V64&lt;=0,CR65,MAX(0,$F$24+CR65-V64-CS65))</f>
        <v/>
      </c>
    </row>
    <row r="66">
      <c r="B66" s="39" t="n">
        <v>40</v>
      </c>
      <c r="C66" s="13">
        <f>IF(C65&lt;=0,0,MAX(0,C65+AN66-AO66))</f>
        <v/>
      </c>
      <c r="D66" s="13">
        <f>IF(D65&lt;=0,0,MAX(0,D65+AQ66-AR66))</f>
        <v/>
      </c>
      <c r="E66" s="13">
        <f>IF(E65&lt;=0,0,MAX(0,E65+AT66-AU66))</f>
        <v/>
      </c>
      <c r="F66" s="13">
        <f>IF(F65&lt;=0,0,MAX(0,F65+AW66-AX66))</f>
        <v/>
      </c>
      <c r="G66" s="13">
        <f>IF(G65&lt;=0,0,MAX(0,G65+AZ66-BA66))</f>
        <v/>
      </c>
      <c r="H66" s="13">
        <f>IF(H65&lt;=0,0,MAX(0,H65+BC66-BD66))</f>
        <v/>
      </c>
      <c r="I66" s="13">
        <f>IF(I65&lt;=0,0,MAX(0,I65+BF66-BG66))</f>
        <v/>
      </c>
      <c r="J66" s="13">
        <f>IF(J65&lt;=0,0,MAX(0,J65+BI66-BJ66))</f>
        <v/>
      </c>
      <c r="K66" s="13">
        <f>IF(K65&lt;=0,0,MAX(0,K65+BL66-BM66))</f>
        <v/>
      </c>
      <c r="L66" s="13">
        <f>IF(L65&lt;=0,0,MAX(0,L65+BO66-BP66))</f>
        <v/>
      </c>
      <c r="M66" s="13">
        <f>IF(M65&lt;=0,0,MAX(0,M65+BR66-BS66))</f>
        <v/>
      </c>
      <c r="N66" s="13">
        <f>IF(N65&lt;=0,0,MAX(0,N65+BU66-BV66))</f>
        <v/>
      </c>
      <c r="O66" s="13">
        <f>IF(O65&lt;=0,0,MAX(0,O65+BX66-BY66))</f>
        <v/>
      </c>
      <c r="P66" s="13">
        <f>IF(P65&lt;=0,0,MAX(0,P65+CA66-CB66))</f>
        <v/>
      </c>
      <c r="Q66" s="13">
        <f>IF(Q65&lt;=0,0,MAX(0,Q65+CD66-CE66))</f>
        <v/>
      </c>
      <c r="R66" s="13">
        <f>IF(R65&lt;=0,0,MAX(0,R65+CG66-CH66))</f>
        <v/>
      </c>
      <c r="S66" s="13">
        <f>IF(S65&lt;=0,0,MAX(0,S65+CJ66-CK66))</f>
        <v/>
      </c>
      <c r="T66" s="13">
        <f>IF(T65&lt;=0,0,MAX(0,T65+CM66-CN66))</f>
        <v/>
      </c>
      <c r="U66" s="13">
        <f>IF(U65&lt;=0,0,MAX(0,U65+CP66-CQ66))</f>
        <v/>
      </c>
      <c r="V66" s="13">
        <f>IF(V65&lt;=0,0,MAX(0,V65+CS66-CT66))</f>
        <v/>
      </c>
      <c r="W66" s="13">
        <f>AO66+AR66+AU66+AX66+BA66+BD66+BG66+BJ66+BM66+BP66+BS66+BV66+BY66+CB66+CE66+CH66+CK66+CN66+CQ66+CT66</f>
        <v/>
      </c>
      <c r="X66" s="13">
        <f>AN66+AQ66+AT66+AW66+AZ66+BC66+BF66+BI66+BL66+BO66+BR66+BU66+BX66+CA66+CD66+CG66+CJ66+CM66+CP66+CS66</f>
        <v/>
      </c>
      <c r="Y66" s="27">
        <f>C66+D66+E66+F66+G66+H66+I66+J66+K66+L66+M66+N66+O66+P66+Q66+R66+S66+T66+U66+V66</f>
        <v/>
      </c>
      <c r="AN66">
        <f>IF(C65&lt;=0,0,C65*$E$5/12)</f>
        <v/>
      </c>
      <c r="AO66">
        <f>IF(C65&lt;=0,0,MIN(C65+AN66,$F$5+(Dashboard!$C$11+IF(C65&lt;=0,$F$5,0)+IF(D65&lt;=0,$F$6,0)+IF(E65&lt;=0,$F$7,0)+IF(F65&lt;=0,$F$8,0)+IF(G65&lt;=0,$F$9,0)+IF(H65&lt;=0,$F$10,0)+IF(I65&lt;=0,$F$11,0)+IF(J65&lt;=0,$F$12,0)+IF(K65&lt;=0,$F$13,0)+IF(L65&lt;=0,$F$14,0)+IF(M65&lt;=0,$F$15,0)+IF(N65&lt;=0,$F$16,0)+IF(O65&lt;=0,$F$17,0)+IF(P65&lt;=0,$F$18,0)+IF(Q65&lt;=0,$F$19,0)+IF(R65&lt;=0,$F$20,0)+IF(S65&lt;=0,$F$21,0)+IF(T65&lt;=0,$F$22,0)+IF(U65&lt;=0,$F$23,0)+IF(V65&lt;=0,$F$24,0))))</f>
        <v/>
      </c>
      <c r="AP66">
        <f>IF(C65&lt;=0,(Dashboard!$C$11+IF(C65&lt;=0,$F$5,0)+IF(D65&lt;=0,$F$6,0)+IF(E65&lt;=0,$F$7,0)+IF(F65&lt;=0,$F$8,0)+IF(G65&lt;=0,$F$9,0)+IF(H65&lt;=0,$F$10,0)+IF(I65&lt;=0,$F$11,0)+IF(J65&lt;=0,$F$12,0)+IF(K65&lt;=0,$F$13,0)+IF(L65&lt;=0,$F$14,0)+IF(M65&lt;=0,$F$15,0)+IF(N65&lt;=0,$F$16,0)+IF(O65&lt;=0,$F$17,0)+IF(P65&lt;=0,$F$18,0)+IF(Q65&lt;=0,$F$19,0)+IF(R65&lt;=0,$F$20,0)+IF(S65&lt;=0,$F$21,0)+IF(T65&lt;=0,$F$22,0)+IF(U65&lt;=0,$F$23,0)+IF(V65&lt;=0,$F$24,0)),MAX(0,$F$5+(Dashboard!$C$11+IF(C65&lt;=0,$F$5,0)+IF(D65&lt;=0,$F$6,0)+IF(E65&lt;=0,$F$7,0)+IF(F65&lt;=0,$F$8,0)+IF(G65&lt;=0,$F$9,0)+IF(H65&lt;=0,$F$10,0)+IF(I65&lt;=0,$F$11,0)+IF(J65&lt;=0,$F$12,0)+IF(K65&lt;=0,$F$13,0)+IF(L65&lt;=0,$F$14,0)+IF(M65&lt;=0,$F$15,0)+IF(N65&lt;=0,$F$16,0)+IF(O65&lt;=0,$F$17,0)+IF(P65&lt;=0,$F$18,0)+IF(Q65&lt;=0,$F$19,0)+IF(R65&lt;=0,$F$20,0)+IF(S65&lt;=0,$F$21,0)+IF(T65&lt;=0,$F$22,0)+IF(U65&lt;=0,$F$23,0)+IF(V65&lt;=0,$F$24,0))-C65-AN66))</f>
        <v/>
      </c>
      <c r="AQ66">
        <f>IF(D65&lt;=0,0,D65*$E$6/12)</f>
        <v/>
      </c>
      <c r="AR66">
        <f>IF(D65&lt;=0,0,MIN(D65+AQ66,$F$6+AP66))</f>
        <v/>
      </c>
      <c r="AS66">
        <f>IF(D65&lt;=0,AP66,MAX(0,$F$6+AP66-D65-AQ66))</f>
        <v/>
      </c>
      <c r="AT66">
        <f>IF(E65&lt;=0,0,E65*$E$7/12)</f>
        <v/>
      </c>
      <c r="AU66">
        <f>IF(E65&lt;=0,0,MIN(E65+AT66,$F$7+AS66))</f>
        <v/>
      </c>
      <c r="AV66">
        <f>IF(E65&lt;=0,AS66,MAX(0,$F$7+AS66-E65-AT66))</f>
        <v/>
      </c>
      <c r="AW66">
        <f>IF(F65&lt;=0,0,F65*$E$8/12)</f>
        <v/>
      </c>
      <c r="AX66">
        <f>IF(F65&lt;=0,0,MIN(F65+AW66,$F$8+AV66))</f>
        <v/>
      </c>
      <c r="AY66">
        <f>IF(F65&lt;=0,AV66,MAX(0,$F$8+AV66-F65-AW66))</f>
        <v/>
      </c>
      <c r="AZ66">
        <f>IF(G65&lt;=0,0,G65*$E$9/12)</f>
        <v/>
      </c>
      <c r="BA66">
        <f>IF(G65&lt;=0,0,MIN(G65+AZ66,$F$9+AY66))</f>
        <v/>
      </c>
      <c r="BB66">
        <f>IF(G65&lt;=0,AY66,MAX(0,$F$9+AY66-G65-AZ66))</f>
        <v/>
      </c>
      <c r="BC66">
        <f>IF(H65&lt;=0,0,H65*$E$10/12)</f>
        <v/>
      </c>
      <c r="BD66">
        <f>IF(H65&lt;=0,0,MIN(H65+BC66,$F$10+BB66))</f>
        <v/>
      </c>
      <c r="BE66">
        <f>IF(H65&lt;=0,BB66,MAX(0,$F$10+BB66-H65-BC66))</f>
        <v/>
      </c>
      <c r="BF66">
        <f>IF(I65&lt;=0,0,I65*$E$11/12)</f>
        <v/>
      </c>
      <c r="BG66">
        <f>IF(I65&lt;=0,0,MIN(I65+BF66,$F$11+BE66))</f>
        <v/>
      </c>
      <c r="BH66">
        <f>IF(I65&lt;=0,BE66,MAX(0,$F$11+BE66-I65-BF66))</f>
        <v/>
      </c>
      <c r="BI66">
        <f>IF(J65&lt;=0,0,J65*$E$12/12)</f>
        <v/>
      </c>
      <c r="BJ66">
        <f>IF(J65&lt;=0,0,MIN(J65+BI66,$F$12+BH66))</f>
        <v/>
      </c>
      <c r="BK66">
        <f>IF(J65&lt;=0,BH66,MAX(0,$F$12+BH66-J65-BI66))</f>
        <v/>
      </c>
      <c r="BL66">
        <f>IF(K65&lt;=0,0,K65*$E$13/12)</f>
        <v/>
      </c>
      <c r="BM66">
        <f>IF(K65&lt;=0,0,MIN(K65+BL66,$F$13+BK66))</f>
        <v/>
      </c>
      <c r="BN66">
        <f>IF(K65&lt;=0,BK66,MAX(0,$F$13+BK66-K65-BL66))</f>
        <v/>
      </c>
      <c r="BO66">
        <f>IF(L65&lt;=0,0,L65*$E$14/12)</f>
        <v/>
      </c>
      <c r="BP66">
        <f>IF(L65&lt;=0,0,MIN(L65+BO66,$F$14+BN66))</f>
        <v/>
      </c>
      <c r="BQ66">
        <f>IF(L65&lt;=0,BN66,MAX(0,$F$14+BN66-L65-BO66))</f>
        <v/>
      </c>
      <c r="BR66">
        <f>IF(M65&lt;=0,0,M65*$E$15/12)</f>
        <v/>
      </c>
      <c r="BS66">
        <f>IF(M65&lt;=0,0,MIN(M65+BR66,$F$15+BQ66))</f>
        <v/>
      </c>
      <c r="BT66">
        <f>IF(M65&lt;=0,BQ66,MAX(0,$F$15+BQ66-M65-BR66))</f>
        <v/>
      </c>
      <c r="BU66">
        <f>IF(N65&lt;=0,0,N65*$E$16/12)</f>
        <v/>
      </c>
      <c r="BV66">
        <f>IF(N65&lt;=0,0,MIN(N65+BU66,$F$16+BT66))</f>
        <v/>
      </c>
      <c r="BW66">
        <f>IF(N65&lt;=0,BT66,MAX(0,$F$16+BT66-N65-BU66))</f>
        <v/>
      </c>
      <c r="BX66">
        <f>IF(O65&lt;=0,0,O65*$E$17/12)</f>
        <v/>
      </c>
      <c r="BY66">
        <f>IF(O65&lt;=0,0,MIN(O65+BX66,$F$17+BW66))</f>
        <v/>
      </c>
      <c r="BZ66">
        <f>IF(O65&lt;=0,BW66,MAX(0,$F$17+BW66-O65-BX66))</f>
        <v/>
      </c>
      <c r="CA66">
        <f>IF(P65&lt;=0,0,P65*$E$18/12)</f>
        <v/>
      </c>
      <c r="CB66">
        <f>IF(P65&lt;=0,0,MIN(P65+CA66,$F$18+BZ66))</f>
        <v/>
      </c>
      <c r="CC66">
        <f>IF(P65&lt;=0,BZ66,MAX(0,$F$18+BZ66-P65-CA66))</f>
        <v/>
      </c>
      <c r="CD66">
        <f>IF(Q65&lt;=0,0,Q65*$E$19/12)</f>
        <v/>
      </c>
      <c r="CE66">
        <f>IF(Q65&lt;=0,0,MIN(Q65+CD66,$F$19+CC66))</f>
        <v/>
      </c>
      <c r="CF66">
        <f>IF(Q65&lt;=0,CC66,MAX(0,$F$19+CC66-Q65-CD66))</f>
        <v/>
      </c>
      <c r="CG66">
        <f>IF(R65&lt;=0,0,R65*$E$20/12)</f>
        <v/>
      </c>
      <c r="CH66">
        <f>IF(R65&lt;=0,0,MIN(R65+CG66,$F$20+CF66))</f>
        <v/>
      </c>
      <c r="CI66">
        <f>IF(R65&lt;=0,CF66,MAX(0,$F$20+CF66-R65-CG66))</f>
        <v/>
      </c>
      <c r="CJ66">
        <f>IF(S65&lt;=0,0,S65*$E$21/12)</f>
        <v/>
      </c>
      <c r="CK66">
        <f>IF(S65&lt;=0,0,MIN(S65+CJ66,$F$21+CI66))</f>
        <v/>
      </c>
      <c r="CL66">
        <f>IF(S65&lt;=0,CI66,MAX(0,$F$21+CI66-S65-CJ66))</f>
        <v/>
      </c>
      <c r="CM66">
        <f>IF(T65&lt;=0,0,T65*$E$22/12)</f>
        <v/>
      </c>
      <c r="CN66">
        <f>IF(T65&lt;=0,0,MIN(T65+CM66,$F$22+CL66))</f>
        <v/>
      </c>
      <c r="CO66">
        <f>IF(T65&lt;=0,CL66,MAX(0,$F$22+CL66-T65-CM66))</f>
        <v/>
      </c>
      <c r="CP66">
        <f>IF(U65&lt;=0,0,U65*$E$23/12)</f>
        <v/>
      </c>
      <c r="CQ66">
        <f>IF(U65&lt;=0,0,MIN(U65+CP66,$F$23+CO66))</f>
        <v/>
      </c>
      <c r="CR66">
        <f>IF(U65&lt;=0,CO66,MAX(0,$F$23+CO66-U65-CP66))</f>
        <v/>
      </c>
      <c r="CS66">
        <f>IF(V65&lt;=0,0,V65*$E$24/12)</f>
        <v/>
      </c>
      <c r="CT66">
        <f>IF(V65&lt;=0,0,MIN(V65+CS66,$F$24+CR66))</f>
        <v/>
      </c>
      <c r="CU66">
        <f>IF(V65&lt;=0,CR66,MAX(0,$F$24+CR66-V65-CS66))</f>
        <v/>
      </c>
    </row>
    <row r="67">
      <c r="B67" s="39" t="n">
        <v>41</v>
      </c>
      <c r="C67" s="13">
        <f>IF(C66&lt;=0,0,MAX(0,C66+AN67-AO67))</f>
        <v/>
      </c>
      <c r="D67" s="13">
        <f>IF(D66&lt;=0,0,MAX(0,D66+AQ67-AR67))</f>
        <v/>
      </c>
      <c r="E67" s="13">
        <f>IF(E66&lt;=0,0,MAX(0,E66+AT67-AU67))</f>
        <v/>
      </c>
      <c r="F67" s="13">
        <f>IF(F66&lt;=0,0,MAX(0,F66+AW67-AX67))</f>
        <v/>
      </c>
      <c r="G67" s="13">
        <f>IF(G66&lt;=0,0,MAX(0,G66+AZ67-BA67))</f>
        <v/>
      </c>
      <c r="H67" s="13">
        <f>IF(H66&lt;=0,0,MAX(0,H66+BC67-BD67))</f>
        <v/>
      </c>
      <c r="I67" s="13">
        <f>IF(I66&lt;=0,0,MAX(0,I66+BF67-BG67))</f>
        <v/>
      </c>
      <c r="J67" s="13">
        <f>IF(J66&lt;=0,0,MAX(0,J66+BI67-BJ67))</f>
        <v/>
      </c>
      <c r="K67" s="13">
        <f>IF(K66&lt;=0,0,MAX(0,K66+BL67-BM67))</f>
        <v/>
      </c>
      <c r="L67" s="13">
        <f>IF(L66&lt;=0,0,MAX(0,L66+BO67-BP67))</f>
        <v/>
      </c>
      <c r="M67" s="13">
        <f>IF(M66&lt;=0,0,MAX(0,M66+BR67-BS67))</f>
        <v/>
      </c>
      <c r="N67" s="13">
        <f>IF(N66&lt;=0,0,MAX(0,N66+BU67-BV67))</f>
        <v/>
      </c>
      <c r="O67" s="13">
        <f>IF(O66&lt;=0,0,MAX(0,O66+BX67-BY67))</f>
        <v/>
      </c>
      <c r="P67" s="13">
        <f>IF(P66&lt;=0,0,MAX(0,P66+CA67-CB67))</f>
        <v/>
      </c>
      <c r="Q67" s="13">
        <f>IF(Q66&lt;=0,0,MAX(0,Q66+CD67-CE67))</f>
        <v/>
      </c>
      <c r="R67" s="13">
        <f>IF(R66&lt;=0,0,MAX(0,R66+CG67-CH67))</f>
        <v/>
      </c>
      <c r="S67" s="13">
        <f>IF(S66&lt;=0,0,MAX(0,S66+CJ67-CK67))</f>
        <v/>
      </c>
      <c r="T67" s="13">
        <f>IF(T66&lt;=0,0,MAX(0,T66+CM67-CN67))</f>
        <v/>
      </c>
      <c r="U67" s="13">
        <f>IF(U66&lt;=0,0,MAX(0,U66+CP67-CQ67))</f>
        <v/>
      </c>
      <c r="V67" s="13">
        <f>IF(V66&lt;=0,0,MAX(0,V66+CS67-CT67))</f>
        <v/>
      </c>
      <c r="W67" s="13">
        <f>AO67+AR67+AU67+AX67+BA67+BD67+BG67+BJ67+BM67+BP67+BS67+BV67+BY67+CB67+CE67+CH67+CK67+CN67+CQ67+CT67</f>
        <v/>
      </c>
      <c r="X67" s="13">
        <f>AN67+AQ67+AT67+AW67+AZ67+BC67+BF67+BI67+BL67+BO67+BR67+BU67+BX67+CA67+CD67+CG67+CJ67+CM67+CP67+CS67</f>
        <v/>
      </c>
      <c r="Y67" s="27">
        <f>C67+D67+E67+F67+G67+H67+I67+J67+K67+L67+M67+N67+O67+P67+Q67+R67+S67+T67+U67+V67</f>
        <v/>
      </c>
      <c r="AN67">
        <f>IF(C66&lt;=0,0,C66*$E$5/12)</f>
        <v/>
      </c>
      <c r="AO67">
        <f>IF(C66&lt;=0,0,MIN(C66+AN67,$F$5+(Dashboard!$C$11+IF(C66&lt;=0,$F$5,0)+IF(D66&lt;=0,$F$6,0)+IF(E66&lt;=0,$F$7,0)+IF(F66&lt;=0,$F$8,0)+IF(G66&lt;=0,$F$9,0)+IF(H66&lt;=0,$F$10,0)+IF(I66&lt;=0,$F$11,0)+IF(J66&lt;=0,$F$12,0)+IF(K66&lt;=0,$F$13,0)+IF(L66&lt;=0,$F$14,0)+IF(M66&lt;=0,$F$15,0)+IF(N66&lt;=0,$F$16,0)+IF(O66&lt;=0,$F$17,0)+IF(P66&lt;=0,$F$18,0)+IF(Q66&lt;=0,$F$19,0)+IF(R66&lt;=0,$F$20,0)+IF(S66&lt;=0,$F$21,0)+IF(T66&lt;=0,$F$22,0)+IF(U66&lt;=0,$F$23,0)+IF(V66&lt;=0,$F$24,0))))</f>
        <v/>
      </c>
      <c r="AP67">
        <f>IF(C66&lt;=0,(Dashboard!$C$11+IF(C66&lt;=0,$F$5,0)+IF(D66&lt;=0,$F$6,0)+IF(E66&lt;=0,$F$7,0)+IF(F66&lt;=0,$F$8,0)+IF(G66&lt;=0,$F$9,0)+IF(H66&lt;=0,$F$10,0)+IF(I66&lt;=0,$F$11,0)+IF(J66&lt;=0,$F$12,0)+IF(K66&lt;=0,$F$13,0)+IF(L66&lt;=0,$F$14,0)+IF(M66&lt;=0,$F$15,0)+IF(N66&lt;=0,$F$16,0)+IF(O66&lt;=0,$F$17,0)+IF(P66&lt;=0,$F$18,0)+IF(Q66&lt;=0,$F$19,0)+IF(R66&lt;=0,$F$20,0)+IF(S66&lt;=0,$F$21,0)+IF(T66&lt;=0,$F$22,0)+IF(U66&lt;=0,$F$23,0)+IF(V66&lt;=0,$F$24,0)),MAX(0,$F$5+(Dashboard!$C$11+IF(C66&lt;=0,$F$5,0)+IF(D66&lt;=0,$F$6,0)+IF(E66&lt;=0,$F$7,0)+IF(F66&lt;=0,$F$8,0)+IF(G66&lt;=0,$F$9,0)+IF(H66&lt;=0,$F$10,0)+IF(I66&lt;=0,$F$11,0)+IF(J66&lt;=0,$F$12,0)+IF(K66&lt;=0,$F$13,0)+IF(L66&lt;=0,$F$14,0)+IF(M66&lt;=0,$F$15,0)+IF(N66&lt;=0,$F$16,0)+IF(O66&lt;=0,$F$17,0)+IF(P66&lt;=0,$F$18,0)+IF(Q66&lt;=0,$F$19,0)+IF(R66&lt;=0,$F$20,0)+IF(S66&lt;=0,$F$21,0)+IF(T66&lt;=0,$F$22,0)+IF(U66&lt;=0,$F$23,0)+IF(V66&lt;=0,$F$24,0))-C66-AN67))</f>
        <v/>
      </c>
      <c r="AQ67">
        <f>IF(D66&lt;=0,0,D66*$E$6/12)</f>
        <v/>
      </c>
      <c r="AR67">
        <f>IF(D66&lt;=0,0,MIN(D66+AQ67,$F$6+AP67))</f>
        <v/>
      </c>
      <c r="AS67">
        <f>IF(D66&lt;=0,AP67,MAX(0,$F$6+AP67-D66-AQ67))</f>
        <v/>
      </c>
      <c r="AT67">
        <f>IF(E66&lt;=0,0,E66*$E$7/12)</f>
        <v/>
      </c>
      <c r="AU67">
        <f>IF(E66&lt;=0,0,MIN(E66+AT67,$F$7+AS67))</f>
        <v/>
      </c>
      <c r="AV67">
        <f>IF(E66&lt;=0,AS67,MAX(0,$F$7+AS67-E66-AT67))</f>
        <v/>
      </c>
      <c r="AW67">
        <f>IF(F66&lt;=0,0,F66*$E$8/12)</f>
        <v/>
      </c>
      <c r="AX67">
        <f>IF(F66&lt;=0,0,MIN(F66+AW67,$F$8+AV67))</f>
        <v/>
      </c>
      <c r="AY67">
        <f>IF(F66&lt;=0,AV67,MAX(0,$F$8+AV67-F66-AW67))</f>
        <v/>
      </c>
      <c r="AZ67">
        <f>IF(G66&lt;=0,0,G66*$E$9/12)</f>
        <v/>
      </c>
      <c r="BA67">
        <f>IF(G66&lt;=0,0,MIN(G66+AZ67,$F$9+AY67))</f>
        <v/>
      </c>
      <c r="BB67">
        <f>IF(G66&lt;=0,AY67,MAX(0,$F$9+AY67-G66-AZ67))</f>
        <v/>
      </c>
      <c r="BC67">
        <f>IF(H66&lt;=0,0,H66*$E$10/12)</f>
        <v/>
      </c>
      <c r="BD67">
        <f>IF(H66&lt;=0,0,MIN(H66+BC67,$F$10+BB67))</f>
        <v/>
      </c>
      <c r="BE67">
        <f>IF(H66&lt;=0,BB67,MAX(0,$F$10+BB67-H66-BC67))</f>
        <v/>
      </c>
      <c r="BF67">
        <f>IF(I66&lt;=0,0,I66*$E$11/12)</f>
        <v/>
      </c>
      <c r="BG67">
        <f>IF(I66&lt;=0,0,MIN(I66+BF67,$F$11+BE67))</f>
        <v/>
      </c>
      <c r="BH67">
        <f>IF(I66&lt;=0,BE67,MAX(0,$F$11+BE67-I66-BF67))</f>
        <v/>
      </c>
      <c r="BI67">
        <f>IF(J66&lt;=0,0,J66*$E$12/12)</f>
        <v/>
      </c>
      <c r="BJ67">
        <f>IF(J66&lt;=0,0,MIN(J66+BI67,$F$12+BH67))</f>
        <v/>
      </c>
      <c r="BK67">
        <f>IF(J66&lt;=0,BH67,MAX(0,$F$12+BH67-J66-BI67))</f>
        <v/>
      </c>
      <c r="BL67">
        <f>IF(K66&lt;=0,0,K66*$E$13/12)</f>
        <v/>
      </c>
      <c r="BM67">
        <f>IF(K66&lt;=0,0,MIN(K66+BL67,$F$13+BK67))</f>
        <v/>
      </c>
      <c r="BN67">
        <f>IF(K66&lt;=0,BK67,MAX(0,$F$13+BK67-K66-BL67))</f>
        <v/>
      </c>
      <c r="BO67">
        <f>IF(L66&lt;=0,0,L66*$E$14/12)</f>
        <v/>
      </c>
      <c r="BP67">
        <f>IF(L66&lt;=0,0,MIN(L66+BO67,$F$14+BN67))</f>
        <v/>
      </c>
      <c r="BQ67">
        <f>IF(L66&lt;=0,BN67,MAX(0,$F$14+BN67-L66-BO67))</f>
        <v/>
      </c>
      <c r="BR67">
        <f>IF(M66&lt;=0,0,M66*$E$15/12)</f>
        <v/>
      </c>
      <c r="BS67">
        <f>IF(M66&lt;=0,0,MIN(M66+BR67,$F$15+BQ67))</f>
        <v/>
      </c>
      <c r="BT67">
        <f>IF(M66&lt;=0,BQ67,MAX(0,$F$15+BQ67-M66-BR67))</f>
        <v/>
      </c>
      <c r="BU67">
        <f>IF(N66&lt;=0,0,N66*$E$16/12)</f>
        <v/>
      </c>
      <c r="BV67">
        <f>IF(N66&lt;=0,0,MIN(N66+BU67,$F$16+BT67))</f>
        <v/>
      </c>
      <c r="BW67">
        <f>IF(N66&lt;=0,BT67,MAX(0,$F$16+BT67-N66-BU67))</f>
        <v/>
      </c>
      <c r="BX67">
        <f>IF(O66&lt;=0,0,O66*$E$17/12)</f>
        <v/>
      </c>
      <c r="BY67">
        <f>IF(O66&lt;=0,0,MIN(O66+BX67,$F$17+BW67))</f>
        <v/>
      </c>
      <c r="BZ67">
        <f>IF(O66&lt;=0,BW67,MAX(0,$F$17+BW67-O66-BX67))</f>
        <v/>
      </c>
      <c r="CA67">
        <f>IF(P66&lt;=0,0,P66*$E$18/12)</f>
        <v/>
      </c>
      <c r="CB67">
        <f>IF(P66&lt;=0,0,MIN(P66+CA67,$F$18+BZ67))</f>
        <v/>
      </c>
      <c r="CC67">
        <f>IF(P66&lt;=0,BZ67,MAX(0,$F$18+BZ67-P66-CA67))</f>
        <v/>
      </c>
      <c r="CD67">
        <f>IF(Q66&lt;=0,0,Q66*$E$19/12)</f>
        <v/>
      </c>
      <c r="CE67">
        <f>IF(Q66&lt;=0,0,MIN(Q66+CD67,$F$19+CC67))</f>
        <v/>
      </c>
      <c r="CF67">
        <f>IF(Q66&lt;=0,CC67,MAX(0,$F$19+CC67-Q66-CD67))</f>
        <v/>
      </c>
      <c r="CG67">
        <f>IF(R66&lt;=0,0,R66*$E$20/12)</f>
        <v/>
      </c>
      <c r="CH67">
        <f>IF(R66&lt;=0,0,MIN(R66+CG67,$F$20+CF67))</f>
        <v/>
      </c>
      <c r="CI67">
        <f>IF(R66&lt;=0,CF67,MAX(0,$F$20+CF67-R66-CG67))</f>
        <v/>
      </c>
      <c r="CJ67">
        <f>IF(S66&lt;=0,0,S66*$E$21/12)</f>
        <v/>
      </c>
      <c r="CK67">
        <f>IF(S66&lt;=0,0,MIN(S66+CJ67,$F$21+CI67))</f>
        <v/>
      </c>
      <c r="CL67">
        <f>IF(S66&lt;=0,CI67,MAX(0,$F$21+CI67-S66-CJ67))</f>
        <v/>
      </c>
      <c r="CM67">
        <f>IF(T66&lt;=0,0,T66*$E$22/12)</f>
        <v/>
      </c>
      <c r="CN67">
        <f>IF(T66&lt;=0,0,MIN(T66+CM67,$F$22+CL67))</f>
        <v/>
      </c>
      <c r="CO67">
        <f>IF(T66&lt;=0,CL67,MAX(0,$F$22+CL67-T66-CM67))</f>
        <v/>
      </c>
      <c r="CP67">
        <f>IF(U66&lt;=0,0,U66*$E$23/12)</f>
        <v/>
      </c>
      <c r="CQ67">
        <f>IF(U66&lt;=0,0,MIN(U66+CP67,$F$23+CO67))</f>
        <v/>
      </c>
      <c r="CR67">
        <f>IF(U66&lt;=0,CO67,MAX(0,$F$23+CO67-U66-CP67))</f>
        <v/>
      </c>
      <c r="CS67">
        <f>IF(V66&lt;=0,0,V66*$E$24/12)</f>
        <v/>
      </c>
      <c r="CT67">
        <f>IF(V66&lt;=0,0,MIN(V66+CS67,$F$24+CR67))</f>
        <v/>
      </c>
      <c r="CU67">
        <f>IF(V66&lt;=0,CR67,MAX(0,$F$24+CR67-V66-CS67))</f>
        <v/>
      </c>
    </row>
    <row r="68">
      <c r="B68" s="39" t="n">
        <v>42</v>
      </c>
      <c r="C68" s="13">
        <f>IF(C67&lt;=0,0,MAX(0,C67+AN68-AO68))</f>
        <v/>
      </c>
      <c r="D68" s="13">
        <f>IF(D67&lt;=0,0,MAX(0,D67+AQ68-AR68))</f>
        <v/>
      </c>
      <c r="E68" s="13">
        <f>IF(E67&lt;=0,0,MAX(0,E67+AT68-AU68))</f>
        <v/>
      </c>
      <c r="F68" s="13">
        <f>IF(F67&lt;=0,0,MAX(0,F67+AW68-AX68))</f>
        <v/>
      </c>
      <c r="G68" s="13">
        <f>IF(G67&lt;=0,0,MAX(0,G67+AZ68-BA68))</f>
        <v/>
      </c>
      <c r="H68" s="13">
        <f>IF(H67&lt;=0,0,MAX(0,H67+BC68-BD68))</f>
        <v/>
      </c>
      <c r="I68" s="13">
        <f>IF(I67&lt;=0,0,MAX(0,I67+BF68-BG68))</f>
        <v/>
      </c>
      <c r="J68" s="13">
        <f>IF(J67&lt;=0,0,MAX(0,J67+BI68-BJ68))</f>
        <v/>
      </c>
      <c r="K68" s="13">
        <f>IF(K67&lt;=0,0,MAX(0,K67+BL68-BM68))</f>
        <v/>
      </c>
      <c r="L68" s="13">
        <f>IF(L67&lt;=0,0,MAX(0,L67+BO68-BP68))</f>
        <v/>
      </c>
      <c r="M68" s="13">
        <f>IF(M67&lt;=0,0,MAX(0,M67+BR68-BS68))</f>
        <v/>
      </c>
      <c r="N68" s="13">
        <f>IF(N67&lt;=0,0,MAX(0,N67+BU68-BV68))</f>
        <v/>
      </c>
      <c r="O68" s="13">
        <f>IF(O67&lt;=0,0,MAX(0,O67+BX68-BY68))</f>
        <v/>
      </c>
      <c r="P68" s="13">
        <f>IF(P67&lt;=0,0,MAX(0,P67+CA68-CB68))</f>
        <v/>
      </c>
      <c r="Q68" s="13">
        <f>IF(Q67&lt;=0,0,MAX(0,Q67+CD68-CE68))</f>
        <v/>
      </c>
      <c r="R68" s="13">
        <f>IF(R67&lt;=0,0,MAX(0,R67+CG68-CH68))</f>
        <v/>
      </c>
      <c r="S68" s="13">
        <f>IF(S67&lt;=0,0,MAX(0,S67+CJ68-CK68))</f>
        <v/>
      </c>
      <c r="T68" s="13">
        <f>IF(T67&lt;=0,0,MAX(0,T67+CM68-CN68))</f>
        <v/>
      </c>
      <c r="U68" s="13">
        <f>IF(U67&lt;=0,0,MAX(0,U67+CP68-CQ68))</f>
        <v/>
      </c>
      <c r="V68" s="13">
        <f>IF(V67&lt;=0,0,MAX(0,V67+CS68-CT68))</f>
        <v/>
      </c>
      <c r="W68" s="13">
        <f>AO68+AR68+AU68+AX68+BA68+BD68+BG68+BJ68+BM68+BP68+BS68+BV68+BY68+CB68+CE68+CH68+CK68+CN68+CQ68+CT68</f>
        <v/>
      </c>
      <c r="X68" s="13">
        <f>AN68+AQ68+AT68+AW68+AZ68+BC68+BF68+BI68+BL68+BO68+BR68+BU68+BX68+CA68+CD68+CG68+CJ68+CM68+CP68+CS68</f>
        <v/>
      </c>
      <c r="Y68" s="27">
        <f>C68+D68+E68+F68+G68+H68+I68+J68+K68+L68+M68+N68+O68+P68+Q68+R68+S68+T68+U68+V68</f>
        <v/>
      </c>
      <c r="AN68">
        <f>IF(C67&lt;=0,0,C67*$E$5/12)</f>
        <v/>
      </c>
      <c r="AO68">
        <f>IF(C67&lt;=0,0,MIN(C67+AN68,$F$5+(Dashboard!$C$11+IF(C67&lt;=0,$F$5,0)+IF(D67&lt;=0,$F$6,0)+IF(E67&lt;=0,$F$7,0)+IF(F67&lt;=0,$F$8,0)+IF(G67&lt;=0,$F$9,0)+IF(H67&lt;=0,$F$10,0)+IF(I67&lt;=0,$F$11,0)+IF(J67&lt;=0,$F$12,0)+IF(K67&lt;=0,$F$13,0)+IF(L67&lt;=0,$F$14,0)+IF(M67&lt;=0,$F$15,0)+IF(N67&lt;=0,$F$16,0)+IF(O67&lt;=0,$F$17,0)+IF(P67&lt;=0,$F$18,0)+IF(Q67&lt;=0,$F$19,0)+IF(R67&lt;=0,$F$20,0)+IF(S67&lt;=0,$F$21,0)+IF(T67&lt;=0,$F$22,0)+IF(U67&lt;=0,$F$23,0)+IF(V67&lt;=0,$F$24,0))))</f>
        <v/>
      </c>
      <c r="AP68">
        <f>IF(C67&lt;=0,(Dashboard!$C$11+IF(C67&lt;=0,$F$5,0)+IF(D67&lt;=0,$F$6,0)+IF(E67&lt;=0,$F$7,0)+IF(F67&lt;=0,$F$8,0)+IF(G67&lt;=0,$F$9,0)+IF(H67&lt;=0,$F$10,0)+IF(I67&lt;=0,$F$11,0)+IF(J67&lt;=0,$F$12,0)+IF(K67&lt;=0,$F$13,0)+IF(L67&lt;=0,$F$14,0)+IF(M67&lt;=0,$F$15,0)+IF(N67&lt;=0,$F$16,0)+IF(O67&lt;=0,$F$17,0)+IF(P67&lt;=0,$F$18,0)+IF(Q67&lt;=0,$F$19,0)+IF(R67&lt;=0,$F$20,0)+IF(S67&lt;=0,$F$21,0)+IF(T67&lt;=0,$F$22,0)+IF(U67&lt;=0,$F$23,0)+IF(V67&lt;=0,$F$24,0)),MAX(0,$F$5+(Dashboard!$C$11+IF(C67&lt;=0,$F$5,0)+IF(D67&lt;=0,$F$6,0)+IF(E67&lt;=0,$F$7,0)+IF(F67&lt;=0,$F$8,0)+IF(G67&lt;=0,$F$9,0)+IF(H67&lt;=0,$F$10,0)+IF(I67&lt;=0,$F$11,0)+IF(J67&lt;=0,$F$12,0)+IF(K67&lt;=0,$F$13,0)+IF(L67&lt;=0,$F$14,0)+IF(M67&lt;=0,$F$15,0)+IF(N67&lt;=0,$F$16,0)+IF(O67&lt;=0,$F$17,0)+IF(P67&lt;=0,$F$18,0)+IF(Q67&lt;=0,$F$19,0)+IF(R67&lt;=0,$F$20,0)+IF(S67&lt;=0,$F$21,0)+IF(T67&lt;=0,$F$22,0)+IF(U67&lt;=0,$F$23,0)+IF(V67&lt;=0,$F$24,0))-C67-AN68))</f>
        <v/>
      </c>
      <c r="AQ68">
        <f>IF(D67&lt;=0,0,D67*$E$6/12)</f>
        <v/>
      </c>
      <c r="AR68">
        <f>IF(D67&lt;=0,0,MIN(D67+AQ68,$F$6+AP68))</f>
        <v/>
      </c>
      <c r="AS68">
        <f>IF(D67&lt;=0,AP68,MAX(0,$F$6+AP68-D67-AQ68))</f>
        <v/>
      </c>
      <c r="AT68">
        <f>IF(E67&lt;=0,0,E67*$E$7/12)</f>
        <v/>
      </c>
      <c r="AU68">
        <f>IF(E67&lt;=0,0,MIN(E67+AT68,$F$7+AS68))</f>
        <v/>
      </c>
      <c r="AV68">
        <f>IF(E67&lt;=0,AS68,MAX(0,$F$7+AS68-E67-AT68))</f>
        <v/>
      </c>
      <c r="AW68">
        <f>IF(F67&lt;=0,0,F67*$E$8/12)</f>
        <v/>
      </c>
      <c r="AX68">
        <f>IF(F67&lt;=0,0,MIN(F67+AW68,$F$8+AV68))</f>
        <v/>
      </c>
      <c r="AY68">
        <f>IF(F67&lt;=0,AV68,MAX(0,$F$8+AV68-F67-AW68))</f>
        <v/>
      </c>
      <c r="AZ68">
        <f>IF(G67&lt;=0,0,G67*$E$9/12)</f>
        <v/>
      </c>
      <c r="BA68">
        <f>IF(G67&lt;=0,0,MIN(G67+AZ68,$F$9+AY68))</f>
        <v/>
      </c>
      <c r="BB68">
        <f>IF(G67&lt;=0,AY68,MAX(0,$F$9+AY68-G67-AZ68))</f>
        <v/>
      </c>
      <c r="BC68">
        <f>IF(H67&lt;=0,0,H67*$E$10/12)</f>
        <v/>
      </c>
      <c r="BD68">
        <f>IF(H67&lt;=0,0,MIN(H67+BC68,$F$10+BB68))</f>
        <v/>
      </c>
      <c r="BE68">
        <f>IF(H67&lt;=0,BB68,MAX(0,$F$10+BB68-H67-BC68))</f>
        <v/>
      </c>
      <c r="BF68">
        <f>IF(I67&lt;=0,0,I67*$E$11/12)</f>
        <v/>
      </c>
      <c r="BG68">
        <f>IF(I67&lt;=0,0,MIN(I67+BF68,$F$11+BE68))</f>
        <v/>
      </c>
      <c r="BH68">
        <f>IF(I67&lt;=0,BE68,MAX(0,$F$11+BE68-I67-BF68))</f>
        <v/>
      </c>
      <c r="BI68">
        <f>IF(J67&lt;=0,0,J67*$E$12/12)</f>
        <v/>
      </c>
      <c r="BJ68">
        <f>IF(J67&lt;=0,0,MIN(J67+BI68,$F$12+BH68))</f>
        <v/>
      </c>
      <c r="BK68">
        <f>IF(J67&lt;=0,BH68,MAX(0,$F$12+BH68-J67-BI68))</f>
        <v/>
      </c>
      <c r="BL68">
        <f>IF(K67&lt;=0,0,K67*$E$13/12)</f>
        <v/>
      </c>
      <c r="BM68">
        <f>IF(K67&lt;=0,0,MIN(K67+BL68,$F$13+BK68))</f>
        <v/>
      </c>
      <c r="BN68">
        <f>IF(K67&lt;=0,BK68,MAX(0,$F$13+BK68-K67-BL68))</f>
        <v/>
      </c>
      <c r="BO68">
        <f>IF(L67&lt;=0,0,L67*$E$14/12)</f>
        <v/>
      </c>
      <c r="BP68">
        <f>IF(L67&lt;=0,0,MIN(L67+BO68,$F$14+BN68))</f>
        <v/>
      </c>
      <c r="BQ68">
        <f>IF(L67&lt;=0,BN68,MAX(0,$F$14+BN68-L67-BO68))</f>
        <v/>
      </c>
      <c r="BR68">
        <f>IF(M67&lt;=0,0,M67*$E$15/12)</f>
        <v/>
      </c>
      <c r="BS68">
        <f>IF(M67&lt;=0,0,MIN(M67+BR68,$F$15+BQ68))</f>
        <v/>
      </c>
      <c r="BT68">
        <f>IF(M67&lt;=0,BQ68,MAX(0,$F$15+BQ68-M67-BR68))</f>
        <v/>
      </c>
      <c r="BU68">
        <f>IF(N67&lt;=0,0,N67*$E$16/12)</f>
        <v/>
      </c>
      <c r="BV68">
        <f>IF(N67&lt;=0,0,MIN(N67+BU68,$F$16+BT68))</f>
        <v/>
      </c>
      <c r="BW68">
        <f>IF(N67&lt;=0,BT68,MAX(0,$F$16+BT68-N67-BU68))</f>
        <v/>
      </c>
      <c r="BX68">
        <f>IF(O67&lt;=0,0,O67*$E$17/12)</f>
        <v/>
      </c>
      <c r="BY68">
        <f>IF(O67&lt;=0,0,MIN(O67+BX68,$F$17+BW68))</f>
        <v/>
      </c>
      <c r="BZ68">
        <f>IF(O67&lt;=0,BW68,MAX(0,$F$17+BW68-O67-BX68))</f>
        <v/>
      </c>
      <c r="CA68">
        <f>IF(P67&lt;=0,0,P67*$E$18/12)</f>
        <v/>
      </c>
      <c r="CB68">
        <f>IF(P67&lt;=0,0,MIN(P67+CA68,$F$18+BZ68))</f>
        <v/>
      </c>
      <c r="CC68">
        <f>IF(P67&lt;=0,BZ68,MAX(0,$F$18+BZ68-P67-CA68))</f>
        <v/>
      </c>
      <c r="CD68">
        <f>IF(Q67&lt;=0,0,Q67*$E$19/12)</f>
        <v/>
      </c>
      <c r="CE68">
        <f>IF(Q67&lt;=0,0,MIN(Q67+CD68,$F$19+CC68))</f>
        <v/>
      </c>
      <c r="CF68">
        <f>IF(Q67&lt;=0,CC68,MAX(0,$F$19+CC68-Q67-CD68))</f>
        <v/>
      </c>
      <c r="CG68">
        <f>IF(R67&lt;=0,0,R67*$E$20/12)</f>
        <v/>
      </c>
      <c r="CH68">
        <f>IF(R67&lt;=0,0,MIN(R67+CG68,$F$20+CF68))</f>
        <v/>
      </c>
      <c r="CI68">
        <f>IF(R67&lt;=0,CF68,MAX(0,$F$20+CF68-R67-CG68))</f>
        <v/>
      </c>
      <c r="CJ68">
        <f>IF(S67&lt;=0,0,S67*$E$21/12)</f>
        <v/>
      </c>
      <c r="CK68">
        <f>IF(S67&lt;=0,0,MIN(S67+CJ68,$F$21+CI68))</f>
        <v/>
      </c>
      <c r="CL68">
        <f>IF(S67&lt;=0,CI68,MAX(0,$F$21+CI68-S67-CJ68))</f>
        <v/>
      </c>
      <c r="CM68">
        <f>IF(T67&lt;=0,0,T67*$E$22/12)</f>
        <v/>
      </c>
      <c r="CN68">
        <f>IF(T67&lt;=0,0,MIN(T67+CM68,$F$22+CL68))</f>
        <v/>
      </c>
      <c r="CO68">
        <f>IF(T67&lt;=0,CL68,MAX(0,$F$22+CL68-T67-CM68))</f>
        <v/>
      </c>
      <c r="CP68">
        <f>IF(U67&lt;=0,0,U67*$E$23/12)</f>
        <v/>
      </c>
      <c r="CQ68">
        <f>IF(U67&lt;=0,0,MIN(U67+CP68,$F$23+CO68))</f>
        <v/>
      </c>
      <c r="CR68">
        <f>IF(U67&lt;=0,CO68,MAX(0,$F$23+CO68-U67-CP68))</f>
        <v/>
      </c>
      <c r="CS68">
        <f>IF(V67&lt;=0,0,V67*$E$24/12)</f>
        <v/>
      </c>
      <c r="CT68">
        <f>IF(V67&lt;=0,0,MIN(V67+CS68,$F$24+CR68))</f>
        <v/>
      </c>
      <c r="CU68">
        <f>IF(V67&lt;=0,CR68,MAX(0,$F$24+CR68-V67-CS68))</f>
        <v/>
      </c>
    </row>
    <row r="69">
      <c r="B69" s="39" t="n">
        <v>43</v>
      </c>
      <c r="C69" s="13">
        <f>IF(C68&lt;=0,0,MAX(0,C68+AN69-AO69))</f>
        <v/>
      </c>
      <c r="D69" s="13">
        <f>IF(D68&lt;=0,0,MAX(0,D68+AQ69-AR69))</f>
        <v/>
      </c>
      <c r="E69" s="13">
        <f>IF(E68&lt;=0,0,MAX(0,E68+AT69-AU69))</f>
        <v/>
      </c>
      <c r="F69" s="13">
        <f>IF(F68&lt;=0,0,MAX(0,F68+AW69-AX69))</f>
        <v/>
      </c>
      <c r="G69" s="13">
        <f>IF(G68&lt;=0,0,MAX(0,G68+AZ69-BA69))</f>
        <v/>
      </c>
      <c r="H69" s="13">
        <f>IF(H68&lt;=0,0,MAX(0,H68+BC69-BD69))</f>
        <v/>
      </c>
      <c r="I69" s="13">
        <f>IF(I68&lt;=0,0,MAX(0,I68+BF69-BG69))</f>
        <v/>
      </c>
      <c r="J69" s="13">
        <f>IF(J68&lt;=0,0,MAX(0,J68+BI69-BJ69))</f>
        <v/>
      </c>
      <c r="K69" s="13">
        <f>IF(K68&lt;=0,0,MAX(0,K68+BL69-BM69))</f>
        <v/>
      </c>
      <c r="L69" s="13">
        <f>IF(L68&lt;=0,0,MAX(0,L68+BO69-BP69))</f>
        <v/>
      </c>
      <c r="M69" s="13">
        <f>IF(M68&lt;=0,0,MAX(0,M68+BR69-BS69))</f>
        <v/>
      </c>
      <c r="N69" s="13">
        <f>IF(N68&lt;=0,0,MAX(0,N68+BU69-BV69))</f>
        <v/>
      </c>
      <c r="O69" s="13">
        <f>IF(O68&lt;=0,0,MAX(0,O68+BX69-BY69))</f>
        <v/>
      </c>
      <c r="P69" s="13">
        <f>IF(P68&lt;=0,0,MAX(0,P68+CA69-CB69))</f>
        <v/>
      </c>
      <c r="Q69" s="13">
        <f>IF(Q68&lt;=0,0,MAX(0,Q68+CD69-CE69))</f>
        <v/>
      </c>
      <c r="R69" s="13">
        <f>IF(R68&lt;=0,0,MAX(0,R68+CG69-CH69))</f>
        <v/>
      </c>
      <c r="S69" s="13">
        <f>IF(S68&lt;=0,0,MAX(0,S68+CJ69-CK69))</f>
        <v/>
      </c>
      <c r="T69" s="13">
        <f>IF(T68&lt;=0,0,MAX(0,T68+CM69-CN69))</f>
        <v/>
      </c>
      <c r="U69" s="13">
        <f>IF(U68&lt;=0,0,MAX(0,U68+CP69-CQ69))</f>
        <v/>
      </c>
      <c r="V69" s="13">
        <f>IF(V68&lt;=0,0,MAX(0,V68+CS69-CT69))</f>
        <v/>
      </c>
      <c r="W69" s="13">
        <f>AO69+AR69+AU69+AX69+BA69+BD69+BG69+BJ69+BM69+BP69+BS69+BV69+BY69+CB69+CE69+CH69+CK69+CN69+CQ69+CT69</f>
        <v/>
      </c>
      <c r="X69" s="13">
        <f>AN69+AQ69+AT69+AW69+AZ69+BC69+BF69+BI69+BL69+BO69+BR69+BU69+BX69+CA69+CD69+CG69+CJ69+CM69+CP69+CS69</f>
        <v/>
      </c>
      <c r="Y69" s="27">
        <f>C69+D69+E69+F69+G69+H69+I69+J69+K69+L69+M69+N69+O69+P69+Q69+R69+S69+T69+U69+V69</f>
        <v/>
      </c>
      <c r="AN69">
        <f>IF(C68&lt;=0,0,C68*$E$5/12)</f>
        <v/>
      </c>
      <c r="AO69">
        <f>IF(C68&lt;=0,0,MIN(C68+AN69,$F$5+(Dashboard!$C$11+IF(C68&lt;=0,$F$5,0)+IF(D68&lt;=0,$F$6,0)+IF(E68&lt;=0,$F$7,0)+IF(F68&lt;=0,$F$8,0)+IF(G68&lt;=0,$F$9,0)+IF(H68&lt;=0,$F$10,0)+IF(I68&lt;=0,$F$11,0)+IF(J68&lt;=0,$F$12,0)+IF(K68&lt;=0,$F$13,0)+IF(L68&lt;=0,$F$14,0)+IF(M68&lt;=0,$F$15,0)+IF(N68&lt;=0,$F$16,0)+IF(O68&lt;=0,$F$17,0)+IF(P68&lt;=0,$F$18,0)+IF(Q68&lt;=0,$F$19,0)+IF(R68&lt;=0,$F$20,0)+IF(S68&lt;=0,$F$21,0)+IF(T68&lt;=0,$F$22,0)+IF(U68&lt;=0,$F$23,0)+IF(V68&lt;=0,$F$24,0))))</f>
        <v/>
      </c>
      <c r="AP69">
        <f>IF(C68&lt;=0,(Dashboard!$C$11+IF(C68&lt;=0,$F$5,0)+IF(D68&lt;=0,$F$6,0)+IF(E68&lt;=0,$F$7,0)+IF(F68&lt;=0,$F$8,0)+IF(G68&lt;=0,$F$9,0)+IF(H68&lt;=0,$F$10,0)+IF(I68&lt;=0,$F$11,0)+IF(J68&lt;=0,$F$12,0)+IF(K68&lt;=0,$F$13,0)+IF(L68&lt;=0,$F$14,0)+IF(M68&lt;=0,$F$15,0)+IF(N68&lt;=0,$F$16,0)+IF(O68&lt;=0,$F$17,0)+IF(P68&lt;=0,$F$18,0)+IF(Q68&lt;=0,$F$19,0)+IF(R68&lt;=0,$F$20,0)+IF(S68&lt;=0,$F$21,0)+IF(T68&lt;=0,$F$22,0)+IF(U68&lt;=0,$F$23,0)+IF(V68&lt;=0,$F$24,0)),MAX(0,$F$5+(Dashboard!$C$11+IF(C68&lt;=0,$F$5,0)+IF(D68&lt;=0,$F$6,0)+IF(E68&lt;=0,$F$7,0)+IF(F68&lt;=0,$F$8,0)+IF(G68&lt;=0,$F$9,0)+IF(H68&lt;=0,$F$10,0)+IF(I68&lt;=0,$F$11,0)+IF(J68&lt;=0,$F$12,0)+IF(K68&lt;=0,$F$13,0)+IF(L68&lt;=0,$F$14,0)+IF(M68&lt;=0,$F$15,0)+IF(N68&lt;=0,$F$16,0)+IF(O68&lt;=0,$F$17,0)+IF(P68&lt;=0,$F$18,0)+IF(Q68&lt;=0,$F$19,0)+IF(R68&lt;=0,$F$20,0)+IF(S68&lt;=0,$F$21,0)+IF(T68&lt;=0,$F$22,0)+IF(U68&lt;=0,$F$23,0)+IF(V68&lt;=0,$F$24,0))-C68-AN69))</f>
        <v/>
      </c>
      <c r="AQ69">
        <f>IF(D68&lt;=0,0,D68*$E$6/12)</f>
        <v/>
      </c>
      <c r="AR69">
        <f>IF(D68&lt;=0,0,MIN(D68+AQ69,$F$6+AP69))</f>
        <v/>
      </c>
      <c r="AS69">
        <f>IF(D68&lt;=0,AP69,MAX(0,$F$6+AP69-D68-AQ69))</f>
        <v/>
      </c>
      <c r="AT69">
        <f>IF(E68&lt;=0,0,E68*$E$7/12)</f>
        <v/>
      </c>
      <c r="AU69">
        <f>IF(E68&lt;=0,0,MIN(E68+AT69,$F$7+AS69))</f>
        <v/>
      </c>
      <c r="AV69">
        <f>IF(E68&lt;=0,AS69,MAX(0,$F$7+AS69-E68-AT69))</f>
        <v/>
      </c>
      <c r="AW69">
        <f>IF(F68&lt;=0,0,F68*$E$8/12)</f>
        <v/>
      </c>
      <c r="AX69">
        <f>IF(F68&lt;=0,0,MIN(F68+AW69,$F$8+AV69))</f>
        <v/>
      </c>
      <c r="AY69">
        <f>IF(F68&lt;=0,AV69,MAX(0,$F$8+AV69-F68-AW69))</f>
        <v/>
      </c>
      <c r="AZ69">
        <f>IF(G68&lt;=0,0,G68*$E$9/12)</f>
        <v/>
      </c>
      <c r="BA69">
        <f>IF(G68&lt;=0,0,MIN(G68+AZ69,$F$9+AY69))</f>
        <v/>
      </c>
      <c r="BB69">
        <f>IF(G68&lt;=0,AY69,MAX(0,$F$9+AY69-G68-AZ69))</f>
        <v/>
      </c>
      <c r="BC69">
        <f>IF(H68&lt;=0,0,H68*$E$10/12)</f>
        <v/>
      </c>
      <c r="BD69">
        <f>IF(H68&lt;=0,0,MIN(H68+BC69,$F$10+BB69))</f>
        <v/>
      </c>
      <c r="BE69">
        <f>IF(H68&lt;=0,BB69,MAX(0,$F$10+BB69-H68-BC69))</f>
        <v/>
      </c>
      <c r="BF69">
        <f>IF(I68&lt;=0,0,I68*$E$11/12)</f>
        <v/>
      </c>
      <c r="BG69">
        <f>IF(I68&lt;=0,0,MIN(I68+BF69,$F$11+BE69))</f>
        <v/>
      </c>
      <c r="BH69">
        <f>IF(I68&lt;=0,BE69,MAX(0,$F$11+BE69-I68-BF69))</f>
        <v/>
      </c>
      <c r="BI69">
        <f>IF(J68&lt;=0,0,J68*$E$12/12)</f>
        <v/>
      </c>
      <c r="BJ69">
        <f>IF(J68&lt;=0,0,MIN(J68+BI69,$F$12+BH69))</f>
        <v/>
      </c>
      <c r="BK69">
        <f>IF(J68&lt;=0,BH69,MAX(0,$F$12+BH69-J68-BI69))</f>
        <v/>
      </c>
      <c r="BL69">
        <f>IF(K68&lt;=0,0,K68*$E$13/12)</f>
        <v/>
      </c>
      <c r="BM69">
        <f>IF(K68&lt;=0,0,MIN(K68+BL69,$F$13+BK69))</f>
        <v/>
      </c>
      <c r="BN69">
        <f>IF(K68&lt;=0,BK69,MAX(0,$F$13+BK69-K68-BL69))</f>
        <v/>
      </c>
      <c r="BO69">
        <f>IF(L68&lt;=0,0,L68*$E$14/12)</f>
        <v/>
      </c>
      <c r="BP69">
        <f>IF(L68&lt;=0,0,MIN(L68+BO69,$F$14+BN69))</f>
        <v/>
      </c>
      <c r="BQ69">
        <f>IF(L68&lt;=0,BN69,MAX(0,$F$14+BN69-L68-BO69))</f>
        <v/>
      </c>
      <c r="BR69">
        <f>IF(M68&lt;=0,0,M68*$E$15/12)</f>
        <v/>
      </c>
      <c r="BS69">
        <f>IF(M68&lt;=0,0,MIN(M68+BR69,$F$15+BQ69))</f>
        <v/>
      </c>
      <c r="BT69">
        <f>IF(M68&lt;=0,BQ69,MAX(0,$F$15+BQ69-M68-BR69))</f>
        <v/>
      </c>
      <c r="BU69">
        <f>IF(N68&lt;=0,0,N68*$E$16/12)</f>
        <v/>
      </c>
      <c r="BV69">
        <f>IF(N68&lt;=0,0,MIN(N68+BU69,$F$16+BT69))</f>
        <v/>
      </c>
      <c r="BW69">
        <f>IF(N68&lt;=0,BT69,MAX(0,$F$16+BT69-N68-BU69))</f>
        <v/>
      </c>
      <c r="BX69">
        <f>IF(O68&lt;=0,0,O68*$E$17/12)</f>
        <v/>
      </c>
      <c r="BY69">
        <f>IF(O68&lt;=0,0,MIN(O68+BX69,$F$17+BW69))</f>
        <v/>
      </c>
      <c r="BZ69">
        <f>IF(O68&lt;=0,BW69,MAX(0,$F$17+BW69-O68-BX69))</f>
        <v/>
      </c>
      <c r="CA69">
        <f>IF(P68&lt;=0,0,P68*$E$18/12)</f>
        <v/>
      </c>
      <c r="CB69">
        <f>IF(P68&lt;=0,0,MIN(P68+CA69,$F$18+BZ69))</f>
        <v/>
      </c>
      <c r="CC69">
        <f>IF(P68&lt;=0,BZ69,MAX(0,$F$18+BZ69-P68-CA69))</f>
        <v/>
      </c>
      <c r="CD69">
        <f>IF(Q68&lt;=0,0,Q68*$E$19/12)</f>
        <v/>
      </c>
      <c r="CE69">
        <f>IF(Q68&lt;=0,0,MIN(Q68+CD69,$F$19+CC69))</f>
        <v/>
      </c>
      <c r="CF69">
        <f>IF(Q68&lt;=0,CC69,MAX(0,$F$19+CC69-Q68-CD69))</f>
        <v/>
      </c>
      <c r="CG69">
        <f>IF(R68&lt;=0,0,R68*$E$20/12)</f>
        <v/>
      </c>
      <c r="CH69">
        <f>IF(R68&lt;=0,0,MIN(R68+CG69,$F$20+CF69))</f>
        <v/>
      </c>
      <c r="CI69">
        <f>IF(R68&lt;=0,CF69,MAX(0,$F$20+CF69-R68-CG69))</f>
        <v/>
      </c>
      <c r="CJ69">
        <f>IF(S68&lt;=0,0,S68*$E$21/12)</f>
        <v/>
      </c>
      <c r="CK69">
        <f>IF(S68&lt;=0,0,MIN(S68+CJ69,$F$21+CI69))</f>
        <v/>
      </c>
      <c r="CL69">
        <f>IF(S68&lt;=0,CI69,MAX(0,$F$21+CI69-S68-CJ69))</f>
        <v/>
      </c>
      <c r="CM69">
        <f>IF(T68&lt;=0,0,T68*$E$22/12)</f>
        <v/>
      </c>
      <c r="CN69">
        <f>IF(T68&lt;=0,0,MIN(T68+CM69,$F$22+CL69))</f>
        <v/>
      </c>
      <c r="CO69">
        <f>IF(T68&lt;=0,CL69,MAX(0,$F$22+CL69-T68-CM69))</f>
        <v/>
      </c>
      <c r="CP69">
        <f>IF(U68&lt;=0,0,U68*$E$23/12)</f>
        <v/>
      </c>
      <c r="CQ69">
        <f>IF(U68&lt;=0,0,MIN(U68+CP69,$F$23+CO69))</f>
        <v/>
      </c>
      <c r="CR69">
        <f>IF(U68&lt;=0,CO69,MAX(0,$F$23+CO69-U68-CP69))</f>
        <v/>
      </c>
      <c r="CS69">
        <f>IF(V68&lt;=0,0,V68*$E$24/12)</f>
        <v/>
      </c>
      <c r="CT69">
        <f>IF(V68&lt;=0,0,MIN(V68+CS69,$F$24+CR69))</f>
        <v/>
      </c>
      <c r="CU69">
        <f>IF(V68&lt;=0,CR69,MAX(0,$F$24+CR69-V68-CS69))</f>
        <v/>
      </c>
    </row>
    <row r="70">
      <c r="B70" s="39" t="n">
        <v>44</v>
      </c>
      <c r="C70" s="13">
        <f>IF(C69&lt;=0,0,MAX(0,C69+AN70-AO70))</f>
        <v/>
      </c>
      <c r="D70" s="13">
        <f>IF(D69&lt;=0,0,MAX(0,D69+AQ70-AR70))</f>
        <v/>
      </c>
      <c r="E70" s="13">
        <f>IF(E69&lt;=0,0,MAX(0,E69+AT70-AU70))</f>
        <v/>
      </c>
      <c r="F70" s="13">
        <f>IF(F69&lt;=0,0,MAX(0,F69+AW70-AX70))</f>
        <v/>
      </c>
      <c r="G70" s="13">
        <f>IF(G69&lt;=0,0,MAX(0,G69+AZ70-BA70))</f>
        <v/>
      </c>
      <c r="H70" s="13">
        <f>IF(H69&lt;=0,0,MAX(0,H69+BC70-BD70))</f>
        <v/>
      </c>
      <c r="I70" s="13">
        <f>IF(I69&lt;=0,0,MAX(0,I69+BF70-BG70))</f>
        <v/>
      </c>
      <c r="J70" s="13">
        <f>IF(J69&lt;=0,0,MAX(0,J69+BI70-BJ70))</f>
        <v/>
      </c>
      <c r="K70" s="13">
        <f>IF(K69&lt;=0,0,MAX(0,K69+BL70-BM70))</f>
        <v/>
      </c>
      <c r="L70" s="13">
        <f>IF(L69&lt;=0,0,MAX(0,L69+BO70-BP70))</f>
        <v/>
      </c>
      <c r="M70" s="13">
        <f>IF(M69&lt;=0,0,MAX(0,M69+BR70-BS70))</f>
        <v/>
      </c>
      <c r="N70" s="13">
        <f>IF(N69&lt;=0,0,MAX(0,N69+BU70-BV70))</f>
        <v/>
      </c>
      <c r="O70" s="13">
        <f>IF(O69&lt;=0,0,MAX(0,O69+BX70-BY70))</f>
        <v/>
      </c>
      <c r="P70" s="13">
        <f>IF(P69&lt;=0,0,MAX(0,P69+CA70-CB70))</f>
        <v/>
      </c>
      <c r="Q70" s="13">
        <f>IF(Q69&lt;=0,0,MAX(0,Q69+CD70-CE70))</f>
        <v/>
      </c>
      <c r="R70" s="13">
        <f>IF(R69&lt;=0,0,MAX(0,R69+CG70-CH70))</f>
        <v/>
      </c>
      <c r="S70" s="13">
        <f>IF(S69&lt;=0,0,MAX(0,S69+CJ70-CK70))</f>
        <v/>
      </c>
      <c r="T70" s="13">
        <f>IF(T69&lt;=0,0,MAX(0,T69+CM70-CN70))</f>
        <v/>
      </c>
      <c r="U70" s="13">
        <f>IF(U69&lt;=0,0,MAX(0,U69+CP70-CQ70))</f>
        <v/>
      </c>
      <c r="V70" s="13">
        <f>IF(V69&lt;=0,0,MAX(0,V69+CS70-CT70))</f>
        <v/>
      </c>
      <c r="W70" s="13">
        <f>AO70+AR70+AU70+AX70+BA70+BD70+BG70+BJ70+BM70+BP70+BS70+BV70+BY70+CB70+CE70+CH70+CK70+CN70+CQ70+CT70</f>
        <v/>
      </c>
      <c r="X70" s="13">
        <f>AN70+AQ70+AT70+AW70+AZ70+BC70+BF70+BI70+BL70+BO70+BR70+BU70+BX70+CA70+CD70+CG70+CJ70+CM70+CP70+CS70</f>
        <v/>
      </c>
      <c r="Y70" s="27">
        <f>C70+D70+E70+F70+G70+H70+I70+J70+K70+L70+M70+N70+O70+P70+Q70+R70+S70+T70+U70+V70</f>
        <v/>
      </c>
      <c r="AN70">
        <f>IF(C69&lt;=0,0,C69*$E$5/12)</f>
        <v/>
      </c>
      <c r="AO70">
        <f>IF(C69&lt;=0,0,MIN(C69+AN70,$F$5+(Dashboard!$C$11+IF(C69&lt;=0,$F$5,0)+IF(D69&lt;=0,$F$6,0)+IF(E69&lt;=0,$F$7,0)+IF(F69&lt;=0,$F$8,0)+IF(G69&lt;=0,$F$9,0)+IF(H69&lt;=0,$F$10,0)+IF(I69&lt;=0,$F$11,0)+IF(J69&lt;=0,$F$12,0)+IF(K69&lt;=0,$F$13,0)+IF(L69&lt;=0,$F$14,0)+IF(M69&lt;=0,$F$15,0)+IF(N69&lt;=0,$F$16,0)+IF(O69&lt;=0,$F$17,0)+IF(P69&lt;=0,$F$18,0)+IF(Q69&lt;=0,$F$19,0)+IF(R69&lt;=0,$F$20,0)+IF(S69&lt;=0,$F$21,0)+IF(T69&lt;=0,$F$22,0)+IF(U69&lt;=0,$F$23,0)+IF(V69&lt;=0,$F$24,0))))</f>
        <v/>
      </c>
      <c r="AP70">
        <f>IF(C69&lt;=0,(Dashboard!$C$11+IF(C69&lt;=0,$F$5,0)+IF(D69&lt;=0,$F$6,0)+IF(E69&lt;=0,$F$7,0)+IF(F69&lt;=0,$F$8,0)+IF(G69&lt;=0,$F$9,0)+IF(H69&lt;=0,$F$10,0)+IF(I69&lt;=0,$F$11,0)+IF(J69&lt;=0,$F$12,0)+IF(K69&lt;=0,$F$13,0)+IF(L69&lt;=0,$F$14,0)+IF(M69&lt;=0,$F$15,0)+IF(N69&lt;=0,$F$16,0)+IF(O69&lt;=0,$F$17,0)+IF(P69&lt;=0,$F$18,0)+IF(Q69&lt;=0,$F$19,0)+IF(R69&lt;=0,$F$20,0)+IF(S69&lt;=0,$F$21,0)+IF(T69&lt;=0,$F$22,0)+IF(U69&lt;=0,$F$23,0)+IF(V69&lt;=0,$F$24,0)),MAX(0,$F$5+(Dashboard!$C$11+IF(C69&lt;=0,$F$5,0)+IF(D69&lt;=0,$F$6,0)+IF(E69&lt;=0,$F$7,0)+IF(F69&lt;=0,$F$8,0)+IF(G69&lt;=0,$F$9,0)+IF(H69&lt;=0,$F$10,0)+IF(I69&lt;=0,$F$11,0)+IF(J69&lt;=0,$F$12,0)+IF(K69&lt;=0,$F$13,0)+IF(L69&lt;=0,$F$14,0)+IF(M69&lt;=0,$F$15,0)+IF(N69&lt;=0,$F$16,0)+IF(O69&lt;=0,$F$17,0)+IF(P69&lt;=0,$F$18,0)+IF(Q69&lt;=0,$F$19,0)+IF(R69&lt;=0,$F$20,0)+IF(S69&lt;=0,$F$21,0)+IF(T69&lt;=0,$F$22,0)+IF(U69&lt;=0,$F$23,0)+IF(V69&lt;=0,$F$24,0))-C69-AN70))</f>
        <v/>
      </c>
      <c r="AQ70">
        <f>IF(D69&lt;=0,0,D69*$E$6/12)</f>
        <v/>
      </c>
      <c r="AR70">
        <f>IF(D69&lt;=0,0,MIN(D69+AQ70,$F$6+AP70))</f>
        <v/>
      </c>
      <c r="AS70">
        <f>IF(D69&lt;=0,AP70,MAX(0,$F$6+AP70-D69-AQ70))</f>
        <v/>
      </c>
      <c r="AT70">
        <f>IF(E69&lt;=0,0,E69*$E$7/12)</f>
        <v/>
      </c>
      <c r="AU70">
        <f>IF(E69&lt;=0,0,MIN(E69+AT70,$F$7+AS70))</f>
        <v/>
      </c>
      <c r="AV70">
        <f>IF(E69&lt;=0,AS70,MAX(0,$F$7+AS70-E69-AT70))</f>
        <v/>
      </c>
      <c r="AW70">
        <f>IF(F69&lt;=0,0,F69*$E$8/12)</f>
        <v/>
      </c>
      <c r="AX70">
        <f>IF(F69&lt;=0,0,MIN(F69+AW70,$F$8+AV70))</f>
        <v/>
      </c>
      <c r="AY70">
        <f>IF(F69&lt;=0,AV70,MAX(0,$F$8+AV70-F69-AW70))</f>
        <v/>
      </c>
      <c r="AZ70">
        <f>IF(G69&lt;=0,0,G69*$E$9/12)</f>
        <v/>
      </c>
      <c r="BA70">
        <f>IF(G69&lt;=0,0,MIN(G69+AZ70,$F$9+AY70))</f>
        <v/>
      </c>
      <c r="BB70">
        <f>IF(G69&lt;=0,AY70,MAX(0,$F$9+AY70-G69-AZ70))</f>
        <v/>
      </c>
      <c r="BC70">
        <f>IF(H69&lt;=0,0,H69*$E$10/12)</f>
        <v/>
      </c>
      <c r="BD70">
        <f>IF(H69&lt;=0,0,MIN(H69+BC70,$F$10+BB70))</f>
        <v/>
      </c>
      <c r="BE70">
        <f>IF(H69&lt;=0,BB70,MAX(0,$F$10+BB70-H69-BC70))</f>
        <v/>
      </c>
      <c r="BF70">
        <f>IF(I69&lt;=0,0,I69*$E$11/12)</f>
        <v/>
      </c>
      <c r="BG70">
        <f>IF(I69&lt;=0,0,MIN(I69+BF70,$F$11+BE70))</f>
        <v/>
      </c>
      <c r="BH70">
        <f>IF(I69&lt;=0,BE70,MAX(0,$F$11+BE70-I69-BF70))</f>
        <v/>
      </c>
      <c r="BI70">
        <f>IF(J69&lt;=0,0,J69*$E$12/12)</f>
        <v/>
      </c>
      <c r="BJ70">
        <f>IF(J69&lt;=0,0,MIN(J69+BI70,$F$12+BH70))</f>
        <v/>
      </c>
      <c r="BK70">
        <f>IF(J69&lt;=0,BH70,MAX(0,$F$12+BH70-J69-BI70))</f>
        <v/>
      </c>
      <c r="BL70">
        <f>IF(K69&lt;=0,0,K69*$E$13/12)</f>
        <v/>
      </c>
      <c r="BM70">
        <f>IF(K69&lt;=0,0,MIN(K69+BL70,$F$13+BK70))</f>
        <v/>
      </c>
      <c r="BN70">
        <f>IF(K69&lt;=0,BK70,MAX(0,$F$13+BK70-K69-BL70))</f>
        <v/>
      </c>
      <c r="BO70">
        <f>IF(L69&lt;=0,0,L69*$E$14/12)</f>
        <v/>
      </c>
      <c r="BP70">
        <f>IF(L69&lt;=0,0,MIN(L69+BO70,$F$14+BN70))</f>
        <v/>
      </c>
      <c r="BQ70">
        <f>IF(L69&lt;=0,BN70,MAX(0,$F$14+BN70-L69-BO70))</f>
        <v/>
      </c>
      <c r="BR70">
        <f>IF(M69&lt;=0,0,M69*$E$15/12)</f>
        <v/>
      </c>
      <c r="BS70">
        <f>IF(M69&lt;=0,0,MIN(M69+BR70,$F$15+BQ70))</f>
        <v/>
      </c>
      <c r="BT70">
        <f>IF(M69&lt;=0,BQ70,MAX(0,$F$15+BQ70-M69-BR70))</f>
        <v/>
      </c>
      <c r="BU70">
        <f>IF(N69&lt;=0,0,N69*$E$16/12)</f>
        <v/>
      </c>
      <c r="BV70">
        <f>IF(N69&lt;=0,0,MIN(N69+BU70,$F$16+BT70))</f>
        <v/>
      </c>
      <c r="BW70">
        <f>IF(N69&lt;=0,BT70,MAX(0,$F$16+BT70-N69-BU70))</f>
        <v/>
      </c>
      <c r="BX70">
        <f>IF(O69&lt;=0,0,O69*$E$17/12)</f>
        <v/>
      </c>
      <c r="BY70">
        <f>IF(O69&lt;=0,0,MIN(O69+BX70,$F$17+BW70))</f>
        <v/>
      </c>
      <c r="BZ70">
        <f>IF(O69&lt;=0,BW70,MAX(0,$F$17+BW70-O69-BX70))</f>
        <v/>
      </c>
      <c r="CA70">
        <f>IF(P69&lt;=0,0,P69*$E$18/12)</f>
        <v/>
      </c>
      <c r="CB70">
        <f>IF(P69&lt;=0,0,MIN(P69+CA70,$F$18+BZ70))</f>
        <v/>
      </c>
      <c r="CC70">
        <f>IF(P69&lt;=0,BZ70,MAX(0,$F$18+BZ70-P69-CA70))</f>
        <v/>
      </c>
      <c r="CD70">
        <f>IF(Q69&lt;=0,0,Q69*$E$19/12)</f>
        <v/>
      </c>
      <c r="CE70">
        <f>IF(Q69&lt;=0,0,MIN(Q69+CD70,$F$19+CC70))</f>
        <v/>
      </c>
      <c r="CF70">
        <f>IF(Q69&lt;=0,CC70,MAX(0,$F$19+CC70-Q69-CD70))</f>
        <v/>
      </c>
      <c r="CG70">
        <f>IF(R69&lt;=0,0,R69*$E$20/12)</f>
        <v/>
      </c>
      <c r="CH70">
        <f>IF(R69&lt;=0,0,MIN(R69+CG70,$F$20+CF70))</f>
        <v/>
      </c>
      <c r="CI70">
        <f>IF(R69&lt;=0,CF70,MAX(0,$F$20+CF70-R69-CG70))</f>
        <v/>
      </c>
      <c r="CJ70">
        <f>IF(S69&lt;=0,0,S69*$E$21/12)</f>
        <v/>
      </c>
      <c r="CK70">
        <f>IF(S69&lt;=0,0,MIN(S69+CJ70,$F$21+CI70))</f>
        <v/>
      </c>
      <c r="CL70">
        <f>IF(S69&lt;=0,CI70,MAX(0,$F$21+CI70-S69-CJ70))</f>
        <v/>
      </c>
      <c r="CM70">
        <f>IF(T69&lt;=0,0,T69*$E$22/12)</f>
        <v/>
      </c>
      <c r="CN70">
        <f>IF(T69&lt;=0,0,MIN(T69+CM70,$F$22+CL70))</f>
        <v/>
      </c>
      <c r="CO70">
        <f>IF(T69&lt;=0,CL70,MAX(0,$F$22+CL70-T69-CM70))</f>
        <v/>
      </c>
      <c r="CP70">
        <f>IF(U69&lt;=0,0,U69*$E$23/12)</f>
        <v/>
      </c>
      <c r="CQ70">
        <f>IF(U69&lt;=0,0,MIN(U69+CP70,$F$23+CO70))</f>
        <v/>
      </c>
      <c r="CR70">
        <f>IF(U69&lt;=0,CO70,MAX(0,$F$23+CO70-U69-CP70))</f>
        <v/>
      </c>
      <c r="CS70">
        <f>IF(V69&lt;=0,0,V69*$E$24/12)</f>
        <v/>
      </c>
      <c r="CT70">
        <f>IF(V69&lt;=0,0,MIN(V69+CS70,$F$24+CR70))</f>
        <v/>
      </c>
      <c r="CU70">
        <f>IF(V69&lt;=0,CR70,MAX(0,$F$24+CR70-V69-CS70))</f>
        <v/>
      </c>
    </row>
    <row r="71">
      <c r="B71" s="39" t="n">
        <v>45</v>
      </c>
      <c r="C71" s="13">
        <f>IF(C70&lt;=0,0,MAX(0,C70+AN71-AO71))</f>
        <v/>
      </c>
      <c r="D71" s="13">
        <f>IF(D70&lt;=0,0,MAX(0,D70+AQ71-AR71))</f>
        <v/>
      </c>
      <c r="E71" s="13">
        <f>IF(E70&lt;=0,0,MAX(0,E70+AT71-AU71))</f>
        <v/>
      </c>
      <c r="F71" s="13">
        <f>IF(F70&lt;=0,0,MAX(0,F70+AW71-AX71))</f>
        <v/>
      </c>
      <c r="G71" s="13">
        <f>IF(G70&lt;=0,0,MAX(0,G70+AZ71-BA71))</f>
        <v/>
      </c>
      <c r="H71" s="13">
        <f>IF(H70&lt;=0,0,MAX(0,H70+BC71-BD71))</f>
        <v/>
      </c>
      <c r="I71" s="13">
        <f>IF(I70&lt;=0,0,MAX(0,I70+BF71-BG71))</f>
        <v/>
      </c>
      <c r="J71" s="13">
        <f>IF(J70&lt;=0,0,MAX(0,J70+BI71-BJ71))</f>
        <v/>
      </c>
      <c r="K71" s="13">
        <f>IF(K70&lt;=0,0,MAX(0,K70+BL71-BM71))</f>
        <v/>
      </c>
      <c r="L71" s="13">
        <f>IF(L70&lt;=0,0,MAX(0,L70+BO71-BP71))</f>
        <v/>
      </c>
      <c r="M71" s="13">
        <f>IF(M70&lt;=0,0,MAX(0,M70+BR71-BS71))</f>
        <v/>
      </c>
      <c r="N71" s="13">
        <f>IF(N70&lt;=0,0,MAX(0,N70+BU71-BV71))</f>
        <v/>
      </c>
      <c r="O71" s="13">
        <f>IF(O70&lt;=0,0,MAX(0,O70+BX71-BY71))</f>
        <v/>
      </c>
      <c r="P71" s="13">
        <f>IF(P70&lt;=0,0,MAX(0,P70+CA71-CB71))</f>
        <v/>
      </c>
      <c r="Q71" s="13">
        <f>IF(Q70&lt;=0,0,MAX(0,Q70+CD71-CE71))</f>
        <v/>
      </c>
      <c r="R71" s="13">
        <f>IF(R70&lt;=0,0,MAX(0,R70+CG71-CH71))</f>
        <v/>
      </c>
      <c r="S71" s="13">
        <f>IF(S70&lt;=0,0,MAX(0,S70+CJ71-CK71))</f>
        <v/>
      </c>
      <c r="T71" s="13">
        <f>IF(T70&lt;=0,0,MAX(0,T70+CM71-CN71))</f>
        <v/>
      </c>
      <c r="U71" s="13">
        <f>IF(U70&lt;=0,0,MAX(0,U70+CP71-CQ71))</f>
        <v/>
      </c>
      <c r="V71" s="13">
        <f>IF(V70&lt;=0,0,MAX(0,V70+CS71-CT71))</f>
        <v/>
      </c>
      <c r="W71" s="13">
        <f>AO71+AR71+AU71+AX71+BA71+BD71+BG71+BJ71+BM71+BP71+BS71+BV71+BY71+CB71+CE71+CH71+CK71+CN71+CQ71+CT71</f>
        <v/>
      </c>
      <c r="X71" s="13">
        <f>AN71+AQ71+AT71+AW71+AZ71+BC71+BF71+BI71+BL71+BO71+BR71+BU71+BX71+CA71+CD71+CG71+CJ71+CM71+CP71+CS71</f>
        <v/>
      </c>
      <c r="Y71" s="27">
        <f>C71+D71+E71+F71+G71+H71+I71+J71+K71+L71+M71+N71+O71+P71+Q71+R71+S71+T71+U71+V71</f>
        <v/>
      </c>
      <c r="AN71">
        <f>IF(C70&lt;=0,0,C70*$E$5/12)</f>
        <v/>
      </c>
      <c r="AO71">
        <f>IF(C70&lt;=0,0,MIN(C70+AN71,$F$5+(Dashboard!$C$11+IF(C70&lt;=0,$F$5,0)+IF(D70&lt;=0,$F$6,0)+IF(E70&lt;=0,$F$7,0)+IF(F70&lt;=0,$F$8,0)+IF(G70&lt;=0,$F$9,0)+IF(H70&lt;=0,$F$10,0)+IF(I70&lt;=0,$F$11,0)+IF(J70&lt;=0,$F$12,0)+IF(K70&lt;=0,$F$13,0)+IF(L70&lt;=0,$F$14,0)+IF(M70&lt;=0,$F$15,0)+IF(N70&lt;=0,$F$16,0)+IF(O70&lt;=0,$F$17,0)+IF(P70&lt;=0,$F$18,0)+IF(Q70&lt;=0,$F$19,0)+IF(R70&lt;=0,$F$20,0)+IF(S70&lt;=0,$F$21,0)+IF(T70&lt;=0,$F$22,0)+IF(U70&lt;=0,$F$23,0)+IF(V70&lt;=0,$F$24,0))))</f>
        <v/>
      </c>
      <c r="AP71">
        <f>IF(C70&lt;=0,(Dashboard!$C$11+IF(C70&lt;=0,$F$5,0)+IF(D70&lt;=0,$F$6,0)+IF(E70&lt;=0,$F$7,0)+IF(F70&lt;=0,$F$8,0)+IF(G70&lt;=0,$F$9,0)+IF(H70&lt;=0,$F$10,0)+IF(I70&lt;=0,$F$11,0)+IF(J70&lt;=0,$F$12,0)+IF(K70&lt;=0,$F$13,0)+IF(L70&lt;=0,$F$14,0)+IF(M70&lt;=0,$F$15,0)+IF(N70&lt;=0,$F$16,0)+IF(O70&lt;=0,$F$17,0)+IF(P70&lt;=0,$F$18,0)+IF(Q70&lt;=0,$F$19,0)+IF(R70&lt;=0,$F$20,0)+IF(S70&lt;=0,$F$21,0)+IF(T70&lt;=0,$F$22,0)+IF(U70&lt;=0,$F$23,0)+IF(V70&lt;=0,$F$24,0)),MAX(0,$F$5+(Dashboard!$C$11+IF(C70&lt;=0,$F$5,0)+IF(D70&lt;=0,$F$6,0)+IF(E70&lt;=0,$F$7,0)+IF(F70&lt;=0,$F$8,0)+IF(G70&lt;=0,$F$9,0)+IF(H70&lt;=0,$F$10,0)+IF(I70&lt;=0,$F$11,0)+IF(J70&lt;=0,$F$12,0)+IF(K70&lt;=0,$F$13,0)+IF(L70&lt;=0,$F$14,0)+IF(M70&lt;=0,$F$15,0)+IF(N70&lt;=0,$F$16,0)+IF(O70&lt;=0,$F$17,0)+IF(P70&lt;=0,$F$18,0)+IF(Q70&lt;=0,$F$19,0)+IF(R70&lt;=0,$F$20,0)+IF(S70&lt;=0,$F$21,0)+IF(T70&lt;=0,$F$22,0)+IF(U70&lt;=0,$F$23,0)+IF(V70&lt;=0,$F$24,0))-C70-AN71))</f>
        <v/>
      </c>
      <c r="AQ71">
        <f>IF(D70&lt;=0,0,D70*$E$6/12)</f>
        <v/>
      </c>
      <c r="AR71">
        <f>IF(D70&lt;=0,0,MIN(D70+AQ71,$F$6+AP71))</f>
        <v/>
      </c>
      <c r="AS71">
        <f>IF(D70&lt;=0,AP71,MAX(0,$F$6+AP71-D70-AQ71))</f>
        <v/>
      </c>
      <c r="AT71">
        <f>IF(E70&lt;=0,0,E70*$E$7/12)</f>
        <v/>
      </c>
      <c r="AU71">
        <f>IF(E70&lt;=0,0,MIN(E70+AT71,$F$7+AS71))</f>
        <v/>
      </c>
      <c r="AV71">
        <f>IF(E70&lt;=0,AS71,MAX(0,$F$7+AS71-E70-AT71))</f>
        <v/>
      </c>
      <c r="AW71">
        <f>IF(F70&lt;=0,0,F70*$E$8/12)</f>
        <v/>
      </c>
      <c r="AX71">
        <f>IF(F70&lt;=0,0,MIN(F70+AW71,$F$8+AV71))</f>
        <v/>
      </c>
      <c r="AY71">
        <f>IF(F70&lt;=0,AV71,MAX(0,$F$8+AV71-F70-AW71))</f>
        <v/>
      </c>
      <c r="AZ71">
        <f>IF(G70&lt;=0,0,G70*$E$9/12)</f>
        <v/>
      </c>
      <c r="BA71">
        <f>IF(G70&lt;=0,0,MIN(G70+AZ71,$F$9+AY71))</f>
        <v/>
      </c>
      <c r="BB71">
        <f>IF(G70&lt;=0,AY71,MAX(0,$F$9+AY71-G70-AZ71))</f>
        <v/>
      </c>
      <c r="BC71">
        <f>IF(H70&lt;=0,0,H70*$E$10/12)</f>
        <v/>
      </c>
      <c r="BD71">
        <f>IF(H70&lt;=0,0,MIN(H70+BC71,$F$10+BB71))</f>
        <v/>
      </c>
      <c r="BE71">
        <f>IF(H70&lt;=0,BB71,MAX(0,$F$10+BB71-H70-BC71))</f>
        <v/>
      </c>
      <c r="BF71">
        <f>IF(I70&lt;=0,0,I70*$E$11/12)</f>
        <v/>
      </c>
      <c r="BG71">
        <f>IF(I70&lt;=0,0,MIN(I70+BF71,$F$11+BE71))</f>
        <v/>
      </c>
      <c r="BH71">
        <f>IF(I70&lt;=0,BE71,MAX(0,$F$11+BE71-I70-BF71))</f>
        <v/>
      </c>
      <c r="BI71">
        <f>IF(J70&lt;=0,0,J70*$E$12/12)</f>
        <v/>
      </c>
      <c r="BJ71">
        <f>IF(J70&lt;=0,0,MIN(J70+BI71,$F$12+BH71))</f>
        <v/>
      </c>
      <c r="BK71">
        <f>IF(J70&lt;=0,BH71,MAX(0,$F$12+BH71-J70-BI71))</f>
        <v/>
      </c>
      <c r="BL71">
        <f>IF(K70&lt;=0,0,K70*$E$13/12)</f>
        <v/>
      </c>
      <c r="BM71">
        <f>IF(K70&lt;=0,0,MIN(K70+BL71,$F$13+BK71))</f>
        <v/>
      </c>
      <c r="BN71">
        <f>IF(K70&lt;=0,BK71,MAX(0,$F$13+BK71-K70-BL71))</f>
        <v/>
      </c>
      <c r="BO71">
        <f>IF(L70&lt;=0,0,L70*$E$14/12)</f>
        <v/>
      </c>
      <c r="BP71">
        <f>IF(L70&lt;=0,0,MIN(L70+BO71,$F$14+BN71))</f>
        <v/>
      </c>
      <c r="BQ71">
        <f>IF(L70&lt;=0,BN71,MAX(0,$F$14+BN71-L70-BO71))</f>
        <v/>
      </c>
      <c r="BR71">
        <f>IF(M70&lt;=0,0,M70*$E$15/12)</f>
        <v/>
      </c>
      <c r="BS71">
        <f>IF(M70&lt;=0,0,MIN(M70+BR71,$F$15+BQ71))</f>
        <v/>
      </c>
      <c r="BT71">
        <f>IF(M70&lt;=0,BQ71,MAX(0,$F$15+BQ71-M70-BR71))</f>
        <v/>
      </c>
      <c r="BU71">
        <f>IF(N70&lt;=0,0,N70*$E$16/12)</f>
        <v/>
      </c>
      <c r="BV71">
        <f>IF(N70&lt;=0,0,MIN(N70+BU71,$F$16+BT71))</f>
        <v/>
      </c>
      <c r="BW71">
        <f>IF(N70&lt;=0,BT71,MAX(0,$F$16+BT71-N70-BU71))</f>
        <v/>
      </c>
      <c r="BX71">
        <f>IF(O70&lt;=0,0,O70*$E$17/12)</f>
        <v/>
      </c>
      <c r="BY71">
        <f>IF(O70&lt;=0,0,MIN(O70+BX71,$F$17+BW71))</f>
        <v/>
      </c>
      <c r="BZ71">
        <f>IF(O70&lt;=0,BW71,MAX(0,$F$17+BW71-O70-BX71))</f>
        <v/>
      </c>
      <c r="CA71">
        <f>IF(P70&lt;=0,0,P70*$E$18/12)</f>
        <v/>
      </c>
      <c r="CB71">
        <f>IF(P70&lt;=0,0,MIN(P70+CA71,$F$18+BZ71))</f>
        <v/>
      </c>
      <c r="CC71">
        <f>IF(P70&lt;=0,BZ71,MAX(0,$F$18+BZ71-P70-CA71))</f>
        <v/>
      </c>
      <c r="CD71">
        <f>IF(Q70&lt;=0,0,Q70*$E$19/12)</f>
        <v/>
      </c>
      <c r="CE71">
        <f>IF(Q70&lt;=0,0,MIN(Q70+CD71,$F$19+CC71))</f>
        <v/>
      </c>
      <c r="CF71">
        <f>IF(Q70&lt;=0,CC71,MAX(0,$F$19+CC71-Q70-CD71))</f>
        <v/>
      </c>
      <c r="CG71">
        <f>IF(R70&lt;=0,0,R70*$E$20/12)</f>
        <v/>
      </c>
      <c r="CH71">
        <f>IF(R70&lt;=0,0,MIN(R70+CG71,$F$20+CF71))</f>
        <v/>
      </c>
      <c r="CI71">
        <f>IF(R70&lt;=0,CF71,MAX(0,$F$20+CF71-R70-CG71))</f>
        <v/>
      </c>
      <c r="CJ71">
        <f>IF(S70&lt;=0,0,S70*$E$21/12)</f>
        <v/>
      </c>
      <c r="CK71">
        <f>IF(S70&lt;=0,0,MIN(S70+CJ71,$F$21+CI71))</f>
        <v/>
      </c>
      <c r="CL71">
        <f>IF(S70&lt;=0,CI71,MAX(0,$F$21+CI71-S70-CJ71))</f>
        <v/>
      </c>
      <c r="CM71">
        <f>IF(T70&lt;=0,0,T70*$E$22/12)</f>
        <v/>
      </c>
      <c r="CN71">
        <f>IF(T70&lt;=0,0,MIN(T70+CM71,$F$22+CL71))</f>
        <v/>
      </c>
      <c r="CO71">
        <f>IF(T70&lt;=0,CL71,MAX(0,$F$22+CL71-T70-CM71))</f>
        <v/>
      </c>
      <c r="CP71">
        <f>IF(U70&lt;=0,0,U70*$E$23/12)</f>
        <v/>
      </c>
      <c r="CQ71">
        <f>IF(U70&lt;=0,0,MIN(U70+CP71,$F$23+CO71))</f>
        <v/>
      </c>
      <c r="CR71">
        <f>IF(U70&lt;=0,CO71,MAX(0,$F$23+CO71-U70-CP71))</f>
        <v/>
      </c>
      <c r="CS71">
        <f>IF(V70&lt;=0,0,V70*$E$24/12)</f>
        <v/>
      </c>
      <c r="CT71">
        <f>IF(V70&lt;=0,0,MIN(V70+CS71,$F$24+CR71))</f>
        <v/>
      </c>
      <c r="CU71">
        <f>IF(V70&lt;=0,CR71,MAX(0,$F$24+CR71-V70-CS71))</f>
        <v/>
      </c>
    </row>
    <row r="72">
      <c r="B72" s="39" t="n">
        <v>46</v>
      </c>
      <c r="C72" s="13">
        <f>IF(C71&lt;=0,0,MAX(0,C71+AN72-AO72))</f>
        <v/>
      </c>
      <c r="D72" s="13">
        <f>IF(D71&lt;=0,0,MAX(0,D71+AQ72-AR72))</f>
        <v/>
      </c>
      <c r="E72" s="13">
        <f>IF(E71&lt;=0,0,MAX(0,E71+AT72-AU72))</f>
        <v/>
      </c>
      <c r="F72" s="13">
        <f>IF(F71&lt;=0,0,MAX(0,F71+AW72-AX72))</f>
        <v/>
      </c>
      <c r="G72" s="13">
        <f>IF(G71&lt;=0,0,MAX(0,G71+AZ72-BA72))</f>
        <v/>
      </c>
      <c r="H72" s="13">
        <f>IF(H71&lt;=0,0,MAX(0,H71+BC72-BD72))</f>
        <v/>
      </c>
      <c r="I72" s="13">
        <f>IF(I71&lt;=0,0,MAX(0,I71+BF72-BG72))</f>
        <v/>
      </c>
      <c r="J72" s="13">
        <f>IF(J71&lt;=0,0,MAX(0,J71+BI72-BJ72))</f>
        <v/>
      </c>
      <c r="K72" s="13">
        <f>IF(K71&lt;=0,0,MAX(0,K71+BL72-BM72))</f>
        <v/>
      </c>
      <c r="L72" s="13">
        <f>IF(L71&lt;=0,0,MAX(0,L71+BO72-BP72))</f>
        <v/>
      </c>
      <c r="M72" s="13">
        <f>IF(M71&lt;=0,0,MAX(0,M71+BR72-BS72))</f>
        <v/>
      </c>
      <c r="N72" s="13">
        <f>IF(N71&lt;=0,0,MAX(0,N71+BU72-BV72))</f>
        <v/>
      </c>
      <c r="O72" s="13">
        <f>IF(O71&lt;=0,0,MAX(0,O71+BX72-BY72))</f>
        <v/>
      </c>
      <c r="P72" s="13">
        <f>IF(P71&lt;=0,0,MAX(0,P71+CA72-CB72))</f>
        <v/>
      </c>
      <c r="Q72" s="13">
        <f>IF(Q71&lt;=0,0,MAX(0,Q71+CD72-CE72))</f>
        <v/>
      </c>
      <c r="R72" s="13">
        <f>IF(R71&lt;=0,0,MAX(0,R71+CG72-CH72))</f>
        <v/>
      </c>
      <c r="S72" s="13">
        <f>IF(S71&lt;=0,0,MAX(0,S71+CJ72-CK72))</f>
        <v/>
      </c>
      <c r="T72" s="13">
        <f>IF(T71&lt;=0,0,MAX(0,T71+CM72-CN72))</f>
        <v/>
      </c>
      <c r="U72" s="13">
        <f>IF(U71&lt;=0,0,MAX(0,U71+CP72-CQ72))</f>
        <v/>
      </c>
      <c r="V72" s="13">
        <f>IF(V71&lt;=0,0,MAX(0,V71+CS72-CT72))</f>
        <v/>
      </c>
      <c r="W72" s="13">
        <f>AO72+AR72+AU72+AX72+BA72+BD72+BG72+BJ72+BM72+BP72+BS72+BV72+BY72+CB72+CE72+CH72+CK72+CN72+CQ72+CT72</f>
        <v/>
      </c>
      <c r="X72" s="13">
        <f>AN72+AQ72+AT72+AW72+AZ72+BC72+BF72+BI72+BL72+BO72+BR72+BU72+BX72+CA72+CD72+CG72+CJ72+CM72+CP72+CS72</f>
        <v/>
      </c>
      <c r="Y72" s="27">
        <f>C72+D72+E72+F72+G72+H72+I72+J72+K72+L72+M72+N72+O72+P72+Q72+R72+S72+T72+U72+V72</f>
        <v/>
      </c>
      <c r="AN72">
        <f>IF(C71&lt;=0,0,C71*$E$5/12)</f>
        <v/>
      </c>
      <c r="AO72">
        <f>IF(C71&lt;=0,0,MIN(C71+AN72,$F$5+(Dashboard!$C$11+IF(C71&lt;=0,$F$5,0)+IF(D71&lt;=0,$F$6,0)+IF(E71&lt;=0,$F$7,0)+IF(F71&lt;=0,$F$8,0)+IF(G71&lt;=0,$F$9,0)+IF(H71&lt;=0,$F$10,0)+IF(I71&lt;=0,$F$11,0)+IF(J71&lt;=0,$F$12,0)+IF(K71&lt;=0,$F$13,0)+IF(L71&lt;=0,$F$14,0)+IF(M71&lt;=0,$F$15,0)+IF(N71&lt;=0,$F$16,0)+IF(O71&lt;=0,$F$17,0)+IF(P71&lt;=0,$F$18,0)+IF(Q71&lt;=0,$F$19,0)+IF(R71&lt;=0,$F$20,0)+IF(S71&lt;=0,$F$21,0)+IF(T71&lt;=0,$F$22,0)+IF(U71&lt;=0,$F$23,0)+IF(V71&lt;=0,$F$24,0))))</f>
        <v/>
      </c>
      <c r="AP72">
        <f>IF(C71&lt;=0,(Dashboard!$C$11+IF(C71&lt;=0,$F$5,0)+IF(D71&lt;=0,$F$6,0)+IF(E71&lt;=0,$F$7,0)+IF(F71&lt;=0,$F$8,0)+IF(G71&lt;=0,$F$9,0)+IF(H71&lt;=0,$F$10,0)+IF(I71&lt;=0,$F$11,0)+IF(J71&lt;=0,$F$12,0)+IF(K71&lt;=0,$F$13,0)+IF(L71&lt;=0,$F$14,0)+IF(M71&lt;=0,$F$15,0)+IF(N71&lt;=0,$F$16,0)+IF(O71&lt;=0,$F$17,0)+IF(P71&lt;=0,$F$18,0)+IF(Q71&lt;=0,$F$19,0)+IF(R71&lt;=0,$F$20,0)+IF(S71&lt;=0,$F$21,0)+IF(T71&lt;=0,$F$22,0)+IF(U71&lt;=0,$F$23,0)+IF(V71&lt;=0,$F$24,0)),MAX(0,$F$5+(Dashboard!$C$11+IF(C71&lt;=0,$F$5,0)+IF(D71&lt;=0,$F$6,0)+IF(E71&lt;=0,$F$7,0)+IF(F71&lt;=0,$F$8,0)+IF(G71&lt;=0,$F$9,0)+IF(H71&lt;=0,$F$10,0)+IF(I71&lt;=0,$F$11,0)+IF(J71&lt;=0,$F$12,0)+IF(K71&lt;=0,$F$13,0)+IF(L71&lt;=0,$F$14,0)+IF(M71&lt;=0,$F$15,0)+IF(N71&lt;=0,$F$16,0)+IF(O71&lt;=0,$F$17,0)+IF(P71&lt;=0,$F$18,0)+IF(Q71&lt;=0,$F$19,0)+IF(R71&lt;=0,$F$20,0)+IF(S71&lt;=0,$F$21,0)+IF(T71&lt;=0,$F$22,0)+IF(U71&lt;=0,$F$23,0)+IF(V71&lt;=0,$F$24,0))-C71-AN72))</f>
        <v/>
      </c>
      <c r="AQ72">
        <f>IF(D71&lt;=0,0,D71*$E$6/12)</f>
        <v/>
      </c>
      <c r="AR72">
        <f>IF(D71&lt;=0,0,MIN(D71+AQ72,$F$6+AP72))</f>
        <v/>
      </c>
      <c r="AS72">
        <f>IF(D71&lt;=0,AP72,MAX(0,$F$6+AP72-D71-AQ72))</f>
        <v/>
      </c>
      <c r="AT72">
        <f>IF(E71&lt;=0,0,E71*$E$7/12)</f>
        <v/>
      </c>
      <c r="AU72">
        <f>IF(E71&lt;=0,0,MIN(E71+AT72,$F$7+AS72))</f>
        <v/>
      </c>
      <c r="AV72">
        <f>IF(E71&lt;=0,AS72,MAX(0,$F$7+AS72-E71-AT72))</f>
        <v/>
      </c>
      <c r="AW72">
        <f>IF(F71&lt;=0,0,F71*$E$8/12)</f>
        <v/>
      </c>
      <c r="AX72">
        <f>IF(F71&lt;=0,0,MIN(F71+AW72,$F$8+AV72))</f>
        <v/>
      </c>
      <c r="AY72">
        <f>IF(F71&lt;=0,AV72,MAX(0,$F$8+AV72-F71-AW72))</f>
        <v/>
      </c>
      <c r="AZ72">
        <f>IF(G71&lt;=0,0,G71*$E$9/12)</f>
        <v/>
      </c>
      <c r="BA72">
        <f>IF(G71&lt;=0,0,MIN(G71+AZ72,$F$9+AY72))</f>
        <v/>
      </c>
      <c r="BB72">
        <f>IF(G71&lt;=0,AY72,MAX(0,$F$9+AY72-G71-AZ72))</f>
        <v/>
      </c>
      <c r="BC72">
        <f>IF(H71&lt;=0,0,H71*$E$10/12)</f>
        <v/>
      </c>
      <c r="BD72">
        <f>IF(H71&lt;=0,0,MIN(H71+BC72,$F$10+BB72))</f>
        <v/>
      </c>
      <c r="BE72">
        <f>IF(H71&lt;=0,BB72,MAX(0,$F$10+BB72-H71-BC72))</f>
        <v/>
      </c>
      <c r="BF72">
        <f>IF(I71&lt;=0,0,I71*$E$11/12)</f>
        <v/>
      </c>
      <c r="BG72">
        <f>IF(I71&lt;=0,0,MIN(I71+BF72,$F$11+BE72))</f>
        <v/>
      </c>
      <c r="BH72">
        <f>IF(I71&lt;=0,BE72,MAX(0,$F$11+BE72-I71-BF72))</f>
        <v/>
      </c>
      <c r="BI72">
        <f>IF(J71&lt;=0,0,J71*$E$12/12)</f>
        <v/>
      </c>
      <c r="BJ72">
        <f>IF(J71&lt;=0,0,MIN(J71+BI72,$F$12+BH72))</f>
        <v/>
      </c>
      <c r="BK72">
        <f>IF(J71&lt;=0,BH72,MAX(0,$F$12+BH72-J71-BI72))</f>
        <v/>
      </c>
      <c r="BL72">
        <f>IF(K71&lt;=0,0,K71*$E$13/12)</f>
        <v/>
      </c>
      <c r="BM72">
        <f>IF(K71&lt;=0,0,MIN(K71+BL72,$F$13+BK72))</f>
        <v/>
      </c>
      <c r="BN72">
        <f>IF(K71&lt;=0,BK72,MAX(0,$F$13+BK72-K71-BL72))</f>
        <v/>
      </c>
      <c r="BO72">
        <f>IF(L71&lt;=0,0,L71*$E$14/12)</f>
        <v/>
      </c>
      <c r="BP72">
        <f>IF(L71&lt;=0,0,MIN(L71+BO72,$F$14+BN72))</f>
        <v/>
      </c>
      <c r="BQ72">
        <f>IF(L71&lt;=0,BN72,MAX(0,$F$14+BN72-L71-BO72))</f>
        <v/>
      </c>
      <c r="BR72">
        <f>IF(M71&lt;=0,0,M71*$E$15/12)</f>
        <v/>
      </c>
      <c r="BS72">
        <f>IF(M71&lt;=0,0,MIN(M71+BR72,$F$15+BQ72))</f>
        <v/>
      </c>
      <c r="BT72">
        <f>IF(M71&lt;=0,BQ72,MAX(0,$F$15+BQ72-M71-BR72))</f>
        <v/>
      </c>
      <c r="BU72">
        <f>IF(N71&lt;=0,0,N71*$E$16/12)</f>
        <v/>
      </c>
      <c r="BV72">
        <f>IF(N71&lt;=0,0,MIN(N71+BU72,$F$16+BT72))</f>
        <v/>
      </c>
      <c r="BW72">
        <f>IF(N71&lt;=0,BT72,MAX(0,$F$16+BT72-N71-BU72))</f>
        <v/>
      </c>
      <c r="BX72">
        <f>IF(O71&lt;=0,0,O71*$E$17/12)</f>
        <v/>
      </c>
      <c r="BY72">
        <f>IF(O71&lt;=0,0,MIN(O71+BX72,$F$17+BW72))</f>
        <v/>
      </c>
      <c r="BZ72">
        <f>IF(O71&lt;=0,BW72,MAX(0,$F$17+BW72-O71-BX72))</f>
        <v/>
      </c>
      <c r="CA72">
        <f>IF(P71&lt;=0,0,P71*$E$18/12)</f>
        <v/>
      </c>
      <c r="CB72">
        <f>IF(P71&lt;=0,0,MIN(P71+CA72,$F$18+BZ72))</f>
        <v/>
      </c>
      <c r="CC72">
        <f>IF(P71&lt;=0,BZ72,MAX(0,$F$18+BZ72-P71-CA72))</f>
        <v/>
      </c>
      <c r="CD72">
        <f>IF(Q71&lt;=0,0,Q71*$E$19/12)</f>
        <v/>
      </c>
      <c r="CE72">
        <f>IF(Q71&lt;=0,0,MIN(Q71+CD72,$F$19+CC72))</f>
        <v/>
      </c>
      <c r="CF72">
        <f>IF(Q71&lt;=0,CC72,MAX(0,$F$19+CC72-Q71-CD72))</f>
        <v/>
      </c>
      <c r="CG72">
        <f>IF(R71&lt;=0,0,R71*$E$20/12)</f>
        <v/>
      </c>
      <c r="CH72">
        <f>IF(R71&lt;=0,0,MIN(R71+CG72,$F$20+CF72))</f>
        <v/>
      </c>
      <c r="CI72">
        <f>IF(R71&lt;=0,CF72,MAX(0,$F$20+CF72-R71-CG72))</f>
        <v/>
      </c>
      <c r="CJ72">
        <f>IF(S71&lt;=0,0,S71*$E$21/12)</f>
        <v/>
      </c>
      <c r="CK72">
        <f>IF(S71&lt;=0,0,MIN(S71+CJ72,$F$21+CI72))</f>
        <v/>
      </c>
      <c r="CL72">
        <f>IF(S71&lt;=0,CI72,MAX(0,$F$21+CI72-S71-CJ72))</f>
        <v/>
      </c>
      <c r="CM72">
        <f>IF(T71&lt;=0,0,T71*$E$22/12)</f>
        <v/>
      </c>
      <c r="CN72">
        <f>IF(T71&lt;=0,0,MIN(T71+CM72,$F$22+CL72))</f>
        <v/>
      </c>
      <c r="CO72">
        <f>IF(T71&lt;=0,CL72,MAX(0,$F$22+CL72-T71-CM72))</f>
        <v/>
      </c>
      <c r="CP72">
        <f>IF(U71&lt;=0,0,U71*$E$23/12)</f>
        <v/>
      </c>
      <c r="CQ72">
        <f>IF(U71&lt;=0,0,MIN(U71+CP72,$F$23+CO72))</f>
        <v/>
      </c>
      <c r="CR72">
        <f>IF(U71&lt;=0,CO72,MAX(0,$F$23+CO72-U71-CP72))</f>
        <v/>
      </c>
      <c r="CS72">
        <f>IF(V71&lt;=0,0,V71*$E$24/12)</f>
        <v/>
      </c>
      <c r="CT72">
        <f>IF(V71&lt;=0,0,MIN(V71+CS72,$F$24+CR72))</f>
        <v/>
      </c>
      <c r="CU72">
        <f>IF(V71&lt;=0,CR72,MAX(0,$F$24+CR72-V71-CS72))</f>
        <v/>
      </c>
    </row>
    <row r="73">
      <c r="B73" s="39" t="n">
        <v>47</v>
      </c>
      <c r="C73" s="13">
        <f>IF(C72&lt;=0,0,MAX(0,C72+AN73-AO73))</f>
        <v/>
      </c>
      <c r="D73" s="13">
        <f>IF(D72&lt;=0,0,MAX(0,D72+AQ73-AR73))</f>
        <v/>
      </c>
      <c r="E73" s="13">
        <f>IF(E72&lt;=0,0,MAX(0,E72+AT73-AU73))</f>
        <v/>
      </c>
      <c r="F73" s="13">
        <f>IF(F72&lt;=0,0,MAX(0,F72+AW73-AX73))</f>
        <v/>
      </c>
      <c r="G73" s="13">
        <f>IF(G72&lt;=0,0,MAX(0,G72+AZ73-BA73))</f>
        <v/>
      </c>
      <c r="H73" s="13">
        <f>IF(H72&lt;=0,0,MAX(0,H72+BC73-BD73))</f>
        <v/>
      </c>
      <c r="I73" s="13">
        <f>IF(I72&lt;=0,0,MAX(0,I72+BF73-BG73))</f>
        <v/>
      </c>
      <c r="J73" s="13">
        <f>IF(J72&lt;=0,0,MAX(0,J72+BI73-BJ73))</f>
        <v/>
      </c>
      <c r="K73" s="13">
        <f>IF(K72&lt;=0,0,MAX(0,K72+BL73-BM73))</f>
        <v/>
      </c>
      <c r="L73" s="13">
        <f>IF(L72&lt;=0,0,MAX(0,L72+BO73-BP73))</f>
        <v/>
      </c>
      <c r="M73" s="13">
        <f>IF(M72&lt;=0,0,MAX(0,M72+BR73-BS73))</f>
        <v/>
      </c>
      <c r="N73" s="13">
        <f>IF(N72&lt;=0,0,MAX(0,N72+BU73-BV73))</f>
        <v/>
      </c>
      <c r="O73" s="13">
        <f>IF(O72&lt;=0,0,MAX(0,O72+BX73-BY73))</f>
        <v/>
      </c>
      <c r="P73" s="13">
        <f>IF(P72&lt;=0,0,MAX(0,P72+CA73-CB73))</f>
        <v/>
      </c>
      <c r="Q73" s="13">
        <f>IF(Q72&lt;=0,0,MAX(0,Q72+CD73-CE73))</f>
        <v/>
      </c>
      <c r="R73" s="13">
        <f>IF(R72&lt;=0,0,MAX(0,R72+CG73-CH73))</f>
        <v/>
      </c>
      <c r="S73" s="13">
        <f>IF(S72&lt;=0,0,MAX(0,S72+CJ73-CK73))</f>
        <v/>
      </c>
      <c r="T73" s="13">
        <f>IF(T72&lt;=0,0,MAX(0,T72+CM73-CN73))</f>
        <v/>
      </c>
      <c r="U73" s="13">
        <f>IF(U72&lt;=0,0,MAX(0,U72+CP73-CQ73))</f>
        <v/>
      </c>
      <c r="V73" s="13">
        <f>IF(V72&lt;=0,0,MAX(0,V72+CS73-CT73))</f>
        <v/>
      </c>
      <c r="W73" s="13">
        <f>AO73+AR73+AU73+AX73+BA73+BD73+BG73+BJ73+BM73+BP73+BS73+BV73+BY73+CB73+CE73+CH73+CK73+CN73+CQ73+CT73</f>
        <v/>
      </c>
      <c r="X73" s="13">
        <f>AN73+AQ73+AT73+AW73+AZ73+BC73+BF73+BI73+BL73+BO73+BR73+BU73+BX73+CA73+CD73+CG73+CJ73+CM73+CP73+CS73</f>
        <v/>
      </c>
      <c r="Y73" s="27">
        <f>C73+D73+E73+F73+G73+H73+I73+J73+K73+L73+M73+N73+O73+P73+Q73+R73+S73+T73+U73+V73</f>
        <v/>
      </c>
      <c r="AN73">
        <f>IF(C72&lt;=0,0,C72*$E$5/12)</f>
        <v/>
      </c>
      <c r="AO73">
        <f>IF(C72&lt;=0,0,MIN(C72+AN73,$F$5+(Dashboard!$C$11+IF(C72&lt;=0,$F$5,0)+IF(D72&lt;=0,$F$6,0)+IF(E72&lt;=0,$F$7,0)+IF(F72&lt;=0,$F$8,0)+IF(G72&lt;=0,$F$9,0)+IF(H72&lt;=0,$F$10,0)+IF(I72&lt;=0,$F$11,0)+IF(J72&lt;=0,$F$12,0)+IF(K72&lt;=0,$F$13,0)+IF(L72&lt;=0,$F$14,0)+IF(M72&lt;=0,$F$15,0)+IF(N72&lt;=0,$F$16,0)+IF(O72&lt;=0,$F$17,0)+IF(P72&lt;=0,$F$18,0)+IF(Q72&lt;=0,$F$19,0)+IF(R72&lt;=0,$F$20,0)+IF(S72&lt;=0,$F$21,0)+IF(T72&lt;=0,$F$22,0)+IF(U72&lt;=0,$F$23,0)+IF(V72&lt;=0,$F$24,0))))</f>
        <v/>
      </c>
      <c r="AP73">
        <f>IF(C72&lt;=0,(Dashboard!$C$11+IF(C72&lt;=0,$F$5,0)+IF(D72&lt;=0,$F$6,0)+IF(E72&lt;=0,$F$7,0)+IF(F72&lt;=0,$F$8,0)+IF(G72&lt;=0,$F$9,0)+IF(H72&lt;=0,$F$10,0)+IF(I72&lt;=0,$F$11,0)+IF(J72&lt;=0,$F$12,0)+IF(K72&lt;=0,$F$13,0)+IF(L72&lt;=0,$F$14,0)+IF(M72&lt;=0,$F$15,0)+IF(N72&lt;=0,$F$16,0)+IF(O72&lt;=0,$F$17,0)+IF(P72&lt;=0,$F$18,0)+IF(Q72&lt;=0,$F$19,0)+IF(R72&lt;=0,$F$20,0)+IF(S72&lt;=0,$F$21,0)+IF(T72&lt;=0,$F$22,0)+IF(U72&lt;=0,$F$23,0)+IF(V72&lt;=0,$F$24,0)),MAX(0,$F$5+(Dashboard!$C$11+IF(C72&lt;=0,$F$5,0)+IF(D72&lt;=0,$F$6,0)+IF(E72&lt;=0,$F$7,0)+IF(F72&lt;=0,$F$8,0)+IF(G72&lt;=0,$F$9,0)+IF(H72&lt;=0,$F$10,0)+IF(I72&lt;=0,$F$11,0)+IF(J72&lt;=0,$F$12,0)+IF(K72&lt;=0,$F$13,0)+IF(L72&lt;=0,$F$14,0)+IF(M72&lt;=0,$F$15,0)+IF(N72&lt;=0,$F$16,0)+IF(O72&lt;=0,$F$17,0)+IF(P72&lt;=0,$F$18,0)+IF(Q72&lt;=0,$F$19,0)+IF(R72&lt;=0,$F$20,0)+IF(S72&lt;=0,$F$21,0)+IF(T72&lt;=0,$F$22,0)+IF(U72&lt;=0,$F$23,0)+IF(V72&lt;=0,$F$24,0))-C72-AN73))</f>
        <v/>
      </c>
      <c r="AQ73">
        <f>IF(D72&lt;=0,0,D72*$E$6/12)</f>
        <v/>
      </c>
      <c r="AR73">
        <f>IF(D72&lt;=0,0,MIN(D72+AQ73,$F$6+AP73))</f>
        <v/>
      </c>
      <c r="AS73">
        <f>IF(D72&lt;=0,AP73,MAX(0,$F$6+AP73-D72-AQ73))</f>
        <v/>
      </c>
      <c r="AT73">
        <f>IF(E72&lt;=0,0,E72*$E$7/12)</f>
        <v/>
      </c>
      <c r="AU73">
        <f>IF(E72&lt;=0,0,MIN(E72+AT73,$F$7+AS73))</f>
        <v/>
      </c>
      <c r="AV73">
        <f>IF(E72&lt;=0,AS73,MAX(0,$F$7+AS73-E72-AT73))</f>
        <v/>
      </c>
      <c r="AW73">
        <f>IF(F72&lt;=0,0,F72*$E$8/12)</f>
        <v/>
      </c>
      <c r="AX73">
        <f>IF(F72&lt;=0,0,MIN(F72+AW73,$F$8+AV73))</f>
        <v/>
      </c>
      <c r="AY73">
        <f>IF(F72&lt;=0,AV73,MAX(0,$F$8+AV73-F72-AW73))</f>
        <v/>
      </c>
      <c r="AZ73">
        <f>IF(G72&lt;=0,0,G72*$E$9/12)</f>
        <v/>
      </c>
      <c r="BA73">
        <f>IF(G72&lt;=0,0,MIN(G72+AZ73,$F$9+AY73))</f>
        <v/>
      </c>
      <c r="BB73">
        <f>IF(G72&lt;=0,AY73,MAX(0,$F$9+AY73-G72-AZ73))</f>
        <v/>
      </c>
      <c r="BC73">
        <f>IF(H72&lt;=0,0,H72*$E$10/12)</f>
        <v/>
      </c>
      <c r="BD73">
        <f>IF(H72&lt;=0,0,MIN(H72+BC73,$F$10+BB73))</f>
        <v/>
      </c>
      <c r="BE73">
        <f>IF(H72&lt;=0,BB73,MAX(0,$F$10+BB73-H72-BC73))</f>
        <v/>
      </c>
      <c r="BF73">
        <f>IF(I72&lt;=0,0,I72*$E$11/12)</f>
        <v/>
      </c>
      <c r="BG73">
        <f>IF(I72&lt;=0,0,MIN(I72+BF73,$F$11+BE73))</f>
        <v/>
      </c>
      <c r="BH73">
        <f>IF(I72&lt;=0,BE73,MAX(0,$F$11+BE73-I72-BF73))</f>
        <v/>
      </c>
      <c r="BI73">
        <f>IF(J72&lt;=0,0,J72*$E$12/12)</f>
        <v/>
      </c>
      <c r="BJ73">
        <f>IF(J72&lt;=0,0,MIN(J72+BI73,$F$12+BH73))</f>
        <v/>
      </c>
      <c r="BK73">
        <f>IF(J72&lt;=0,BH73,MAX(0,$F$12+BH73-J72-BI73))</f>
        <v/>
      </c>
      <c r="BL73">
        <f>IF(K72&lt;=0,0,K72*$E$13/12)</f>
        <v/>
      </c>
      <c r="BM73">
        <f>IF(K72&lt;=0,0,MIN(K72+BL73,$F$13+BK73))</f>
        <v/>
      </c>
      <c r="BN73">
        <f>IF(K72&lt;=0,BK73,MAX(0,$F$13+BK73-K72-BL73))</f>
        <v/>
      </c>
      <c r="BO73">
        <f>IF(L72&lt;=0,0,L72*$E$14/12)</f>
        <v/>
      </c>
      <c r="BP73">
        <f>IF(L72&lt;=0,0,MIN(L72+BO73,$F$14+BN73))</f>
        <v/>
      </c>
      <c r="BQ73">
        <f>IF(L72&lt;=0,BN73,MAX(0,$F$14+BN73-L72-BO73))</f>
        <v/>
      </c>
      <c r="BR73">
        <f>IF(M72&lt;=0,0,M72*$E$15/12)</f>
        <v/>
      </c>
      <c r="BS73">
        <f>IF(M72&lt;=0,0,MIN(M72+BR73,$F$15+BQ73))</f>
        <v/>
      </c>
      <c r="BT73">
        <f>IF(M72&lt;=0,BQ73,MAX(0,$F$15+BQ73-M72-BR73))</f>
        <v/>
      </c>
      <c r="BU73">
        <f>IF(N72&lt;=0,0,N72*$E$16/12)</f>
        <v/>
      </c>
      <c r="BV73">
        <f>IF(N72&lt;=0,0,MIN(N72+BU73,$F$16+BT73))</f>
        <v/>
      </c>
      <c r="BW73">
        <f>IF(N72&lt;=0,BT73,MAX(0,$F$16+BT73-N72-BU73))</f>
        <v/>
      </c>
      <c r="BX73">
        <f>IF(O72&lt;=0,0,O72*$E$17/12)</f>
        <v/>
      </c>
      <c r="BY73">
        <f>IF(O72&lt;=0,0,MIN(O72+BX73,$F$17+BW73))</f>
        <v/>
      </c>
      <c r="BZ73">
        <f>IF(O72&lt;=0,BW73,MAX(0,$F$17+BW73-O72-BX73))</f>
        <v/>
      </c>
      <c r="CA73">
        <f>IF(P72&lt;=0,0,P72*$E$18/12)</f>
        <v/>
      </c>
      <c r="CB73">
        <f>IF(P72&lt;=0,0,MIN(P72+CA73,$F$18+BZ73))</f>
        <v/>
      </c>
      <c r="CC73">
        <f>IF(P72&lt;=0,BZ73,MAX(0,$F$18+BZ73-P72-CA73))</f>
        <v/>
      </c>
      <c r="CD73">
        <f>IF(Q72&lt;=0,0,Q72*$E$19/12)</f>
        <v/>
      </c>
      <c r="CE73">
        <f>IF(Q72&lt;=0,0,MIN(Q72+CD73,$F$19+CC73))</f>
        <v/>
      </c>
      <c r="CF73">
        <f>IF(Q72&lt;=0,CC73,MAX(0,$F$19+CC73-Q72-CD73))</f>
        <v/>
      </c>
      <c r="CG73">
        <f>IF(R72&lt;=0,0,R72*$E$20/12)</f>
        <v/>
      </c>
      <c r="CH73">
        <f>IF(R72&lt;=0,0,MIN(R72+CG73,$F$20+CF73))</f>
        <v/>
      </c>
      <c r="CI73">
        <f>IF(R72&lt;=0,CF73,MAX(0,$F$20+CF73-R72-CG73))</f>
        <v/>
      </c>
      <c r="CJ73">
        <f>IF(S72&lt;=0,0,S72*$E$21/12)</f>
        <v/>
      </c>
      <c r="CK73">
        <f>IF(S72&lt;=0,0,MIN(S72+CJ73,$F$21+CI73))</f>
        <v/>
      </c>
      <c r="CL73">
        <f>IF(S72&lt;=0,CI73,MAX(0,$F$21+CI73-S72-CJ73))</f>
        <v/>
      </c>
      <c r="CM73">
        <f>IF(T72&lt;=0,0,T72*$E$22/12)</f>
        <v/>
      </c>
      <c r="CN73">
        <f>IF(T72&lt;=0,0,MIN(T72+CM73,$F$22+CL73))</f>
        <v/>
      </c>
      <c r="CO73">
        <f>IF(T72&lt;=0,CL73,MAX(0,$F$22+CL73-T72-CM73))</f>
        <v/>
      </c>
      <c r="CP73">
        <f>IF(U72&lt;=0,0,U72*$E$23/12)</f>
        <v/>
      </c>
      <c r="CQ73">
        <f>IF(U72&lt;=0,0,MIN(U72+CP73,$F$23+CO73))</f>
        <v/>
      </c>
      <c r="CR73">
        <f>IF(U72&lt;=0,CO73,MAX(0,$F$23+CO73-U72-CP73))</f>
        <v/>
      </c>
      <c r="CS73">
        <f>IF(V72&lt;=0,0,V72*$E$24/12)</f>
        <v/>
      </c>
      <c r="CT73">
        <f>IF(V72&lt;=0,0,MIN(V72+CS73,$F$24+CR73))</f>
        <v/>
      </c>
      <c r="CU73">
        <f>IF(V72&lt;=0,CR73,MAX(0,$F$24+CR73-V72-CS73))</f>
        <v/>
      </c>
    </row>
    <row r="74">
      <c r="B74" s="39" t="n">
        <v>48</v>
      </c>
      <c r="C74" s="13">
        <f>IF(C73&lt;=0,0,MAX(0,C73+AN74-AO74))</f>
        <v/>
      </c>
      <c r="D74" s="13">
        <f>IF(D73&lt;=0,0,MAX(0,D73+AQ74-AR74))</f>
        <v/>
      </c>
      <c r="E74" s="13">
        <f>IF(E73&lt;=0,0,MAX(0,E73+AT74-AU74))</f>
        <v/>
      </c>
      <c r="F74" s="13">
        <f>IF(F73&lt;=0,0,MAX(0,F73+AW74-AX74))</f>
        <v/>
      </c>
      <c r="G74" s="13">
        <f>IF(G73&lt;=0,0,MAX(0,G73+AZ74-BA74))</f>
        <v/>
      </c>
      <c r="H74" s="13">
        <f>IF(H73&lt;=0,0,MAX(0,H73+BC74-BD74))</f>
        <v/>
      </c>
      <c r="I74" s="13">
        <f>IF(I73&lt;=0,0,MAX(0,I73+BF74-BG74))</f>
        <v/>
      </c>
      <c r="J74" s="13">
        <f>IF(J73&lt;=0,0,MAX(0,J73+BI74-BJ74))</f>
        <v/>
      </c>
      <c r="K74" s="13">
        <f>IF(K73&lt;=0,0,MAX(0,K73+BL74-BM74))</f>
        <v/>
      </c>
      <c r="L74" s="13">
        <f>IF(L73&lt;=0,0,MAX(0,L73+BO74-BP74))</f>
        <v/>
      </c>
      <c r="M74" s="13">
        <f>IF(M73&lt;=0,0,MAX(0,M73+BR74-BS74))</f>
        <v/>
      </c>
      <c r="N74" s="13">
        <f>IF(N73&lt;=0,0,MAX(0,N73+BU74-BV74))</f>
        <v/>
      </c>
      <c r="O74" s="13">
        <f>IF(O73&lt;=0,0,MAX(0,O73+BX74-BY74))</f>
        <v/>
      </c>
      <c r="P74" s="13">
        <f>IF(P73&lt;=0,0,MAX(0,P73+CA74-CB74))</f>
        <v/>
      </c>
      <c r="Q74" s="13">
        <f>IF(Q73&lt;=0,0,MAX(0,Q73+CD74-CE74))</f>
        <v/>
      </c>
      <c r="R74" s="13">
        <f>IF(R73&lt;=0,0,MAX(0,R73+CG74-CH74))</f>
        <v/>
      </c>
      <c r="S74" s="13">
        <f>IF(S73&lt;=0,0,MAX(0,S73+CJ74-CK74))</f>
        <v/>
      </c>
      <c r="T74" s="13">
        <f>IF(T73&lt;=0,0,MAX(0,T73+CM74-CN74))</f>
        <v/>
      </c>
      <c r="U74" s="13">
        <f>IF(U73&lt;=0,0,MAX(0,U73+CP74-CQ74))</f>
        <v/>
      </c>
      <c r="V74" s="13">
        <f>IF(V73&lt;=0,0,MAX(0,V73+CS74-CT74))</f>
        <v/>
      </c>
      <c r="W74" s="13">
        <f>AO74+AR74+AU74+AX74+BA74+BD74+BG74+BJ74+BM74+BP74+BS74+BV74+BY74+CB74+CE74+CH74+CK74+CN74+CQ74+CT74</f>
        <v/>
      </c>
      <c r="X74" s="13">
        <f>AN74+AQ74+AT74+AW74+AZ74+BC74+BF74+BI74+BL74+BO74+BR74+BU74+BX74+CA74+CD74+CG74+CJ74+CM74+CP74+CS74</f>
        <v/>
      </c>
      <c r="Y74" s="27">
        <f>C74+D74+E74+F74+G74+H74+I74+J74+K74+L74+M74+N74+O74+P74+Q74+R74+S74+T74+U74+V74</f>
        <v/>
      </c>
      <c r="AN74">
        <f>IF(C73&lt;=0,0,C73*$E$5/12)</f>
        <v/>
      </c>
      <c r="AO74">
        <f>IF(C73&lt;=0,0,MIN(C73+AN74,$F$5+(Dashboard!$C$11+IF(C73&lt;=0,$F$5,0)+IF(D73&lt;=0,$F$6,0)+IF(E73&lt;=0,$F$7,0)+IF(F73&lt;=0,$F$8,0)+IF(G73&lt;=0,$F$9,0)+IF(H73&lt;=0,$F$10,0)+IF(I73&lt;=0,$F$11,0)+IF(J73&lt;=0,$F$12,0)+IF(K73&lt;=0,$F$13,0)+IF(L73&lt;=0,$F$14,0)+IF(M73&lt;=0,$F$15,0)+IF(N73&lt;=0,$F$16,0)+IF(O73&lt;=0,$F$17,0)+IF(P73&lt;=0,$F$18,0)+IF(Q73&lt;=0,$F$19,0)+IF(R73&lt;=0,$F$20,0)+IF(S73&lt;=0,$F$21,0)+IF(T73&lt;=0,$F$22,0)+IF(U73&lt;=0,$F$23,0)+IF(V73&lt;=0,$F$24,0))))</f>
        <v/>
      </c>
      <c r="AP74">
        <f>IF(C73&lt;=0,(Dashboard!$C$11+IF(C73&lt;=0,$F$5,0)+IF(D73&lt;=0,$F$6,0)+IF(E73&lt;=0,$F$7,0)+IF(F73&lt;=0,$F$8,0)+IF(G73&lt;=0,$F$9,0)+IF(H73&lt;=0,$F$10,0)+IF(I73&lt;=0,$F$11,0)+IF(J73&lt;=0,$F$12,0)+IF(K73&lt;=0,$F$13,0)+IF(L73&lt;=0,$F$14,0)+IF(M73&lt;=0,$F$15,0)+IF(N73&lt;=0,$F$16,0)+IF(O73&lt;=0,$F$17,0)+IF(P73&lt;=0,$F$18,0)+IF(Q73&lt;=0,$F$19,0)+IF(R73&lt;=0,$F$20,0)+IF(S73&lt;=0,$F$21,0)+IF(T73&lt;=0,$F$22,0)+IF(U73&lt;=0,$F$23,0)+IF(V73&lt;=0,$F$24,0)),MAX(0,$F$5+(Dashboard!$C$11+IF(C73&lt;=0,$F$5,0)+IF(D73&lt;=0,$F$6,0)+IF(E73&lt;=0,$F$7,0)+IF(F73&lt;=0,$F$8,0)+IF(G73&lt;=0,$F$9,0)+IF(H73&lt;=0,$F$10,0)+IF(I73&lt;=0,$F$11,0)+IF(J73&lt;=0,$F$12,0)+IF(K73&lt;=0,$F$13,0)+IF(L73&lt;=0,$F$14,0)+IF(M73&lt;=0,$F$15,0)+IF(N73&lt;=0,$F$16,0)+IF(O73&lt;=0,$F$17,0)+IF(P73&lt;=0,$F$18,0)+IF(Q73&lt;=0,$F$19,0)+IF(R73&lt;=0,$F$20,0)+IF(S73&lt;=0,$F$21,0)+IF(T73&lt;=0,$F$22,0)+IF(U73&lt;=0,$F$23,0)+IF(V73&lt;=0,$F$24,0))-C73-AN74))</f>
        <v/>
      </c>
      <c r="AQ74">
        <f>IF(D73&lt;=0,0,D73*$E$6/12)</f>
        <v/>
      </c>
      <c r="AR74">
        <f>IF(D73&lt;=0,0,MIN(D73+AQ74,$F$6+AP74))</f>
        <v/>
      </c>
      <c r="AS74">
        <f>IF(D73&lt;=0,AP74,MAX(0,$F$6+AP74-D73-AQ74))</f>
        <v/>
      </c>
      <c r="AT74">
        <f>IF(E73&lt;=0,0,E73*$E$7/12)</f>
        <v/>
      </c>
      <c r="AU74">
        <f>IF(E73&lt;=0,0,MIN(E73+AT74,$F$7+AS74))</f>
        <v/>
      </c>
      <c r="AV74">
        <f>IF(E73&lt;=0,AS74,MAX(0,$F$7+AS74-E73-AT74))</f>
        <v/>
      </c>
      <c r="AW74">
        <f>IF(F73&lt;=0,0,F73*$E$8/12)</f>
        <v/>
      </c>
      <c r="AX74">
        <f>IF(F73&lt;=0,0,MIN(F73+AW74,$F$8+AV74))</f>
        <v/>
      </c>
      <c r="AY74">
        <f>IF(F73&lt;=0,AV74,MAX(0,$F$8+AV74-F73-AW74))</f>
        <v/>
      </c>
      <c r="AZ74">
        <f>IF(G73&lt;=0,0,G73*$E$9/12)</f>
        <v/>
      </c>
      <c r="BA74">
        <f>IF(G73&lt;=0,0,MIN(G73+AZ74,$F$9+AY74))</f>
        <v/>
      </c>
      <c r="BB74">
        <f>IF(G73&lt;=0,AY74,MAX(0,$F$9+AY74-G73-AZ74))</f>
        <v/>
      </c>
      <c r="BC74">
        <f>IF(H73&lt;=0,0,H73*$E$10/12)</f>
        <v/>
      </c>
      <c r="BD74">
        <f>IF(H73&lt;=0,0,MIN(H73+BC74,$F$10+BB74))</f>
        <v/>
      </c>
      <c r="BE74">
        <f>IF(H73&lt;=0,BB74,MAX(0,$F$10+BB74-H73-BC74))</f>
        <v/>
      </c>
      <c r="BF74">
        <f>IF(I73&lt;=0,0,I73*$E$11/12)</f>
        <v/>
      </c>
      <c r="BG74">
        <f>IF(I73&lt;=0,0,MIN(I73+BF74,$F$11+BE74))</f>
        <v/>
      </c>
      <c r="BH74">
        <f>IF(I73&lt;=0,BE74,MAX(0,$F$11+BE74-I73-BF74))</f>
        <v/>
      </c>
      <c r="BI74">
        <f>IF(J73&lt;=0,0,J73*$E$12/12)</f>
        <v/>
      </c>
      <c r="BJ74">
        <f>IF(J73&lt;=0,0,MIN(J73+BI74,$F$12+BH74))</f>
        <v/>
      </c>
      <c r="BK74">
        <f>IF(J73&lt;=0,BH74,MAX(0,$F$12+BH74-J73-BI74))</f>
        <v/>
      </c>
      <c r="BL74">
        <f>IF(K73&lt;=0,0,K73*$E$13/12)</f>
        <v/>
      </c>
      <c r="BM74">
        <f>IF(K73&lt;=0,0,MIN(K73+BL74,$F$13+BK74))</f>
        <v/>
      </c>
      <c r="BN74">
        <f>IF(K73&lt;=0,BK74,MAX(0,$F$13+BK74-K73-BL74))</f>
        <v/>
      </c>
      <c r="BO74">
        <f>IF(L73&lt;=0,0,L73*$E$14/12)</f>
        <v/>
      </c>
      <c r="BP74">
        <f>IF(L73&lt;=0,0,MIN(L73+BO74,$F$14+BN74))</f>
        <v/>
      </c>
      <c r="BQ74">
        <f>IF(L73&lt;=0,BN74,MAX(0,$F$14+BN74-L73-BO74))</f>
        <v/>
      </c>
      <c r="BR74">
        <f>IF(M73&lt;=0,0,M73*$E$15/12)</f>
        <v/>
      </c>
      <c r="BS74">
        <f>IF(M73&lt;=0,0,MIN(M73+BR74,$F$15+BQ74))</f>
        <v/>
      </c>
      <c r="BT74">
        <f>IF(M73&lt;=0,BQ74,MAX(0,$F$15+BQ74-M73-BR74))</f>
        <v/>
      </c>
      <c r="BU74">
        <f>IF(N73&lt;=0,0,N73*$E$16/12)</f>
        <v/>
      </c>
      <c r="BV74">
        <f>IF(N73&lt;=0,0,MIN(N73+BU74,$F$16+BT74))</f>
        <v/>
      </c>
      <c r="BW74">
        <f>IF(N73&lt;=0,BT74,MAX(0,$F$16+BT74-N73-BU74))</f>
        <v/>
      </c>
      <c r="BX74">
        <f>IF(O73&lt;=0,0,O73*$E$17/12)</f>
        <v/>
      </c>
      <c r="BY74">
        <f>IF(O73&lt;=0,0,MIN(O73+BX74,$F$17+BW74))</f>
        <v/>
      </c>
      <c r="BZ74">
        <f>IF(O73&lt;=0,BW74,MAX(0,$F$17+BW74-O73-BX74))</f>
        <v/>
      </c>
      <c r="CA74">
        <f>IF(P73&lt;=0,0,P73*$E$18/12)</f>
        <v/>
      </c>
      <c r="CB74">
        <f>IF(P73&lt;=0,0,MIN(P73+CA74,$F$18+BZ74))</f>
        <v/>
      </c>
      <c r="CC74">
        <f>IF(P73&lt;=0,BZ74,MAX(0,$F$18+BZ74-P73-CA74))</f>
        <v/>
      </c>
      <c r="CD74">
        <f>IF(Q73&lt;=0,0,Q73*$E$19/12)</f>
        <v/>
      </c>
      <c r="CE74">
        <f>IF(Q73&lt;=0,0,MIN(Q73+CD74,$F$19+CC74))</f>
        <v/>
      </c>
      <c r="CF74">
        <f>IF(Q73&lt;=0,CC74,MAX(0,$F$19+CC74-Q73-CD74))</f>
        <v/>
      </c>
      <c r="CG74">
        <f>IF(R73&lt;=0,0,R73*$E$20/12)</f>
        <v/>
      </c>
      <c r="CH74">
        <f>IF(R73&lt;=0,0,MIN(R73+CG74,$F$20+CF74))</f>
        <v/>
      </c>
      <c r="CI74">
        <f>IF(R73&lt;=0,CF74,MAX(0,$F$20+CF74-R73-CG74))</f>
        <v/>
      </c>
      <c r="CJ74">
        <f>IF(S73&lt;=0,0,S73*$E$21/12)</f>
        <v/>
      </c>
      <c r="CK74">
        <f>IF(S73&lt;=0,0,MIN(S73+CJ74,$F$21+CI74))</f>
        <v/>
      </c>
      <c r="CL74">
        <f>IF(S73&lt;=0,CI74,MAX(0,$F$21+CI74-S73-CJ74))</f>
        <v/>
      </c>
      <c r="CM74">
        <f>IF(T73&lt;=0,0,T73*$E$22/12)</f>
        <v/>
      </c>
      <c r="CN74">
        <f>IF(T73&lt;=0,0,MIN(T73+CM74,$F$22+CL74))</f>
        <v/>
      </c>
      <c r="CO74">
        <f>IF(T73&lt;=0,CL74,MAX(0,$F$22+CL74-T73-CM74))</f>
        <v/>
      </c>
      <c r="CP74">
        <f>IF(U73&lt;=0,0,U73*$E$23/12)</f>
        <v/>
      </c>
      <c r="CQ74">
        <f>IF(U73&lt;=0,0,MIN(U73+CP74,$F$23+CO74))</f>
        <v/>
      </c>
      <c r="CR74">
        <f>IF(U73&lt;=0,CO74,MAX(0,$F$23+CO74-U73-CP74))</f>
        <v/>
      </c>
      <c r="CS74">
        <f>IF(V73&lt;=0,0,V73*$E$24/12)</f>
        <v/>
      </c>
      <c r="CT74">
        <f>IF(V73&lt;=0,0,MIN(V73+CS74,$F$24+CR74))</f>
        <v/>
      </c>
      <c r="CU74">
        <f>IF(V73&lt;=0,CR74,MAX(0,$F$24+CR74-V73-CS74))</f>
        <v/>
      </c>
    </row>
    <row r="75">
      <c r="B75" s="39" t="n">
        <v>49</v>
      </c>
      <c r="C75" s="13">
        <f>IF(C74&lt;=0,0,MAX(0,C74+AN75-AO75))</f>
        <v/>
      </c>
      <c r="D75" s="13">
        <f>IF(D74&lt;=0,0,MAX(0,D74+AQ75-AR75))</f>
        <v/>
      </c>
      <c r="E75" s="13">
        <f>IF(E74&lt;=0,0,MAX(0,E74+AT75-AU75))</f>
        <v/>
      </c>
      <c r="F75" s="13">
        <f>IF(F74&lt;=0,0,MAX(0,F74+AW75-AX75))</f>
        <v/>
      </c>
      <c r="G75" s="13">
        <f>IF(G74&lt;=0,0,MAX(0,G74+AZ75-BA75))</f>
        <v/>
      </c>
      <c r="H75" s="13">
        <f>IF(H74&lt;=0,0,MAX(0,H74+BC75-BD75))</f>
        <v/>
      </c>
      <c r="I75" s="13">
        <f>IF(I74&lt;=0,0,MAX(0,I74+BF75-BG75))</f>
        <v/>
      </c>
      <c r="J75" s="13">
        <f>IF(J74&lt;=0,0,MAX(0,J74+BI75-BJ75))</f>
        <v/>
      </c>
      <c r="K75" s="13">
        <f>IF(K74&lt;=0,0,MAX(0,K74+BL75-BM75))</f>
        <v/>
      </c>
      <c r="L75" s="13">
        <f>IF(L74&lt;=0,0,MAX(0,L74+BO75-BP75))</f>
        <v/>
      </c>
      <c r="M75" s="13">
        <f>IF(M74&lt;=0,0,MAX(0,M74+BR75-BS75))</f>
        <v/>
      </c>
      <c r="N75" s="13">
        <f>IF(N74&lt;=0,0,MAX(0,N74+BU75-BV75))</f>
        <v/>
      </c>
      <c r="O75" s="13">
        <f>IF(O74&lt;=0,0,MAX(0,O74+BX75-BY75))</f>
        <v/>
      </c>
      <c r="P75" s="13">
        <f>IF(P74&lt;=0,0,MAX(0,P74+CA75-CB75))</f>
        <v/>
      </c>
      <c r="Q75" s="13">
        <f>IF(Q74&lt;=0,0,MAX(0,Q74+CD75-CE75))</f>
        <v/>
      </c>
      <c r="R75" s="13">
        <f>IF(R74&lt;=0,0,MAX(0,R74+CG75-CH75))</f>
        <v/>
      </c>
      <c r="S75" s="13">
        <f>IF(S74&lt;=0,0,MAX(0,S74+CJ75-CK75))</f>
        <v/>
      </c>
      <c r="T75" s="13">
        <f>IF(T74&lt;=0,0,MAX(0,T74+CM75-CN75))</f>
        <v/>
      </c>
      <c r="U75" s="13">
        <f>IF(U74&lt;=0,0,MAX(0,U74+CP75-CQ75))</f>
        <v/>
      </c>
      <c r="V75" s="13">
        <f>IF(V74&lt;=0,0,MAX(0,V74+CS75-CT75))</f>
        <v/>
      </c>
      <c r="W75" s="13">
        <f>AO75+AR75+AU75+AX75+BA75+BD75+BG75+BJ75+BM75+BP75+BS75+BV75+BY75+CB75+CE75+CH75+CK75+CN75+CQ75+CT75</f>
        <v/>
      </c>
      <c r="X75" s="13">
        <f>AN75+AQ75+AT75+AW75+AZ75+BC75+BF75+BI75+BL75+BO75+BR75+BU75+BX75+CA75+CD75+CG75+CJ75+CM75+CP75+CS75</f>
        <v/>
      </c>
      <c r="Y75" s="27">
        <f>C75+D75+E75+F75+G75+H75+I75+J75+K75+L75+M75+N75+O75+P75+Q75+R75+S75+T75+U75+V75</f>
        <v/>
      </c>
      <c r="AN75">
        <f>IF(C74&lt;=0,0,C74*$E$5/12)</f>
        <v/>
      </c>
      <c r="AO75">
        <f>IF(C74&lt;=0,0,MIN(C74+AN75,$F$5+(Dashboard!$C$11+IF(C74&lt;=0,$F$5,0)+IF(D74&lt;=0,$F$6,0)+IF(E74&lt;=0,$F$7,0)+IF(F74&lt;=0,$F$8,0)+IF(G74&lt;=0,$F$9,0)+IF(H74&lt;=0,$F$10,0)+IF(I74&lt;=0,$F$11,0)+IF(J74&lt;=0,$F$12,0)+IF(K74&lt;=0,$F$13,0)+IF(L74&lt;=0,$F$14,0)+IF(M74&lt;=0,$F$15,0)+IF(N74&lt;=0,$F$16,0)+IF(O74&lt;=0,$F$17,0)+IF(P74&lt;=0,$F$18,0)+IF(Q74&lt;=0,$F$19,0)+IF(R74&lt;=0,$F$20,0)+IF(S74&lt;=0,$F$21,0)+IF(T74&lt;=0,$F$22,0)+IF(U74&lt;=0,$F$23,0)+IF(V74&lt;=0,$F$24,0))))</f>
        <v/>
      </c>
      <c r="AP75">
        <f>IF(C74&lt;=0,(Dashboard!$C$11+IF(C74&lt;=0,$F$5,0)+IF(D74&lt;=0,$F$6,0)+IF(E74&lt;=0,$F$7,0)+IF(F74&lt;=0,$F$8,0)+IF(G74&lt;=0,$F$9,0)+IF(H74&lt;=0,$F$10,0)+IF(I74&lt;=0,$F$11,0)+IF(J74&lt;=0,$F$12,0)+IF(K74&lt;=0,$F$13,0)+IF(L74&lt;=0,$F$14,0)+IF(M74&lt;=0,$F$15,0)+IF(N74&lt;=0,$F$16,0)+IF(O74&lt;=0,$F$17,0)+IF(P74&lt;=0,$F$18,0)+IF(Q74&lt;=0,$F$19,0)+IF(R74&lt;=0,$F$20,0)+IF(S74&lt;=0,$F$21,0)+IF(T74&lt;=0,$F$22,0)+IF(U74&lt;=0,$F$23,0)+IF(V74&lt;=0,$F$24,0)),MAX(0,$F$5+(Dashboard!$C$11+IF(C74&lt;=0,$F$5,0)+IF(D74&lt;=0,$F$6,0)+IF(E74&lt;=0,$F$7,0)+IF(F74&lt;=0,$F$8,0)+IF(G74&lt;=0,$F$9,0)+IF(H74&lt;=0,$F$10,0)+IF(I74&lt;=0,$F$11,0)+IF(J74&lt;=0,$F$12,0)+IF(K74&lt;=0,$F$13,0)+IF(L74&lt;=0,$F$14,0)+IF(M74&lt;=0,$F$15,0)+IF(N74&lt;=0,$F$16,0)+IF(O74&lt;=0,$F$17,0)+IF(P74&lt;=0,$F$18,0)+IF(Q74&lt;=0,$F$19,0)+IF(R74&lt;=0,$F$20,0)+IF(S74&lt;=0,$F$21,0)+IF(T74&lt;=0,$F$22,0)+IF(U74&lt;=0,$F$23,0)+IF(V74&lt;=0,$F$24,0))-C74-AN75))</f>
        <v/>
      </c>
      <c r="AQ75">
        <f>IF(D74&lt;=0,0,D74*$E$6/12)</f>
        <v/>
      </c>
      <c r="AR75">
        <f>IF(D74&lt;=0,0,MIN(D74+AQ75,$F$6+AP75))</f>
        <v/>
      </c>
      <c r="AS75">
        <f>IF(D74&lt;=0,AP75,MAX(0,$F$6+AP75-D74-AQ75))</f>
        <v/>
      </c>
      <c r="AT75">
        <f>IF(E74&lt;=0,0,E74*$E$7/12)</f>
        <v/>
      </c>
      <c r="AU75">
        <f>IF(E74&lt;=0,0,MIN(E74+AT75,$F$7+AS75))</f>
        <v/>
      </c>
      <c r="AV75">
        <f>IF(E74&lt;=0,AS75,MAX(0,$F$7+AS75-E74-AT75))</f>
        <v/>
      </c>
      <c r="AW75">
        <f>IF(F74&lt;=0,0,F74*$E$8/12)</f>
        <v/>
      </c>
      <c r="AX75">
        <f>IF(F74&lt;=0,0,MIN(F74+AW75,$F$8+AV75))</f>
        <v/>
      </c>
      <c r="AY75">
        <f>IF(F74&lt;=0,AV75,MAX(0,$F$8+AV75-F74-AW75))</f>
        <v/>
      </c>
      <c r="AZ75">
        <f>IF(G74&lt;=0,0,G74*$E$9/12)</f>
        <v/>
      </c>
      <c r="BA75">
        <f>IF(G74&lt;=0,0,MIN(G74+AZ75,$F$9+AY75))</f>
        <v/>
      </c>
      <c r="BB75">
        <f>IF(G74&lt;=0,AY75,MAX(0,$F$9+AY75-G74-AZ75))</f>
        <v/>
      </c>
      <c r="BC75">
        <f>IF(H74&lt;=0,0,H74*$E$10/12)</f>
        <v/>
      </c>
      <c r="BD75">
        <f>IF(H74&lt;=0,0,MIN(H74+BC75,$F$10+BB75))</f>
        <v/>
      </c>
      <c r="BE75">
        <f>IF(H74&lt;=0,BB75,MAX(0,$F$10+BB75-H74-BC75))</f>
        <v/>
      </c>
      <c r="BF75">
        <f>IF(I74&lt;=0,0,I74*$E$11/12)</f>
        <v/>
      </c>
      <c r="BG75">
        <f>IF(I74&lt;=0,0,MIN(I74+BF75,$F$11+BE75))</f>
        <v/>
      </c>
      <c r="BH75">
        <f>IF(I74&lt;=0,BE75,MAX(0,$F$11+BE75-I74-BF75))</f>
        <v/>
      </c>
      <c r="BI75">
        <f>IF(J74&lt;=0,0,J74*$E$12/12)</f>
        <v/>
      </c>
      <c r="BJ75">
        <f>IF(J74&lt;=0,0,MIN(J74+BI75,$F$12+BH75))</f>
        <v/>
      </c>
      <c r="BK75">
        <f>IF(J74&lt;=0,BH75,MAX(0,$F$12+BH75-J74-BI75))</f>
        <v/>
      </c>
      <c r="BL75">
        <f>IF(K74&lt;=0,0,K74*$E$13/12)</f>
        <v/>
      </c>
      <c r="BM75">
        <f>IF(K74&lt;=0,0,MIN(K74+BL75,$F$13+BK75))</f>
        <v/>
      </c>
      <c r="BN75">
        <f>IF(K74&lt;=0,BK75,MAX(0,$F$13+BK75-K74-BL75))</f>
        <v/>
      </c>
      <c r="BO75">
        <f>IF(L74&lt;=0,0,L74*$E$14/12)</f>
        <v/>
      </c>
      <c r="BP75">
        <f>IF(L74&lt;=0,0,MIN(L74+BO75,$F$14+BN75))</f>
        <v/>
      </c>
      <c r="BQ75">
        <f>IF(L74&lt;=0,BN75,MAX(0,$F$14+BN75-L74-BO75))</f>
        <v/>
      </c>
      <c r="BR75">
        <f>IF(M74&lt;=0,0,M74*$E$15/12)</f>
        <v/>
      </c>
      <c r="BS75">
        <f>IF(M74&lt;=0,0,MIN(M74+BR75,$F$15+BQ75))</f>
        <v/>
      </c>
      <c r="BT75">
        <f>IF(M74&lt;=0,BQ75,MAX(0,$F$15+BQ75-M74-BR75))</f>
        <v/>
      </c>
      <c r="BU75">
        <f>IF(N74&lt;=0,0,N74*$E$16/12)</f>
        <v/>
      </c>
      <c r="BV75">
        <f>IF(N74&lt;=0,0,MIN(N74+BU75,$F$16+BT75))</f>
        <v/>
      </c>
      <c r="BW75">
        <f>IF(N74&lt;=0,BT75,MAX(0,$F$16+BT75-N74-BU75))</f>
        <v/>
      </c>
      <c r="BX75">
        <f>IF(O74&lt;=0,0,O74*$E$17/12)</f>
        <v/>
      </c>
      <c r="BY75">
        <f>IF(O74&lt;=0,0,MIN(O74+BX75,$F$17+BW75))</f>
        <v/>
      </c>
      <c r="BZ75">
        <f>IF(O74&lt;=0,BW75,MAX(0,$F$17+BW75-O74-BX75))</f>
        <v/>
      </c>
      <c r="CA75">
        <f>IF(P74&lt;=0,0,P74*$E$18/12)</f>
        <v/>
      </c>
      <c r="CB75">
        <f>IF(P74&lt;=0,0,MIN(P74+CA75,$F$18+BZ75))</f>
        <v/>
      </c>
      <c r="CC75">
        <f>IF(P74&lt;=0,BZ75,MAX(0,$F$18+BZ75-P74-CA75))</f>
        <v/>
      </c>
      <c r="CD75">
        <f>IF(Q74&lt;=0,0,Q74*$E$19/12)</f>
        <v/>
      </c>
      <c r="CE75">
        <f>IF(Q74&lt;=0,0,MIN(Q74+CD75,$F$19+CC75))</f>
        <v/>
      </c>
      <c r="CF75">
        <f>IF(Q74&lt;=0,CC75,MAX(0,$F$19+CC75-Q74-CD75))</f>
        <v/>
      </c>
      <c r="CG75">
        <f>IF(R74&lt;=0,0,R74*$E$20/12)</f>
        <v/>
      </c>
      <c r="CH75">
        <f>IF(R74&lt;=0,0,MIN(R74+CG75,$F$20+CF75))</f>
        <v/>
      </c>
      <c r="CI75">
        <f>IF(R74&lt;=0,CF75,MAX(0,$F$20+CF75-R74-CG75))</f>
        <v/>
      </c>
      <c r="CJ75">
        <f>IF(S74&lt;=0,0,S74*$E$21/12)</f>
        <v/>
      </c>
      <c r="CK75">
        <f>IF(S74&lt;=0,0,MIN(S74+CJ75,$F$21+CI75))</f>
        <v/>
      </c>
      <c r="CL75">
        <f>IF(S74&lt;=0,CI75,MAX(0,$F$21+CI75-S74-CJ75))</f>
        <v/>
      </c>
      <c r="CM75">
        <f>IF(T74&lt;=0,0,T74*$E$22/12)</f>
        <v/>
      </c>
      <c r="CN75">
        <f>IF(T74&lt;=0,0,MIN(T74+CM75,$F$22+CL75))</f>
        <v/>
      </c>
      <c r="CO75">
        <f>IF(T74&lt;=0,CL75,MAX(0,$F$22+CL75-T74-CM75))</f>
        <v/>
      </c>
      <c r="CP75">
        <f>IF(U74&lt;=0,0,U74*$E$23/12)</f>
        <v/>
      </c>
      <c r="CQ75">
        <f>IF(U74&lt;=0,0,MIN(U74+CP75,$F$23+CO75))</f>
        <v/>
      </c>
      <c r="CR75">
        <f>IF(U74&lt;=0,CO75,MAX(0,$F$23+CO75-U74-CP75))</f>
        <v/>
      </c>
      <c r="CS75">
        <f>IF(V74&lt;=0,0,V74*$E$24/12)</f>
        <v/>
      </c>
      <c r="CT75">
        <f>IF(V74&lt;=0,0,MIN(V74+CS75,$F$24+CR75))</f>
        <v/>
      </c>
      <c r="CU75">
        <f>IF(V74&lt;=0,CR75,MAX(0,$F$24+CR75-V74-CS75))</f>
        <v/>
      </c>
    </row>
    <row r="76">
      <c r="B76" s="39" t="n">
        <v>50</v>
      </c>
      <c r="C76" s="13">
        <f>IF(C75&lt;=0,0,MAX(0,C75+AN76-AO76))</f>
        <v/>
      </c>
      <c r="D76" s="13">
        <f>IF(D75&lt;=0,0,MAX(0,D75+AQ76-AR76))</f>
        <v/>
      </c>
      <c r="E76" s="13">
        <f>IF(E75&lt;=0,0,MAX(0,E75+AT76-AU76))</f>
        <v/>
      </c>
      <c r="F76" s="13">
        <f>IF(F75&lt;=0,0,MAX(0,F75+AW76-AX76))</f>
        <v/>
      </c>
      <c r="G76" s="13">
        <f>IF(G75&lt;=0,0,MAX(0,G75+AZ76-BA76))</f>
        <v/>
      </c>
      <c r="H76" s="13">
        <f>IF(H75&lt;=0,0,MAX(0,H75+BC76-BD76))</f>
        <v/>
      </c>
      <c r="I76" s="13">
        <f>IF(I75&lt;=0,0,MAX(0,I75+BF76-BG76))</f>
        <v/>
      </c>
      <c r="J76" s="13">
        <f>IF(J75&lt;=0,0,MAX(0,J75+BI76-BJ76))</f>
        <v/>
      </c>
      <c r="K76" s="13">
        <f>IF(K75&lt;=0,0,MAX(0,K75+BL76-BM76))</f>
        <v/>
      </c>
      <c r="L76" s="13">
        <f>IF(L75&lt;=0,0,MAX(0,L75+BO76-BP76))</f>
        <v/>
      </c>
      <c r="M76" s="13">
        <f>IF(M75&lt;=0,0,MAX(0,M75+BR76-BS76))</f>
        <v/>
      </c>
      <c r="N76" s="13">
        <f>IF(N75&lt;=0,0,MAX(0,N75+BU76-BV76))</f>
        <v/>
      </c>
      <c r="O76" s="13">
        <f>IF(O75&lt;=0,0,MAX(0,O75+BX76-BY76))</f>
        <v/>
      </c>
      <c r="P76" s="13">
        <f>IF(P75&lt;=0,0,MAX(0,P75+CA76-CB76))</f>
        <v/>
      </c>
      <c r="Q76" s="13">
        <f>IF(Q75&lt;=0,0,MAX(0,Q75+CD76-CE76))</f>
        <v/>
      </c>
      <c r="R76" s="13">
        <f>IF(R75&lt;=0,0,MAX(0,R75+CG76-CH76))</f>
        <v/>
      </c>
      <c r="S76" s="13">
        <f>IF(S75&lt;=0,0,MAX(0,S75+CJ76-CK76))</f>
        <v/>
      </c>
      <c r="T76" s="13">
        <f>IF(T75&lt;=0,0,MAX(0,T75+CM76-CN76))</f>
        <v/>
      </c>
      <c r="U76" s="13">
        <f>IF(U75&lt;=0,0,MAX(0,U75+CP76-CQ76))</f>
        <v/>
      </c>
      <c r="V76" s="13">
        <f>IF(V75&lt;=0,0,MAX(0,V75+CS76-CT76))</f>
        <v/>
      </c>
      <c r="W76" s="13">
        <f>AO76+AR76+AU76+AX76+BA76+BD76+BG76+BJ76+BM76+BP76+BS76+BV76+BY76+CB76+CE76+CH76+CK76+CN76+CQ76+CT76</f>
        <v/>
      </c>
      <c r="X76" s="13">
        <f>AN76+AQ76+AT76+AW76+AZ76+BC76+BF76+BI76+BL76+BO76+BR76+BU76+BX76+CA76+CD76+CG76+CJ76+CM76+CP76+CS76</f>
        <v/>
      </c>
      <c r="Y76" s="27">
        <f>C76+D76+E76+F76+G76+H76+I76+J76+K76+L76+M76+N76+O76+P76+Q76+R76+S76+T76+U76+V76</f>
        <v/>
      </c>
      <c r="AN76">
        <f>IF(C75&lt;=0,0,C75*$E$5/12)</f>
        <v/>
      </c>
      <c r="AO76">
        <f>IF(C75&lt;=0,0,MIN(C75+AN76,$F$5+(Dashboard!$C$11+IF(C75&lt;=0,$F$5,0)+IF(D75&lt;=0,$F$6,0)+IF(E75&lt;=0,$F$7,0)+IF(F75&lt;=0,$F$8,0)+IF(G75&lt;=0,$F$9,0)+IF(H75&lt;=0,$F$10,0)+IF(I75&lt;=0,$F$11,0)+IF(J75&lt;=0,$F$12,0)+IF(K75&lt;=0,$F$13,0)+IF(L75&lt;=0,$F$14,0)+IF(M75&lt;=0,$F$15,0)+IF(N75&lt;=0,$F$16,0)+IF(O75&lt;=0,$F$17,0)+IF(P75&lt;=0,$F$18,0)+IF(Q75&lt;=0,$F$19,0)+IF(R75&lt;=0,$F$20,0)+IF(S75&lt;=0,$F$21,0)+IF(T75&lt;=0,$F$22,0)+IF(U75&lt;=0,$F$23,0)+IF(V75&lt;=0,$F$24,0))))</f>
        <v/>
      </c>
      <c r="AP76">
        <f>IF(C75&lt;=0,(Dashboard!$C$11+IF(C75&lt;=0,$F$5,0)+IF(D75&lt;=0,$F$6,0)+IF(E75&lt;=0,$F$7,0)+IF(F75&lt;=0,$F$8,0)+IF(G75&lt;=0,$F$9,0)+IF(H75&lt;=0,$F$10,0)+IF(I75&lt;=0,$F$11,0)+IF(J75&lt;=0,$F$12,0)+IF(K75&lt;=0,$F$13,0)+IF(L75&lt;=0,$F$14,0)+IF(M75&lt;=0,$F$15,0)+IF(N75&lt;=0,$F$16,0)+IF(O75&lt;=0,$F$17,0)+IF(P75&lt;=0,$F$18,0)+IF(Q75&lt;=0,$F$19,0)+IF(R75&lt;=0,$F$20,0)+IF(S75&lt;=0,$F$21,0)+IF(T75&lt;=0,$F$22,0)+IF(U75&lt;=0,$F$23,0)+IF(V75&lt;=0,$F$24,0)),MAX(0,$F$5+(Dashboard!$C$11+IF(C75&lt;=0,$F$5,0)+IF(D75&lt;=0,$F$6,0)+IF(E75&lt;=0,$F$7,0)+IF(F75&lt;=0,$F$8,0)+IF(G75&lt;=0,$F$9,0)+IF(H75&lt;=0,$F$10,0)+IF(I75&lt;=0,$F$11,0)+IF(J75&lt;=0,$F$12,0)+IF(K75&lt;=0,$F$13,0)+IF(L75&lt;=0,$F$14,0)+IF(M75&lt;=0,$F$15,0)+IF(N75&lt;=0,$F$16,0)+IF(O75&lt;=0,$F$17,0)+IF(P75&lt;=0,$F$18,0)+IF(Q75&lt;=0,$F$19,0)+IF(R75&lt;=0,$F$20,0)+IF(S75&lt;=0,$F$21,0)+IF(T75&lt;=0,$F$22,0)+IF(U75&lt;=0,$F$23,0)+IF(V75&lt;=0,$F$24,0))-C75-AN76))</f>
        <v/>
      </c>
      <c r="AQ76">
        <f>IF(D75&lt;=0,0,D75*$E$6/12)</f>
        <v/>
      </c>
      <c r="AR76">
        <f>IF(D75&lt;=0,0,MIN(D75+AQ76,$F$6+AP76))</f>
        <v/>
      </c>
      <c r="AS76">
        <f>IF(D75&lt;=0,AP76,MAX(0,$F$6+AP76-D75-AQ76))</f>
        <v/>
      </c>
      <c r="AT76">
        <f>IF(E75&lt;=0,0,E75*$E$7/12)</f>
        <v/>
      </c>
      <c r="AU76">
        <f>IF(E75&lt;=0,0,MIN(E75+AT76,$F$7+AS76))</f>
        <v/>
      </c>
      <c r="AV76">
        <f>IF(E75&lt;=0,AS76,MAX(0,$F$7+AS76-E75-AT76))</f>
        <v/>
      </c>
      <c r="AW76">
        <f>IF(F75&lt;=0,0,F75*$E$8/12)</f>
        <v/>
      </c>
      <c r="AX76">
        <f>IF(F75&lt;=0,0,MIN(F75+AW76,$F$8+AV76))</f>
        <v/>
      </c>
      <c r="AY76">
        <f>IF(F75&lt;=0,AV76,MAX(0,$F$8+AV76-F75-AW76))</f>
        <v/>
      </c>
      <c r="AZ76">
        <f>IF(G75&lt;=0,0,G75*$E$9/12)</f>
        <v/>
      </c>
      <c r="BA76">
        <f>IF(G75&lt;=0,0,MIN(G75+AZ76,$F$9+AY76))</f>
        <v/>
      </c>
      <c r="BB76">
        <f>IF(G75&lt;=0,AY76,MAX(0,$F$9+AY76-G75-AZ76))</f>
        <v/>
      </c>
      <c r="BC76">
        <f>IF(H75&lt;=0,0,H75*$E$10/12)</f>
        <v/>
      </c>
      <c r="BD76">
        <f>IF(H75&lt;=0,0,MIN(H75+BC76,$F$10+BB76))</f>
        <v/>
      </c>
      <c r="BE76">
        <f>IF(H75&lt;=0,BB76,MAX(0,$F$10+BB76-H75-BC76))</f>
        <v/>
      </c>
      <c r="BF76">
        <f>IF(I75&lt;=0,0,I75*$E$11/12)</f>
        <v/>
      </c>
      <c r="BG76">
        <f>IF(I75&lt;=0,0,MIN(I75+BF76,$F$11+BE76))</f>
        <v/>
      </c>
      <c r="BH76">
        <f>IF(I75&lt;=0,BE76,MAX(0,$F$11+BE76-I75-BF76))</f>
        <v/>
      </c>
      <c r="BI76">
        <f>IF(J75&lt;=0,0,J75*$E$12/12)</f>
        <v/>
      </c>
      <c r="BJ76">
        <f>IF(J75&lt;=0,0,MIN(J75+BI76,$F$12+BH76))</f>
        <v/>
      </c>
      <c r="BK76">
        <f>IF(J75&lt;=0,BH76,MAX(0,$F$12+BH76-J75-BI76))</f>
        <v/>
      </c>
      <c r="BL76">
        <f>IF(K75&lt;=0,0,K75*$E$13/12)</f>
        <v/>
      </c>
      <c r="BM76">
        <f>IF(K75&lt;=0,0,MIN(K75+BL76,$F$13+BK76))</f>
        <v/>
      </c>
      <c r="BN76">
        <f>IF(K75&lt;=0,BK76,MAX(0,$F$13+BK76-K75-BL76))</f>
        <v/>
      </c>
      <c r="BO76">
        <f>IF(L75&lt;=0,0,L75*$E$14/12)</f>
        <v/>
      </c>
      <c r="BP76">
        <f>IF(L75&lt;=0,0,MIN(L75+BO76,$F$14+BN76))</f>
        <v/>
      </c>
      <c r="BQ76">
        <f>IF(L75&lt;=0,BN76,MAX(0,$F$14+BN76-L75-BO76))</f>
        <v/>
      </c>
      <c r="BR76">
        <f>IF(M75&lt;=0,0,M75*$E$15/12)</f>
        <v/>
      </c>
      <c r="BS76">
        <f>IF(M75&lt;=0,0,MIN(M75+BR76,$F$15+BQ76))</f>
        <v/>
      </c>
      <c r="BT76">
        <f>IF(M75&lt;=0,BQ76,MAX(0,$F$15+BQ76-M75-BR76))</f>
        <v/>
      </c>
      <c r="BU76">
        <f>IF(N75&lt;=0,0,N75*$E$16/12)</f>
        <v/>
      </c>
      <c r="BV76">
        <f>IF(N75&lt;=0,0,MIN(N75+BU76,$F$16+BT76))</f>
        <v/>
      </c>
      <c r="BW76">
        <f>IF(N75&lt;=0,BT76,MAX(0,$F$16+BT76-N75-BU76))</f>
        <v/>
      </c>
      <c r="BX76">
        <f>IF(O75&lt;=0,0,O75*$E$17/12)</f>
        <v/>
      </c>
      <c r="BY76">
        <f>IF(O75&lt;=0,0,MIN(O75+BX76,$F$17+BW76))</f>
        <v/>
      </c>
      <c r="BZ76">
        <f>IF(O75&lt;=0,BW76,MAX(0,$F$17+BW76-O75-BX76))</f>
        <v/>
      </c>
      <c r="CA76">
        <f>IF(P75&lt;=0,0,P75*$E$18/12)</f>
        <v/>
      </c>
      <c r="CB76">
        <f>IF(P75&lt;=0,0,MIN(P75+CA76,$F$18+BZ76))</f>
        <v/>
      </c>
      <c r="CC76">
        <f>IF(P75&lt;=0,BZ76,MAX(0,$F$18+BZ76-P75-CA76))</f>
        <v/>
      </c>
      <c r="CD76">
        <f>IF(Q75&lt;=0,0,Q75*$E$19/12)</f>
        <v/>
      </c>
      <c r="CE76">
        <f>IF(Q75&lt;=0,0,MIN(Q75+CD76,$F$19+CC76))</f>
        <v/>
      </c>
      <c r="CF76">
        <f>IF(Q75&lt;=0,CC76,MAX(0,$F$19+CC76-Q75-CD76))</f>
        <v/>
      </c>
      <c r="CG76">
        <f>IF(R75&lt;=0,0,R75*$E$20/12)</f>
        <v/>
      </c>
      <c r="CH76">
        <f>IF(R75&lt;=0,0,MIN(R75+CG76,$F$20+CF76))</f>
        <v/>
      </c>
      <c r="CI76">
        <f>IF(R75&lt;=0,CF76,MAX(0,$F$20+CF76-R75-CG76))</f>
        <v/>
      </c>
      <c r="CJ76">
        <f>IF(S75&lt;=0,0,S75*$E$21/12)</f>
        <v/>
      </c>
      <c r="CK76">
        <f>IF(S75&lt;=0,0,MIN(S75+CJ76,$F$21+CI76))</f>
        <v/>
      </c>
      <c r="CL76">
        <f>IF(S75&lt;=0,CI76,MAX(0,$F$21+CI76-S75-CJ76))</f>
        <v/>
      </c>
      <c r="CM76">
        <f>IF(T75&lt;=0,0,T75*$E$22/12)</f>
        <v/>
      </c>
      <c r="CN76">
        <f>IF(T75&lt;=0,0,MIN(T75+CM76,$F$22+CL76))</f>
        <v/>
      </c>
      <c r="CO76">
        <f>IF(T75&lt;=0,CL76,MAX(0,$F$22+CL76-T75-CM76))</f>
        <v/>
      </c>
      <c r="CP76">
        <f>IF(U75&lt;=0,0,U75*$E$23/12)</f>
        <v/>
      </c>
      <c r="CQ76">
        <f>IF(U75&lt;=0,0,MIN(U75+CP76,$F$23+CO76))</f>
        <v/>
      </c>
      <c r="CR76">
        <f>IF(U75&lt;=0,CO76,MAX(0,$F$23+CO76-U75-CP76))</f>
        <v/>
      </c>
      <c r="CS76">
        <f>IF(V75&lt;=0,0,V75*$E$24/12)</f>
        <v/>
      </c>
      <c r="CT76">
        <f>IF(V75&lt;=0,0,MIN(V75+CS76,$F$24+CR76))</f>
        <v/>
      </c>
      <c r="CU76">
        <f>IF(V75&lt;=0,CR76,MAX(0,$F$24+CR76-V75-CS76))</f>
        <v/>
      </c>
    </row>
    <row r="77">
      <c r="B77" s="39" t="n">
        <v>51</v>
      </c>
      <c r="C77" s="13">
        <f>IF(C76&lt;=0,0,MAX(0,C76+AN77-AO77))</f>
        <v/>
      </c>
      <c r="D77" s="13">
        <f>IF(D76&lt;=0,0,MAX(0,D76+AQ77-AR77))</f>
        <v/>
      </c>
      <c r="E77" s="13">
        <f>IF(E76&lt;=0,0,MAX(0,E76+AT77-AU77))</f>
        <v/>
      </c>
      <c r="F77" s="13">
        <f>IF(F76&lt;=0,0,MAX(0,F76+AW77-AX77))</f>
        <v/>
      </c>
      <c r="G77" s="13">
        <f>IF(G76&lt;=0,0,MAX(0,G76+AZ77-BA77))</f>
        <v/>
      </c>
      <c r="H77" s="13">
        <f>IF(H76&lt;=0,0,MAX(0,H76+BC77-BD77))</f>
        <v/>
      </c>
      <c r="I77" s="13">
        <f>IF(I76&lt;=0,0,MAX(0,I76+BF77-BG77))</f>
        <v/>
      </c>
      <c r="J77" s="13">
        <f>IF(J76&lt;=0,0,MAX(0,J76+BI77-BJ77))</f>
        <v/>
      </c>
      <c r="K77" s="13">
        <f>IF(K76&lt;=0,0,MAX(0,K76+BL77-BM77))</f>
        <v/>
      </c>
      <c r="L77" s="13">
        <f>IF(L76&lt;=0,0,MAX(0,L76+BO77-BP77))</f>
        <v/>
      </c>
      <c r="M77" s="13">
        <f>IF(M76&lt;=0,0,MAX(0,M76+BR77-BS77))</f>
        <v/>
      </c>
      <c r="N77" s="13">
        <f>IF(N76&lt;=0,0,MAX(0,N76+BU77-BV77))</f>
        <v/>
      </c>
      <c r="O77" s="13">
        <f>IF(O76&lt;=0,0,MAX(0,O76+BX77-BY77))</f>
        <v/>
      </c>
      <c r="P77" s="13">
        <f>IF(P76&lt;=0,0,MAX(0,P76+CA77-CB77))</f>
        <v/>
      </c>
      <c r="Q77" s="13">
        <f>IF(Q76&lt;=0,0,MAX(0,Q76+CD77-CE77))</f>
        <v/>
      </c>
      <c r="R77" s="13">
        <f>IF(R76&lt;=0,0,MAX(0,R76+CG77-CH77))</f>
        <v/>
      </c>
      <c r="S77" s="13">
        <f>IF(S76&lt;=0,0,MAX(0,S76+CJ77-CK77))</f>
        <v/>
      </c>
      <c r="T77" s="13">
        <f>IF(T76&lt;=0,0,MAX(0,T76+CM77-CN77))</f>
        <v/>
      </c>
      <c r="U77" s="13">
        <f>IF(U76&lt;=0,0,MAX(0,U76+CP77-CQ77))</f>
        <v/>
      </c>
      <c r="V77" s="13">
        <f>IF(V76&lt;=0,0,MAX(0,V76+CS77-CT77))</f>
        <v/>
      </c>
      <c r="W77" s="13">
        <f>AO77+AR77+AU77+AX77+BA77+BD77+BG77+BJ77+BM77+BP77+BS77+BV77+BY77+CB77+CE77+CH77+CK77+CN77+CQ77+CT77</f>
        <v/>
      </c>
      <c r="X77" s="13">
        <f>AN77+AQ77+AT77+AW77+AZ77+BC77+BF77+BI77+BL77+BO77+BR77+BU77+BX77+CA77+CD77+CG77+CJ77+CM77+CP77+CS77</f>
        <v/>
      </c>
      <c r="Y77" s="27">
        <f>C77+D77+E77+F77+G77+H77+I77+J77+K77+L77+M77+N77+O77+P77+Q77+R77+S77+T77+U77+V77</f>
        <v/>
      </c>
      <c r="AN77">
        <f>IF(C76&lt;=0,0,C76*$E$5/12)</f>
        <v/>
      </c>
      <c r="AO77">
        <f>IF(C76&lt;=0,0,MIN(C76+AN77,$F$5+(Dashboard!$C$11+IF(C76&lt;=0,$F$5,0)+IF(D76&lt;=0,$F$6,0)+IF(E76&lt;=0,$F$7,0)+IF(F76&lt;=0,$F$8,0)+IF(G76&lt;=0,$F$9,0)+IF(H76&lt;=0,$F$10,0)+IF(I76&lt;=0,$F$11,0)+IF(J76&lt;=0,$F$12,0)+IF(K76&lt;=0,$F$13,0)+IF(L76&lt;=0,$F$14,0)+IF(M76&lt;=0,$F$15,0)+IF(N76&lt;=0,$F$16,0)+IF(O76&lt;=0,$F$17,0)+IF(P76&lt;=0,$F$18,0)+IF(Q76&lt;=0,$F$19,0)+IF(R76&lt;=0,$F$20,0)+IF(S76&lt;=0,$F$21,0)+IF(T76&lt;=0,$F$22,0)+IF(U76&lt;=0,$F$23,0)+IF(V76&lt;=0,$F$24,0))))</f>
        <v/>
      </c>
      <c r="AP77">
        <f>IF(C76&lt;=0,(Dashboard!$C$11+IF(C76&lt;=0,$F$5,0)+IF(D76&lt;=0,$F$6,0)+IF(E76&lt;=0,$F$7,0)+IF(F76&lt;=0,$F$8,0)+IF(G76&lt;=0,$F$9,0)+IF(H76&lt;=0,$F$10,0)+IF(I76&lt;=0,$F$11,0)+IF(J76&lt;=0,$F$12,0)+IF(K76&lt;=0,$F$13,0)+IF(L76&lt;=0,$F$14,0)+IF(M76&lt;=0,$F$15,0)+IF(N76&lt;=0,$F$16,0)+IF(O76&lt;=0,$F$17,0)+IF(P76&lt;=0,$F$18,0)+IF(Q76&lt;=0,$F$19,0)+IF(R76&lt;=0,$F$20,0)+IF(S76&lt;=0,$F$21,0)+IF(T76&lt;=0,$F$22,0)+IF(U76&lt;=0,$F$23,0)+IF(V76&lt;=0,$F$24,0)),MAX(0,$F$5+(Dashboard!$C$11+IF(C76&lt;=0,$F$5,0)+IF(D76&lt;=0,$F$6,0)+IF(E76&lt;=0,$F$7,0)+IF(F76&lt;=0,$F$8,0)+IF(G76&lt;=0,$F$9,0)+IF(H76&lt;=0,$F$10,0)+IF(I76&lt;=0,$F$11,0)+IF(J76&lt;=0,$F$12,0)+IF(K76&lt;=0,$F$13,0)+IF(L76&lt;=0,$F$14,0)+IF(M76&lt;=0,$F$15,0)+IF(N76&lt;=0,$F$16,0)+IF(O76&lt;=0,$F$17,0)+IF(P76&lt;=0,$F$18,0)+IF(Q76&lt;=0,$F$19,0)+IF(R76&lt;=0,$F$20,0)+IF(S76&lt;=0,$F$21,0)+IF(T76&lt;=0,$F$22,0)+IF(U76&lt;=0,$F$23,0)+IF(V76&lt;=0,$F$24,0))-C76-AN77))</f>
        <v/>
      </c>
      <c r="AQ77">
        <f>IF(D76&lt;=0,0,D76*$E$6/12)</f>
        <v/>
      </c>
      <c r="AR77">
        <f>IF(D76&lt;=0,0,MIN(D76+AQ77,$F$6+AP77))</f>
        <v/>
      </c>
      <c r="AS77">
        <f>IF(D76&lt;=0,AP77,MAX(0,$F$6+AP77-D76-AQ77))</f>
        <v/>
      </c>
      <c r="AT77">
        <f>IF(E76&lt;=0,0,E76*$E$7/12)</f>
        <v/>
      </c>
      <c r="AU77">
        <f>IF(E76&lt;=0,0,MIN(E76+AT77,$F$7+AS77))</f>
        <v/>
      </c>
      <c r="AV77">
        <f>IF(E76&lt;=0,AS77,MAX(0,$F$7+AS77-E76-AT77))</f>
        <v/>
      </c>
      <c r="AW77">
        <f>IF(F76&lt;=0,0,F76*$E$8/12)</f>
        <v/>
      </c>
      <c r="AX77">
        <f>IF(F76&lt;=0,0,MIN(F76+AW77,$F$8+AV77))</f>
        <v/>
      </c>
      <c r="AY77">
        <f>IF(F76&lt;=0,AV77,MAX(0,$F$8+AV77-F76-AW77))</f>
        <v/>
      </c>
      <c r="AZ77">
        <f>IF(G76&lt;=0,0,G76*$E$9/12)</f>
        <v/>
      </c>
      <c r="BA77">
        <f>IF(G76&lt;=0,0,MIN(G76+AZ77,$F$9+AY77))</f>
        <v/>
      </c>
      <c r="BB77">
        <f>IF(G76&lt;=0,AY77,MAX(0,$F$9+AY77-G76-AZ77))</f>
        <v/>
      </c>
      <c r="BC77">
        <f>IF(H76&lt;=0,0,H76*$E$10/12)</f>
        <v/>
      </c>
      <c r="BD77">
        <f>IF(H76&lt;=0,0,MIN(H76+BC77,$F$10+BB77))</f>
        <v/>
      </c>
      <c r="BE77">
        <f>IF(H76&lt;=0,BB77,MAX(0,$F$10+BB77-H76-BC77))</f>
        <v/>
      </c>
      <c r="BF77">
        <f>IF(I76&lt;=0,0,I76*$E$11/12)</f>
        <v/>
      </c>
      <c r="BG77">
        <f>IF(I76&lt;=0,0,MIN(I76+BF77,$F$11+BE77))</f>
        <v/>
      </c>
      <c r="BH77">
        <f>IF(I76&lt;=0,BE77,MAX(0,$F$11+BE77-I76-BF77))</f>
        <v/>
      </c>
      <c r="BI77">
        <f>IF(J76&lt;=0,0,J76*$E$12/12)</f>
        <v/>
      </c>
      <c r="BJ77">
        <f>IF(J76&lt;=0,0,MIN(J76+BI77,$F$12+BH77))</f>
        <v/>
      </c>
      <c r="BK77">
        <f>IF(J76&lt;=0,BH77,MAX(0,$F$12+BH77-J76-BI77))</f>
        <v/>
      </c>
      <c r="BL77">
        <f>IF(K76&lt;=0,0,K76*$E$13/12)</f>
        <v/>
      </c>
      <c r="BM77">
        <f>IF(K76&lt;=0,0,MIN(K76+BL77,$F$13+BK77))</f>
        <v/>
      </c>
      <c r="BN77">
        <f>IF(K76&lt;=0,BK77,MAX(0,$F$13+BK77-K76-BL77))</f>
        <v/>
      </c>
      <c r="BO77">
        <f>IF(L76&lt;=0,0,L76*$E$14/12)</f>
        <v/>
      </c>
      <c r="BP77">
        <f>IF(L76&lt;=0,0,MIN(L76+BO77,$F$14+BN77))</f>
        <v/>
      </c>
      <c r="BQ77">
        <f>IF(L76&lt;=0,BN77,MAX(0,$F$14+BN77-L76-BO77))</f>
        <v/>
      </c>
      <c r="BR77">
        <f>IF(M76&lt;=0,0,M76*$E$15/12)</f>
        <v/>
      </c>
      <c r="BS77">
        <f>IF(M76&lt;=0,0,MIN(M76+BR77,$F$15+BQ77))</f>
        <v/>
      </c>
      <c r="BT77">
        <f>IF(M76&lt;=0,BQ77,MAX(0,$F$15+BQ77-M76-BR77))</f>
        <v/>
      </c>
      <c r="BU77">
        <f>IF(N76&lt;=0,0,N76*$E$16/12)</f>
        <v/>
      </c>
      <c r="BV77">
        <f>IF(N76&lt;=0,0,MIN(N76+BU77,$F$16+BT77))</f>
        <v/>
      </c>
      <c r="BW77">
        <f>IF(N76&lt;=0,BT77,MAX(0,$F$16+BT77-N76-BU77))</f>
        <v/>
      </c>
      <c r="BX77">
        <f>IF(O76&lt;=0,0,O76*$E$17/12)</f>
        <v/>
      </c>
      <c r="BY77">
        <f>IF(O76&lt;=0,0,MIN(O76+BX77,$F$17+BW77))</f>
        <v/>
      </c>
      <c r="BZ77">
        <f>IF(O76&lt;=0,BW77,MAX(0,$F$17+BW77-O76-BX77))</f>
        <v/>
      </c>
      <c r="CA77">
        <f>IF(P76&lt;=0,0,P76*$E$18/12)</f>
        <v/>
      </c>
      <c r="CB77">
        <f>IF(P76&lt;=0,0,MIN(P76+CA77,$F$18+BZ77))</f>
        <v/>
      </c>
      <c r="CC77">
        <f>IF(P76&lt;=0,BZ77,MAX(0,$F$18+BZ77-P76-CA77))</f>
        <v/>
      </c>
      <c r="CD77">
        <f>IF(Q76&lt;=0,0,Q76*$E$19/12)</f>
        <v/>
      </c>
      <c r="CE77">
        <f>IF(Q76&lt;=0,0,MIN(Q76+CD77,$F$19+CC77))</f>
        <v/>
      </c>
      <c r="CF77">
        <f>IF(Q76&lt;=0,CC77,MAX(0,$F$19+CC77-Q76-CD77))</f>
        <v/>
      </c>
      <c r="CG77">
        <f>IF(R76&lt;=0,0,R76*$E$20/12)</f>
        <v/>
      </c>
      <c r="CH77">
        <f>IF(R76&lt;=0,0,MIN(R76+CG77,$F$20+CF77))</f>
        <v/>
      </c>
      <c r="CI77">
        <f>IF(R76&lt;=0,CF77,MAX(0,$F$20+CF77-R76-CG77))</f>
        <v/>
      </c>
      <c r="CJ77">
        <f>IF(S76&lt;=0,0,S76*$E$21/12)</f>
        <v/>
      </c>
      <c r="CK77">
        <f>IF(S76&lt;=0,0,MIN(S76+CJ77,$F$21+CI77))</f>
        <v/>
      </c>
      <c r="CL77">
        <f>IF(S76&lt;=0,CI77,MAX(0,$F$21+CI77-S76-CJ77))</f>
        <v/>
      </c>
      <c r="CM77">
        <f>IF(T76&lt;=0,0,T76*$E$22/12)</f>
        <v/>
      </c>
      <c r="CN77">
        <f>IF(T76&lt;=0,0,MIN(T76+CM77,$F$22+CL77))</f>
        <v/>
      </c>
      <c r="CO77">
        <f>IF(T76&lt;=0,CL77,MAX(0,$F$22+CL77-T76-CM77))</f>
        <v/>
      </c>
      <c r="CP77">
        <f>IF(U76&lt;=0,0,U76*$E$23/12)</f>
        <v/>
      </c>
      <c r="CQ77">
        <f>IF(U76&lt;=0,0,MIN(U76+CP77,$F$23+CO77))</f>
        <v/>
      </c>
      <c r="CR77">
        <f>IF(U76&lt;=0,CO77,MAX(0,$F$23+CO77-U76-CP77))</f>
        <v/>
      </c>
      <c r="CS77">
        <f>IF(V76&lt;=0,0,V76*$E$24/12)</f>
        <v/>
      </c>
      <c r="CT77">
        <f>IF(V76&lt;=0,0,MIN(V76+CS77,$F$24+CR77))</f>
        <v/>
      </c>
      <c r="CU77">
        <f>IF(V76&lt;=0,CR77,MAX(0,$F$24+CR77-V76-CS77))</f>
        <v/>
      </c>
    </row>
    <row r="78">
      <c r="B78" s="39" t="n">
        <v>52</v>
      </c>
      <c r="C78" s="13">
        <f>IF(C77&lt;=0,0,MAX(0,C77+AN78-AO78))</f>
        <v/>
      </c>
      <c r="D78" s="13">
        <f>IF(D77&lt;=0,0,MAX(0,D77+AQ78-AR78))</f>
        <v/>
      </c>
      <c r="E78" s="13">
        <f>IF(E77&lt;=0,0,MAX(0,E77+AT78-AU78))</f>
        <v/>
      </c>
      <c r="F78" s="13">
        <f>IF(F77&lt;=0,0,MAX(0,F77+AW78-AX78))</f>
        <v/>
      </c>
      <c r="G78" s="13">
        <f>IF(G77&lt;=0,0,MAX(0,G77+AZ78-BA78))</f>
        <v/>
      </c>
      <c r="H78" s="13">
        <f>IF(H77&lt;=0,0,MAX(0,H77+BC78-BD78))</f>
        <v/>
      </c>
      <c r="I78" s="13">
        <f>IF(I77&lt;=0,0,MAX(0,I77+BF78-BG78))</f>
        <v/>
      </c>
      <c r="J78" s="13">
        <f>IF(J77&lt;=0,0,MAX(0,J77+BI78-BJ78))</f>
        <v/>
      </c>
      <c r="K78" s="13">
        <f>IF(K77&lt;=0,0,MAX(0,K77+BL78-BM78))</f>
        <v/>
      </c>
      <c r="L78" s="13">
        <f>IF(L77&lt;=0,0,MAX(0,L77+BO78-BP78))</f>
        <v/>
      </c>
      <c r="M78" s="13">
        <f>IF(M77&lt;=0,0,MAX(0,M77+BR78-BS78))</f>
        <v/>
      </c>
      <c r="N78" s="13">
        <f>IF(N77&lt;=0,0,MAX(0,N77+BU78-BV78))</f>
        <v/>
      </c>
      <c r="O78" s="13">
        <f>IF(O77&lt;=0,0,MAX(0,O77+BX78-BY78))</f>
        <v/>
      </c>
      <c r="P78" s="13">
        <f>IF(P77&lt;=0,0,MAX(0,P77+CA78-CB78))</f>
        <v/>
      </c>
      <c r="Q78" s="13">
        <f>IF(Q77&lt;=0,0,MAX(0,Q77+CD78-CE78))</f>
        <v/>
      </c>
      <c r="R78" s="13">
        <f>IF(R77&lt;=0,0,MAX(0,R77+CG78-CH78))</f>
        <v/>
      </c>
      <c r="S78" s="13">
        <f>IF(S77&lt;=0,0,MAX(0,S77+CJ78-CK78))</f>
        <v/>
      </c>
      <c r="T78" s="13">
        <f>IF(T77&lt;=0,0,MAX(0,T77+CM78-CN78))</f>
        <v/>
      </c>
      <c r="U78" s="13">
        <f>IF(U77&lt;=0,0,MAX(0,U77+CP78-CQ78))</f>
        <v/>
      </c>
      <c r="V78" s="13">
        <f>IF(V77&lt;=0,0,MAX(0,V77+CS78-CT78))</f>
        <v/>
      </c>
      <c r="W78" s="13">
        <f>AO78+AR78+AU78+AX78+BA78+BD78+BG78+BJ78+BM78+BP78+BS78+BV78+BY78+CB78+CE78+CH78+CK78+CN78+CQ78+CT78</f>
        <v/>
      </c>
      <c r="X78" s="13">
        <f>AN78+AQ78+AT78+AW78+AZ78+BC78+BF78+BI78+BL78+BO78+BR78+BU78+BX78+CA78+CD78+CG78+CJ78+CM78+CP78+CS78</f>
        <v/>
      </c>
      <c r="Y78" s="27">
        <f>C78+D78+E78+F78+G78+H78+I78+J78+K78+L78+M78+N78+O78+P78+Q78+R78+S78+T78+U78+V78</f>
        <v/>
      </c>
      <c r="AN78">
        <f>IF(C77&lt;=0,0,C77*$E$5/12)</f>
        <v/>
      </c>
      <c r="AO78">
        <f>IF(C77&lt;=0,0,MIN(C77+AN78,$F$5+(Dashboard!$C$11+IF(C77&lt;=0,$F$5,0)+IF(D77&lt;=0,$F$6,0)+IF(E77&lt;=0,$F$7,0)+IF(F77&lt;=0,$F$8,0)+IF(G77&lt;=0,$F$9,0)+IF(H77&lt;=0,$F$10,0)+IF(I77&lt;=0,$F$11,0)+IF(J77&lt;=0,$F$12,0)+IF(K77&lt;=0,$F$13,0)+IF(L77&lt;=0,$F$14,0)+IF(M77&lt;=0,$F$15,0)+IF(N77&lt;=0,$F$16,0)+IF(O77&lt;=0,$F$17,0)+IF(P77&lt;=0,$F$18,0)+IF(Q77&lt;=0,$F$19,0)+IF(R77&lt;=0,$F$20,0)+IF(S77&lt;=0,$F$21,0)+IF(T77&lt;=0,$F$22,0)+IF(U77&lt;=0,$F$23,0)+IF(V77&lt;=0,$F$24,0))))</f>
        <v/>
      </c>
      <c r="AP78">
        <f>IF(C77&lt;=0,(Dashboard!$C$11+IF(C77&lt;=0,$F$5,0)+IF(D77&lt;=0,$F$6,0)+IF(E77&lt;=0,$F$7,0)+IF(F77&lt;=0,$F$8,0)+IF(G77&lt;=0,$F$9,0)+IF(H77&lt;=0,$F$10,0)+IF(I77&lt;=0,$F$11,0)+IF(J77&lt;=0,$F$12,0)+IF(K77&lt;=0,$F$13,0)+IF(L77&lt;=0,$F$14,0)+IF(M77&lt;=0,$F$15,0)+IF(N77&lt;=0,$F$16,0)+IF(O77&lt;=0,$F$17,0)+IF(P77&lt;=0,$F$18,0)+IF(Q77&lt;=0,$F$19,0)+IF(R77&lt;=0,$F$20,0)+IF(S77&lt;=0,$F$21,0)+IF(T77&lt;=0,$F$22,0)+IF(U77&lt;=0,$F$23,0)+IF(V77&lt;=0,$F$24,0)),MAX(0,$F$5+(Dashboard!$C$11+IF(C77&lt;=0,$F$5,0)+IF(D77&lt;=0,$F$6,0)+IF(E77&lt;=0,$F$7,0)+IF(F77&lt;=0,$F$8,0)+IF(G77&lt;=0,$F$9,0)+IF(H77&lt;=0,$F$10,0)+IF(I77&lt;=0,$F$11,0)+IF(J77&lt;=0,$F$12,0)+IF(K77&lt;=0,$F$13,0)+IF(L77&lt;=0,$F$14,0)+IF(M77&lt;=0,$F$15,0)+IF(N77&lt;=0,$F$16,0)+IF(O77&lt;=0,$F$17,0)+IF(P77&lt;=0,$F$18,0)+IF(Q77&lt;=0,$F$19,0)+IF(R77&lt;=0,$F$20,0)+IF(S77&lt;=0,$F$21,0)+IF(T77&lt;=0,$F$22,0)+IF(U77&lt;=0,$F$23,0)+IF(V77&lt;=0,$F$24,0))-C77-AN78))</f>
        <v/>
      </c>
      <c r="AQ78">
        <f>IF(D77&lt;=0,0,D77*$E$6/12)</f>
        <v/>
      </c>
      <c r="AR78">
        <f>IF(D77&lt;=0,0,MIN(D77+AQ78,$F$6+AP78))</f>
        <v/>
      </c>
      <c r="AS78">
        <f>IF(D77&lt;=0,AP78,MAX(0,$F$6+AP78-D77-AQ78))</f>
        <v/>
      </c>
      <c r="AT78">
        <f>IF(E77&lt;=0,0,E77*$E$7/12)</f>
        <v/>
      </c>
      <c r="AU78">
        <f>IF(E77&lt;=0,0,MIN(E77+AT78,$F$7+AS78))</f>
        <v/>
      </c>
      <c r="AV78">
        <f>IF(E77&lt;=0,AS78,MAX(0,$F$7+AS78-E77-AT78))</f>
        <v/>
      </c>
      <c r="AW78">
        <f>IF(F77&lt;=0,0,F77*$E$8/12)</f>
        <v/>
      </c>
      <c r="AX78">
        <f>IF(F77&lt;=0,0,MIN(F77+AW78,$F$8+AV78))</f>
        <v/>
      </c>
      <c r="AY78">
        <f>IF(F77&lt;=0,AV78,MAX(0,$F$8+AV78-F77-AW78))</f>
        <v/>
      </c>
      <c r="AZ78">
        <f>IF(G77&lt;=0,0,G77*$E$9/12)</f>
        <v/>
      </c>
      <c r="BA78">
        <f>IF(G77&lt;=0,0,MIN(G77+AZ78,$F$9+AY78))</f>
        <v/>
      </c>
      <c r="BB78">
        <f>IF(G77&lt;=0,AY78,MAX(0,$F$9+AY78-G77-AZ78))</f>
        <v/>
      </c>
      <c r="BC78">
        <f>IF(H77&lt;=0,0,H77*$E$10/12)</f>
        <v/>
      </c>
      <c r="BD78">
        <f>IF(H77&lt;=0,0,MIN(H77+BC78,$F$10+BB78))</f>
        <v/>
      </c>
      <c r="BE78">
        <f>IF(H77&lt;=0,BB78,MAX(0,$F$10+BB78-H77-BC78))</f>
        <v/>
      </c>
      <c r="BF78">
        <f>IF(I77&lt;=0,0,I77*$E$11/12)</f>
        <v/>
      </c>
      <c r="BG78">
        <f>IF(I77&lt;=0,0,MIN(I77+BF78,$F$11+BE78))</f>
        <v/>
      </c>
      <c r="BH78">
        <f>IF(I77&lt;=0,BE78,MAX(0,$F$11+BE78-I77-BF78))</f>
        <v/>
      </c>
      <c r="BI78">
        <f>IF(J77&lt;=0,0,J77*$E$12/12)</f>
        <v/>
      </c>
      <c r="BJ78">
        <f>IF(J77&lt;=0,0,MIN(J77+BI78,$F$12+BH78))</f>
        <v/>
      </c>
      <c r="BK78">
        <f>IF(J77&lt;=0,BH78,MAX(0,$F$12+BH78-J77-BI78))</f>
        <v/>
      </c>
      <c r="BL78">
        <f>IF(K77&lt;=0,0,K77*$E$13/12)</f>
        <v/>
      </c>
      <c r="BM78">
        <f>IF(K77&lt;=0,0,MIN(K77+BL78,$F$13+BK78))</f>
        <v/>
      </c>
      <c r="BN78">
        <f>IF(K77&lt;=0,BK78,MAX(0,$F$13+BK78-K77-BL78))</f>
        <v/>
      </c>
      <c r="BO78">
        <f>IF(L77&lt;=0,0,L77*$E$14/12)</f>
        <v/>
      </c>
      <c r="BP78">
        <f>IF(L77&lt;=0,0,MIN(L77+BO78,$F$14+BN78))</f>
        <v/>
      </c>
      <c r="BQ78">
        <f>IF(L77&lt;=0,BN78,MAX(0,$F$14+BN78-L77-BO78))</f>
        <v/>
      </c>
      <c r="BR78">
        <f>IF(M77&lt;=0,0,M77*$E$15/12)</f>
        <v/>
      </c>
      <c r="BS78">
        <f>IF(M77&lt;=0,0,MIN(M77+BR78,$F$15+BQ78))</f>
        <v/>
      </c>
      <c r="BT78">
        <f>IF(M77&lt;=0,BQ78,MAX(0,$F$15+BQ78-M77-BR78))</f>
        <v/>
      </c>
      <c r="BU78">
        <f>IF(N77&lt;=0,0,N77*$E$16/12)</f>
        <v/>
      </c>
      <c r="BV78">
        <f>IF(N77&lt;=0,0,MIN(N77+BU78,$F$16+BT78))</f>
        <v/>
      </c>
      <c r="BW78">
        <f>IF(N77&lt;=0,BT78,MAX(0,$F$16+BT78-N77-BU78))</f>
        <v/>
      </c>
      <c r="BX78">
        <f>IF(O77&lt;=0,0,O77*$E$17/12)</f>
        <v/>
      </c>
      <c r="BY78">
        <f>IF(O77&lt;=0,0,MIN(O77+BX78,$F$17+BW78))</f>
        <v/>
      </c>
      <c r="BZ78">
        <f>IF(O77&lt;=0,BW78,MAX(0,$F$17+BW78-O77-BX78))</f>
        <v/>
      </c>
      <c r="CA78">
        <f>IF(P77&lt;=0,0,P77*$E$18/12)</f>
        <v/>
      </c>
      <c r="CB78">
        <f>IF(P77&lt;=0,0,MIN(P77+CA78,$F$18+BZ78))</f>
        <v/>
      </c>
      <c r="CC78">
        <f>IF(P77&lt;=0,BZ78,MAX(0,$F$18+BZ78-P77-CA78))</f>
        <v/>
      </c>
      <c r="CD78">
        <f>IF(Q77&lt;=0,0,Q77*$E$19/12)</f>
        <v/>
      </c>
      <c r="CE78">
        <f>IF(Q77&lt;=0,0,MIN(Q77+CD78,$F$19+CC78))</f>
        <v/>
      </c>
      <c r="CF78">
        <f>IF(Q77&lt;=0,CC78,MAX(0,$F$19+CC78-Q77-CD78))</f>
        <v/>
      </c>
      <c r="CG78">
        <f>IF(R77&lt;=0,0,R77*$E$20/12)</f>
        <v/>
      </c>
      <c r="CH78">
        <f>IF(R77&lt;=0,0,MIN(R77+CG78,$F$20+CF78))</f>
        <v/>
      </c>
      <c r="CI78">
        <f>IF(R77&lt;=0,CF78,MAX(0,$F$20+CF78-R77-CG78))</f>
        <v/>
      </c>
      <c r="CJ78">
        <f>IF(S77&lt;=0,0,S77*$E$21/12)</f>
        <v/>
      </c>
      <c r="CK78">
        <f>IF(S77&lt;=0,0,MIN(S77+CJ78,$F$21+CI78))</f>
        <v/>
      </c>
      <c r="CL78">
        <f>IF(S77&lt;=0,CI78,MAX(0,$F$21+CI78-S77-CJ78))</f>
        <v/>
      </c>
      <c r="CM78">
        <f>IF(T77&lt;=0,0,T77*$E$22/12)</f>
        <v/>
      </c>
      <c r="CN78">
        <f>IF(T77&lt;=0,0,MIN(T77+CM78,$F$22+CL78))</f>
        <v/>
      </c>
      <c r="CO78">
        <f>IF(T77&lt;=0,CL78,MAX(0,$F$22+CL78-T77-CM78))</f>
        <v/>
      </c>
      <c r="CP78">
        <f>IF(U77&lt;=0,0,U77*$E$23/12)</f>
        <v/>
      </c>
      <c r="CQ78">
        <f>IF(U77&lt;=0,0,MIN(U77+CP78,$F$23+CO78))</f>
        <v/>
      </c>
      <c r="CR78">
        <f>IF(U77&lt;=0,CO78,MAX(0,$F$23+CO78-U77-CP78))</f>
        <v/>
      </c>
      <c r="CS78">
        <f>IF(V77&lt;=0,0,V77*$E$24/12)</f>
        <v/>
      </c>
      <c r="CT78">
        <f>IF(V77&lt;=0,0,MIN(V77+CS78,$F$24+CR78))</f>
        <v/>
      </c>
      <c r="CU78">
        <f>IF(V77&lt;=0,CR78,MAX(0,$F$24+CR78-V77-CS78))</f>
        <v/>
      </c>
    </row>
    <row r="79">
      <c r="B79" s="39" t="n">
        <v>53</v>
      </c>
      <c r="C79" s="13">
        <f>IF(C78&lt;=0,0,MAX(0,C78+AN79-AO79))</f>
        <v/>
      </c>
      <c r="D79" s="13">
        <f>IF(D78&lt;=0,0,MAX(0,D78+AQ79-AR79))</f>
        <v/>
      </c>
      <c r="E79" s="13">
        <f>IF(E78&lt;=0,0,MAX(0,E78+AT79-AU79))</f>
        <v/>
      </c>
      <c r="F79" s="13">
        <f>IF(F78&lt;=0,0,MAX(0,F78+AW79-AX79))</f>
        <v/>
      </c>
      <c r="G79" s="13">
        <f>IF(G78&lt;=0,0,MAX(0,G78+AZ79-BA79))</f>
        <v/>
      </c>
      <c r="H79" s="13">
        <f>IF(H78&lt;=0,0,MAX(0,H78+BC79-BD79))</f>
        <v/>
      </c>
      <c r="I79" s="13">
        <f>IF(I78&lt;=0,0,MAX(0,I78+BF79-BG79))</f>
        <v/>
      </c>
      <c r="J79" s="13">
        <f>IF(J78&lt;=0,0,MAX(0,J78+BI79-BJ79))</f>
        <v/>
      </c>
      <c r="K79" s="13">
        <f>IF(K78&lt;=0,0,MAX(0,K78+BL79-BM79))</f>
        <v/>
      </c>
      <c r="L79" s="13">
        <f>IF(L78&lt;=0,0,MAX(0,L78+BO79-BP79))</f>
        <v/>
      </c>
      <c r="M79" s="13">
        <f>IF(M78&lt;=0,0,MAX(0,M78+BR79-BS79))</f>
        <v/>
      </c>
      <c r="N79" s="13">
        <f>IF(N78&lt;=0,0,MAX(0,N78+BU79-BV79))</f>
        <v/>
      </c>
      <c r="O79" s="13">
        <f>IF(O78&lt;=0,0,MAX(0,O78+BX79-BY79))</f>
        <v/>
      </c>
      <c r="P79" s="13">
        <f>IF(P78&lt;=0,0,MAX(0,P78+CA79-CB79))</f>
        <v/>
      </c>
      <c r="Q79" s="13">
        <f>IF(Q78&lt;=0,0,MAX(0,Q78+CD79-CE79))</f>
        <v/>
      </c>
      <c r="R79" s="13">
        <f>IF(R78&lt;=0,0,MAX(0,R78+CG79-CH79))</f>
        <v/>
      </c>
      <c r="S79" s="13">
        <f>IF(S78&lt;=0,0,MAX(0,S78+CJ79-CK79))</f>
        <v/>
      </c>
      <c r="T79" s="13">
        <f>IF(T78&lt;=0,0,MAX(0,T78+CM79-CN79))</f>
        <v/>
      </c>
      <c r="U79" s="13">
        <f>IF(U78&lt;=0,0,MAX(0,U78+CP79-CQ79))</f>
        <v/>
      </c>
      <c r="V79" s="13">
        <f>IF(V78&lt;=0,0,MAX(0,V78+CS79-CT79))</f>
        <v/>
      </c>
      <c r="W79" s="13">
        <f>AO79+AR79+AU79+AX79+BA79+BD79+BG79+BJ79+BM79+BP79+BS79+BV79+BY79+CB79+CE79+CH79+CK79+CN79+CQ79+CT79</f>
        <v/>
      </c>
      <c r="X79" s="13">
        <f>AN79+AQ79+AT79+AW79+AZ79+BC79+BF79+BI79+BL79+BO79+BR79+BU79+BX79+CA79+CD79+CG79+CJ79+CM79+CP79+CS79</f>
        <v/>
      </c>
      <c r="Y79" s="27">
        <f>C79+D79+E79+F79+G79+H79+I79+J79+K79+L79+M79+N79+O79+P79+Q79+R79+S79+T79+U79+V79</f>
        <v/>
      </c>
      <c r="AN79">
        <f>IF(C78&lt;=0,0,C78*$E$5/12)</f>
        <v/>
      </c>
      <c r="AO79">
        <f>IF(C78&lt;=0,0,MIN(C78+AN79,$F$5+(Dashboard!$C$11+IF(C78&lt;=0,$F$5,0)+IF(D78&lt;=0,$F$6,0)+IF(E78&lt;=0,$F$7,0)+IF(F78&lt;=0,$F$8,0)+IF(G78&lt;=0,$F$9,0)+IF(H78&lt;=0,$F$10,0)+IF(I78&lt;=0,$F$11,0)+IF(J78&lt;=0,$F$12,0)+IF(K78&lt;=0,$F$13,0)+IF(L78&lt;=0,$F$14,0)+IF(M78&lt;=0,$F$15,0)+IF(N78&lt;=0,$F$16,0)+IF(O78&lt;=0,$F$17,0)+IF(P78&lt;=0,$F$18,0)+IF(Q78&lt;=0,$F$19,0)+IF(R78&lt;=0,$F$20,0)+IF(S78&lt;=0,$F$21,0)+IF(T78&lt;=0,$F$22,0)+IF(U78&lt;=0,$F$23,0)+IF(V78&lt;=0,$F$24,0))))</f>
        <v/>
      </c>
      <c r="AP79">
        <f>IF(C78&lt;=0,(Dashboard!$C$11+IF(C78&lt;=0,$F$5,0)+IF(D78&lt;=0,$F$6,0)+IF(E78&lt;=0,$F$7,0)+IF(F78&lt;=0,$F$8,0)+IF(G78&lt;=0,$F$9,0)+IF(H78&lt;=0,$F$10,0)+IF(I78&lt;=0,$F$11,0)+IF(J78&lt;=0,$F$12,0)+IF(K78&lt;=0,$F$13,0)+IF(L78&lt;=0,$F$14,0)+IF(M78&lt;=0,$F$15,0)+IF(N78&lt;=0,$F$16,0)+IF(O78&lt;=0,$F$17,0)+IF(P78&lt;=0,$F$18,0)+IF(Q78&lt;=0,$F$19,0)+IF(R78&lt;=0,$F$20,0)+IF(S78&lt;=0,$F$21,0)+IF(T78&lt;=0,$F$22,0)+IF(U78&lt;=0,$F$23,0)+IF(V78&lt;=0,$F$24,0)),MAX(0,$F$5+(Dashboard!$C$11+IF(C78&lt;=0,$F$5,0)+IF(D78&lt;=0,$F$6,0)+IF(E78&lt;=0,$F$7,0)+IF(F78&lt;=0,$F$8,0)+IF(G78&lt;=0,$F$9,0)+IF(H78&lt;=0,$F$10,0)+IF(I78&lt;=0,$F$11,0)+IF(J78&lt;=0,$F$12,0)+IF(K78&lt;=0,$F$13,0)+IF(L78&lt;=0,$F$14,0)+IF(M78&lt;=0,$F$15,0)+IF(N78&lt;=0,$F$16,0)+IF(O78&lt;=0,$F$17,0)+IF(P78&lt;=0,$F$18,0)+IF(Q78&lt;=0,$F$19,0)+IF(R78&lt;=0,$F$20,0)+IF(S78&lt;=0,$F$21,0)+IF(T78&lt;=0,$F$22,0)+IF(U78&lt;=0,$F$23,0)+IF(V78&lt;=0,$F$24,0))-C78-AN79))</f>
        <v/>
      </c>
      <c r="AQ79">
        <f>IF(D78&lt;=0,0,D78*$E$6/12)</f>
        <v/>
      </c>
      <c r="AR79">
        <f>IF(D78&lt;=0,0,MIN(D78+AQ79,$F$6+AP79))</f>
        <v/>
      </c>
      <c r="AS79">
        <f>IF(D78&lt;=0,AP79,MAX(0,$F$6+AP79-D78-AQ79))</f>
        <v/>
      </c>
      <c r="AT79">
        <f>IF(E78&lt;=0,0,E78*$E$7/12)</f>
        <v/>
      </c>
      <c r="AU79">
        <f>IF(E78&lt;=0,0,MIN(E78+AT79,$F$7+AS79))</f>
        <v/>
      </c>
      <c r="AV79">
        <f>IF(E78&lt;=0,AS79,MAX(0,$F$7+AS79-E78-AT79))</f>
        <v/>
      </c>
      <c r="AW79">
        <f>IF(F78&lt;=0,0,F78*$E$8/12)</f>
        <v/>
      </c>
      <c r="AX79">
        <f>IF(F78&lt;=0,0,MIN(F78+AW79,$F$8+AV79))</f>
        <v/>
      </c>
      <c r="AY79">
        <f>IF(F78&lt;=0,AV79,MAX(0,$F$8+AV79-F78-AW79))</f>
        <v/>
      </c>
      <c r="AZ79">
        <f>IF(G78&lt;=0,0,G78*$E$9/12)</f>
        <v/>
      </c>
      <c r="BA79">
        <f>IF(G78&lt;=0,0,MIN(G78+AZ79,$F$9+AY79))</f>
        <v/>
      </c>
      <c r="BB79">
        <f>IF(G78&lt;=0,AY79,MAX(0,$F$9+AY79-G78-AZ79))</f>
        <v/>
      </c>
      <c r="BC79">
        <f>IF(H78&lt;=0,0,H78*$E$10/12)</f>
        <v/>
      </c>
      <c r="BD79">
        <f>IF(H78&lt;=0,0,MIN(H78+BC79,$F$10+BB79))</f>
        <v/>
      </c>
      <c r="BE79">
        <f>IF(H78&lt;=0,BB79,MAX(0,$F$10+BB79-H78-BC79))</f>
        <v/>
      </c>
      <c r="BF79">
        <f>IF(I78&lt;=0,0,I78*$E$11/12)</f>
        <v/>
      </c>
      <c r="BG79">
        <f>IF(I78&lt;=0,0,MIN(I78+BF79,$F$11+BE79))</f>
        <v/>
      </c>
      <c r="BH79">
        <f>IF(I78&lt;=0,BE79,MAX(0,$F$11+BE79-I78-BF79))</f>
        <v/>
      </c>
      <c r="BI79">
        <f>IF(J78&lt;=0,0,J78*$E$12/12)</f>
        <v/>
      </c>
      <c r="BJ79">
        <f>IF(J78&lt;=0,0,MIN(J78+BI79,$F$12+BH79))</f>
        <v/>
      </c>
      <c r="BK79">
        <f>IF(J78&lt;=0,BH79,MAX(0,$F$12+BH79-J78-BI79))</f>
        <v/>
      </c>
      <c r="BL79">
        <f>IF(K78&lt;=0,0,K78*$E$13/12)</f>
        <v/>
      </c>
      <c r="BM79">
        <f>IF(K78&lt;=0,0,MIN(K78+BL79,$F$13+BK79))</f>
        <v/>
      </c>
      <c r="BN79">
        <f>IF(K78&lt;=0,BK79,MAX(0,$F$13+BK79-K78-BL79))</f>
        <v/>
      </c>
      <c r="BO79">
        <f>IF(L78&lt;=0,0,L78*$E$14/12)</f>
        <v/>
      </c>
      <c r="BP79">
        <f>IF(L78&lt;=0,0,MIN(L78+BO79,$F$14+BN79))</f>
        <v/>
      </c>
      <c r="BQ79">
        <f>IF(L78&lt;=0,BN79,MAX(0,$F$14+BN79-L78-BO79))</f>
        <v/>
      </c>
      <c r="BR79">
        <f>IF(M78&lt;=0,0,M78*$E$15/12)</f>
        <v/>
      </c>
      <c r="BS79">
        <f>IF(M78&lt;=0,0,MIN(M78+BR79,$F$15+BQ79))</f>
        <v/>
      </c>
      <c r="BT79">
        <f>IF(M78&lt;=0,BQ79,MAX(0,$F$15+BQ79-M78-BR79))</f>
        <v/>
      </c>
      <c r="BU79">
        <f>IF(N78&lt;=0,0,N78*$E$16/12)</f>
        <v/>
      </c>
      <c r="BV79">
        <f>IF(N78&lt;=0,0,MIN(N78+BU79,$F$16+BT79))</f>
        <v/>
      </c>
      <c r="BW79">
        <f>IF(N78&lt;=0,BT79,MAX(0,$F$16+BT79-N78-BU79))</f>
        <v/>
      </c>
      <c r="BX79">
        <f>IF(O78&lt;=0,0,O78*$E$17/12)</f>
        <v/>
      </c>
      <c r="BY79">
        <f>IF(O78&lt;=0,0,MIN(O78+BX79,$F$17+BW79))</f>
        <v/>
      </c>
      <c r="BZ79">
        <f>IF(O78&lt;=0,BW79,MAX(0,$F$17+BW79-O78-BX79))</f>
        <v/>
      </c>
      <c r="CA79">
        <f>IF(P78&lt;=0,0,P78*$E$18/12)</f>
        <v/>
      </c>
      <c r="CB79">
        <f>IF(P78&lt;=0,0,MIN(P78+CA79,$F$18+BZ79))</f>
        <v/>
      </c>
      <c r="CC79">
        <f>IF(P78&lt;=0,BZ79,MAX(0,$F$18+BZ79-P78-CA79))</f>
        <v/>
      </c>
      <c r="CD79">
        <f>IF(Q78&lt;=0,0,Q78*$E$19/12)</f>
        <v/>
      </c>
      <c r="CE79">
        <f>IF(Q78&lt;=0,0,MIN(Q78+CD79,$F$19+CC79))</f>
        <v/>
      </c>
      <c r="CF79">
        <f>IF(Q78&lt;=0,CC79,MAX(0,$F$19+CC79-Q78-CD79))</f>
        <v/>
      </c>
      <c r="CG79">
        <f>IF(R78&lt;=0,0,R78*$E$20/12)</f>
        <v/>
      </c>
      <c r="CH79">
        <f>IF(R78&lt;=0,0,MIN(R78+CG79,$F$20+CF79))</f>
        <v/>
      </c>
      <c r="CI79">
        <f>IF(R78&lt;=0,CF79,MAX(0,$F$20+CF79-R78-CG79))</f>
        <v/>
      </c>
      <c r="CJ79">
        <f>IF(S78&lt;=0,0,S78*$E$21/12)</f>
        <v/>
      </c>
      <c r="CK79">
        <f>IF(S78&lt;=0,0,MIN(S78+CJ79,$F$21+CI79))</f>
        <v/>
      </c>
      <c r="CL79">
        <f>IF(S78&lt;=0,CI79,MAX(0,$F$21+CI79-S78-CJ79))</f>
        <v/>
      </c>
      <c r="CM79">
        <f>IF(T78&lt;=0,0,T78*$E$22/12)</f>
        <v/>
      </c>
      <c r="CN79">
        <f>IF(T78&lt;=0,0,MIN(T78+CM79,$F$22+CL79))</f>
        <v/>
      </c>
      <c r="CO79">
        <f>IF(T78&lt;=0,CL79,MAX(0,$F$22+CL79-T78-CM79))</f>
        <v/>
      </c>
      <c r="CP79">
        <f>IF(U78&lt;=0,0,U78*$E$23/12)</f>
        <v/>
      </c>
      <c r="CQ79">
        <f>IF(U78&lt;=0,0,MIN(U78+CP79,$F$23+CO79))</f>
        <v/>
      </c>
      <c r="CR79">
        <f>IF(U78&lt;=0,CO79,MAX(0,$F$23+CO79-U78-CP79))</f>
        <v/>
      </c>
      <c r="CS79">
        <f>IF(V78&lt;=0,0,V78*$E$24/12)</f>
        <v/>
      </c>
      <c r="CT79">
        <f>IF(V78&lt;=0,0,MIN(V78+CS79,$F$24+CR79))</f>
        <v/>
      </c>
      <c r="CU79">
        <f>IF(V78&lt;=0,CR79,MAX(0,$F$24+CR79-V78-CS79))</f>
        <v/>
      </c>
    </row>
    <row r="80">
      <c r="B80" s="39" t="n">
        <v>54</v>
      </c>
      <c r="C80" s="13">
        <f>IF(C79&lt;=0,0,MAX(0,C79+AN80-AO80))</f>
        <v/>
      </c>
      <c r="D80" s="13">
        <f>IF(D79&lt;=0,0,MAX(0,D79+AQ80-AR80))</f>
        <v/>
      </c>
      <c r="E80" s="13">
        <f>IF(E79&lt;=0,0,MAX(0,E79+AT80-AU80))</f>
        <v/>
      </c>
      <c r="F80" s="13">
        <f>IF(F79&lt;=0,0,MAX(0,F79+AW80-AX80))</f>
        <v/>
      </c>
      <c r="G80" s="13">
        <f>IF(G79&lt;=0,0,MAX(0,G79+AZ80-BA80))</f>
        <v/>
      </c>
      <c r="H80" s="13">
        <f>IF(H79&lt;=0,0,MAX(0,H79+BC80-BD80))</f>
        <v/>
      </c>
      <c r="I80" s="13">
        <f>IF(I79&lt;=0,0,MAX(0,I79+BF80-BG80))</f>
        <v/>
      </c>
      <c r="J80" s="13">
        <f>IF(J79&lt;=0,0,MAX(0,J79+BI80-BJ80))</f>
        <v/>
      </c>
      <c r="K80" s="13">
        <f>IF(K79&lt;=0,0,MAX(0,K79+BL80-BM80))</f>
        <v/>
      </c>
      <c r="L80" s="13">
        <f>IF(L79&lt;=0,0,MAX(0,L79+BO80-BP80))</f>
        <v/>
      </c>
      <c r="M80" s="13">
        <f>IF(M79&lt;=0,0,MAX(0,M79+BR80-BS80))</f>
        <v/>
      </c>
      <c r="N80" s="13">
        <f>IF(N79&lt;=0,0,MAX(0,N79+BU80-BV80))</f>
        <v/>
      </c>
      <c r="O80" s="13">
        <f>IF(O79&lt;=0,0,MAX(0,O79+BX80-BY80))</f>
        <v/>
      </c>
      <c r="P80" s="13">
        <f>IF(P79&lt;=0,0,MAX(0,P79+CA80-CB80))</f>
        <v/>
      </c>
      <c r="Q80" s="13">
        <f>IF(Q79&lt;=0,0,MAX(0,Q79+CD80-CE80))</f>
        <v/>
      </c>
      <c r="R80" s="13">
        <f>IF(R79&lt;=0,0,MAX(0,R79+CG80-CH80))</f>
        <v/>
      </c>
      <c r="S80" s="13">
        <f>IF(S79&lt;=0,0,MAX(0,S79+CJ80-CK80))</f>
        <v/>
      </c>
      <c r="T80" s="13">
        <f>IF(T79&lt;=0,0,MAX(0,T79+CM80-CN80))</f>
        <v/>
      </c>
      <c r="U80" s="13">
        <f>IF(U79&lt;=0,0,MAX(0,U79+CP80-CQ80))</f>
        <v/>
      </c>
      <c r="V80" s="13">
        <f>IF(V79&lt;=0,0,MAX(0,V79+CS80-CT80))</f>
        <v/>
      </c>
      <c r="W80" s="13">
        <f>AO80+AR80+AU80+AX80+BA80+BD80+BG80+BJ80+BM80+BP80+BS80+BV80+BY80+CB80+CE80+CH80+CK80+CN80+CQ80+CT80</f>
        <v/>
      </c>
      <c r="X80" s="13">
        <f>AN80+AQ80+AT80+AW80+AZ80+BC80+BF80+BI80+BL80+BO80+BR80+BU80+BX80+CA80+CD80+CG80+CJ80+CM80+CP80+CS80</f>
        <v/>
      </c>
      <c r="Y80" s="27">
        <f>C80+D80+E80+F80+G80+H80+I80+J80+K80+L80+M80+N80+O80+P80+Q80+R80+S80+T80+U80+V80</f>
        <v/>
      </c>
      <c r="AN80">
        <f>IF(C79&lt;=0,0,C79*$E$5/12)</f>
        <v/>
      </c>
      <c r="AO80">
        <f>IF(C79&lt;=0,0,MIN(C79+AN80,$F$5+(Dashboard!$C$11+IF(C79&lt;=0,$F$5,0)+IF(D79&lt;=0,$F$6,0)+IF(E79&lt;=0,$F$7,0)+IF(F79&lt;=0,$F$8,0)+IF(G79&lt;=0,$F$9,0)+IF(H79&lt;=0,$F$10,0)+IF(I79&lt;=0,$F$11,0)+IF(J79&lt;=0,$F$12,0)+IF(K79&lt;=0,$F$13,0)+IF(L79&lt;=0,$F$14,0)+IF(M79&lt;=0,$F$15,0)+IF(N79&lt;=0,$F$16,0)+IF(O79&lt;=0,$F$17,0)+IF(P79&lt;=0,$F$18,0)+IF(Q79&lt;=0,$F$19,0)+IF(R79&lt;=0,$F$20,0)+IF(S79&lt;=0,$F$21,0)+IF(T79&lt;=0,$F$22,0)+IF(U79&lt;=0,$F$23,0)+IF(V79&lt;=0,$F$24,0))))</f>
        <v/>
      </c>
      <c r="AP80">
        <f>IF(C79&lt;=0,(Dashboard!$C$11+IF(C79&lt;=0,$F$5,0)+IF(D79&lt;=0,$F$6,0)+IF(E79&lt;=0,$F$7,0)+IF(F79&lt;=0,$F$8,0)+IF(G79&lt;=0,$F$9,0)+IF(H79&lt;=0,$F$10,0)+IF(I79&lt;=0,$F$11,0)+IF(J79&lt;=0,$F$12,0)+IF(K79&lt;=0,$F$13,0)+IF(L79&lt;=0,$F$14,0)+IF(M79&lt;=0,$F$15,0)+IF(N79&lt;=0,$F$16,0)+IF(O79&lt;=0,$F$17,0)+IF(P79&lt;=0,$F$18,0)+IF(Q79&lt;=0,$F$19,0)+IF(R79&lt;=0,$F$20,0)+IF(S79&lt;=0,$F$21,0)+IF(T79&lt;=0,$F$22,0)+IF(U79&lt;=0,$F$23,0)+IF(V79&lt;=0,$F$24,0)),MAX(0,$F$5+(Dashboard!$C$11+IF(C79&lt;=0,$F$5,0)+IF(D79&lt;=0,$F$6,0)+IF(E79&lt;=0,$F$7,0)+IF(F79&lt;=0,$F$8,0)+IF(G79&lt;=0,$F$9,0)+IF(H79&lt;=0,$F$10,0)+IF(I79&lt;=0,$F$11,0)+IF(J79&lt;=0,$F$12,0)+IF(K79&lt;=0,$F$13,0)+IF(L79&lt;=0,$F$14,0)+IF(M79&lt;=0,$F$15,0)+IF(N79&lt;=0,$F$16,0)+IF(O79&lt;=0,$F$17,0)+IF(P79&lt;=0,$F$18,0)+IF(Q79&lt;=0,$F$19,0)+IF(R79&lt;=0,$F$20,0)+IF(S79&lt;=0,$F$21,0)+IF(T79&lt;=0,$F$22,0)+IF(U79&lt;=0,$F$23,0)+IF(V79&lt;=0,$F$24,0))-C79-AN80))</f>
        <v/>
      </c>
      <c r="AQ80">
        <f>IF(D79&lt;=0,0,D79*$E$6/12)</f>
        <v/>
      </c>
      <c r="AR80">
        <f>IF(D79&lt;=0,0,MIN(D79+AQ80,$F$6+AP80))</f>
        <v/>
      </c>
      <c r="AS80">
        <f>IF(D79&lt;=0,AP80,MAX(0,$F$6+AP80-D79-AQ80))</f>
        <v/>
      </c>
      <c r="AT80">
        <f>IF(E79&lt;=0,0,E79*$E$7/12)</f>
        <v/>
      </c>
      <c r="AU80">
        <f>IF(E79&lt;=0,0,MIN(E79+AT80,$F$7+AS80))</f>
        <v/>
      </c>
      <c r="AV80">
        <f>IF(E79&lt;=0,AS80,MAX(0,$F$7+AS80-E79-AT80))</f>
        <v/>
      </c>
      <c r="AW80">
        <f>IF(F79&lt;=0,0,F79*$E$8/12)</f>
        <v/>
      </c>
      <c r="AX80">
        <f>IF(F79&lt;=0,0,MIN(F79+AW80,$F$8+AV80))</f>
        <v/>
      </c>
      <c r="AY80">
        <f>IF(F79&lt;=0,AV80,MAX(0,$F$8+AV80-F79-AW80))</f>
        <v/>
      </c>
      <c r="AZ80">
        <f>IF(G79&lt;=0,0,G79*$E$9/12)</f>
        <v/>
      </c>
      <c r="BA80">
        <f>IF(G79&lt;=0,0,MIN(G79+AZ80,$F$9+AY80))</f>
        <v/>
      </c>
      <c r="BB80">
        <f>IF(G79&lt;=0,AY80,MAX(0,$F$9+AY80-G79-AZ80))</f>
        <v/>
      </c>
      <c r="BC80">
        <f>IF(H79&lt;=0,0,H79*$E$10/12)</f>
        <v/>
      </c>
      <c r="BD80">
        <f>IF(H79&lt;=0,0,MIN(H79+BC80,$F$10+BB80))</f>
        <v/>
      </c>
      <c r="BE80">
        <f>IF(H79&lt;=0,BB80,MAX(0,$F$10+BB80-H79-BC80))</f>
        <v/>
      </c>
      <c r="BF80">
        <f>IF(I79&lt;=0,0,I79*$E$11/12)</f>
        <v/>
      </c>
      <c r="BG80">
        <f>IF(I79&lt;=0,0,MIN(I79+BF80,$F$11+BE80))</f>
        <v/>
      </c>
      <c r="BH80">
        <f>IF(I79&lt;=0,BE80,MAX(0,$F$11+BE80-I79-BF80))</f>
        <v/>
      </c>
      <c r="BI80">
        <f>IF(J79&lt;=0,0,J79*$E$12/12)</f>
        <v/>
      </c>
      <c r="BJ80">
        <f>IF(J79&lt;=0,0,MIN(J79+BI80,$F$12+BH80))</f>
        <v/>
      </c>
      <c r="BK80">
        <f>IF(J79&lt;=0,BH80,MAX(0,$F$12+BH80-J79-BI80))</f>
        <v/>
      </c>
      <c r="BL80">
        <f>IF(K79&lt;=0,0,K79*$E$13/12)</f>
        <v/>
      </c>
      <c r="BM80">
        <f>IF(K79&lt;=0,0,MIN(K79+BL80,$F$13+BK80))</f>
        <v/>
      </c>
      <c r="BN80">
        <f>IF(K79&lt;=0,BK80,MAX(0,$F$13+BK80-K79-BL80))</f>
        <v/>
      </c>
      <c r="BO80">
        <f>IF(L79&lt;=0,0,L79*$E$14/12)</f>
        <v/>
      </c>
      <c r="BP80">
        <f>IF(L79&lt;=0,0,MIN(L79+BO80,$F$14+BN80))</f>
        <v/>
      </c>
      <c r="BQ80">
        <f>IF(L79&lt;=0,BN80,MAX(0,$F$14+BN80-L79-BO80))</f>
        <v/>
      </c>
      <c r="BR80">
        <f>IF(M79&lt;=0,0,M79*$E$15/12)</f>
        <v/>
      </c>
      <c r="BS80">
        <f>IF(M79&lt;=0,0,MIN(M79+BR80,$F$15+BQ80))</f>
        <v/>
      </c>
      <c r="BT80">
        <f>IF(M79&lt;=0,BQ80,MAX(0,$F$15+BQ80-M79-BR80))</f>
        <v/>
      </c>
      <c r="BU80">
        <f>IF(N79&lt;=0,0,N79*$E$16/12)</f>
        <v/>
      </c>
      <c r="BV80">
        <f>IF(N79&lt;=0,0,MIN(N79+BU80,$F$16+BT80))</f>
        <v/>
      </c>
      <c r="BW80">
        <f>IF(N79&lt;=0,BT80,MAX(0,$F$16+BT80-N79-BU80))</f>
        <v/>
      </c>
      <c r="BX80">
        <f>IF(O79&lt;=0,0,O79*$E$17/12)</f>
        <v/>
      </c>
      <c r="BY80">
        <f>IF(O79&lt;=0,0,MIN(O79+BX80,$F$17+BW80))</f>
        <v/>
      </c>
      <c r="BZ80">
        <f>IF(O79&lt;=0,BW80,MAX(0,$F$17+BW80-O79-BX80))</f>
        <v/>
      </c>
      <c r="CA80">
        <f>IF(P79&lt;=0,0,P79*$E$18/12)</f>
        <v/>
      </c>
      <c r="CB80">
        <f>IF(P79&lt;=0,0,MIN(P79+CA80,$F$18+BZ80))</f>
        <v/>
      </c>
      <c r="CC80">
        <f>IF(P79&lt;=0,BZ80,MAX(0,$F$18+BZ80-P79-CA80))</f>
        <v/>
      </c>
      <c r="CD80">
        <f>IF(Q79&lt;=0,0,Q79*$E$19/12)</f>
        <v/>
      </c>
      <c r="CE80">
        <f>IF(Q79&lt;=0,0,MIN(Q79+CD80,$F$19+CC80))</f>
        <v/>
      </c>
      <c r="CF80">
        <f>IF(Q79&lt;=0,CC80,MAX(0,$F$19+CC80-Q79-CD80))</f>
        <v/>
      </c>
      <c r="CG80">
        <f>IF(R79&lt;=0,0,R79*$E$20/12)</f>
        <v/>
      </c>
      <c r="CH80">
        <f>IF(R79&lt;=0,0,MIN(R79+CG80,$F$20+CF80))</f>
        <v/>
      </c>
      <c r="CI80">
        <f>IF(R79&lt;=0,CF80,MAX(0,$F$20+CF80-R79-CG80))</f>
        <v/>
      </c>
      <c r="CJ80">
        <f>IF(S79&lt;=0,0,S79*$E$21/12)</f>
        <v/>
      </c>
      <c r="CK80">
        <f>IF(S79&lt;=0,0,MIN(S79+CJ80,$F$21+CI80))</f>
        <v/>
      </c>
      <c r="CL80">
        <f>IF(S79&lt;=0,CI80,MAX(0,$F$21+CI80-S79-CJ80))</f>
        <v/>
      </c>
      <c r="CM80">
        <f>IF(T79&lt;=0,0,T79*$E$22/12)</f>
        <v/>
      </c>
      <c r="CN80">
        <f>IF(T79&lt;=0,0,MIN(T79+CM80,$F$22+CL80))</f>
        <v/>
      </c>
      <c r="CO80">
        <f>IF(T79&lt;=0,CL80,MAX(0,$F$22+CL80-T79-CM80))</f>
        <v/>
      </c>
      <c r="CP80">
        <f>IF(U79&lt;=0,0,U79*$E$23/12)</f>
        <v/>
      </c>
      <c r="CQ80">
        <f>IF(U79&lt;=0,0,MIN(U79+CP80,$F$23+CO80))</f>
        <v/>
      </c>
      <c r="CR80">
        <f>IF(U79&lt;=0,CO80,MAX(0,$F$23+CO80-U79-CP80))</f>
        <v/>
      </c>
      <c r="CS80">
        <f>IF(V79&lt;=0,0,V79*$E$24/12)</f>
        <v/>
      </c>
      <c r="CT80">
        <f>IF(V79&lt;=0,0,MIN(V79+CS80,$F$24+CR80))</f>
        <v/>
      </c>
      <c r="CU80">
        <f>IF(V79&lt;=0,CR80,MAX(0,$F$24+CR80-V79-CS80))</f>
        <v/>
      </c>
    </row>
    <row r="81">
      <c r="B81" s="39" t="n">
        <v>55</v>
      </c>
      <c r="C81" s="13">
        <f>IF(C80&lt;=0,0,MAX(0,C80+AN81-AO81))</f>
        <v/>
      </c>
      <c r="D81" s="13">
        <f>IF(D80&lt;=0,0,MAX(0,D80+AQ81-AR81))</f>
        <v/>
      </c>
      <c r="E81" s="13">
        <f>IF(E80&lt;=0,0,MAX(0,E80+AT81-AU81))</f>
        <v/>
      </c>
      <c r="F81" s="13">
        <f>IF(F80&lt;=0,0,MAX(0,F80+AW81-AX81))</f>
        <v/>
      </c>
      <c r="G81" s="13">
        <f>IF(G80&lt;=0,0,MAX(0,G80+AZ81-BA81))</f>
        <v/>
      </c>
      <c r="H81" s="13">
        <f>IF(H80&lt;=0,0,MAX(0,H80+BC81-BD81))</f>
        <v/>
      </c>
      <c r="I81" s="13">
        <f>IF(I80&lt;=0,0,MAX(0,I80+BF81-BG81))</f>
        <v/>
      </c>
      <c r="J81" s="13">
        <f>IF(J80&lt;=0,0,MAX(0,J80+BI81-BJ81))</f>
        <v/>
      </c>
      <c r="K81" s="13">
        <f>IF(K80&lt;=0,0,MAX(0,K80+BL81-BM81))</f>
        <v/>
      </c>
      <c r="L81" s="13">
        <f>IF(L80&lt;=0,0,MAX(0,L80+BO81-BP81))</f>
        <v/>
      </c>
      <c r="M81" s="13">
        <f>IF(M80&lt;=0,0,MAX(0,M80+BR81-BS81))</f>
        <v/>
      </c>
      <c r="N81" s="13">
        <f>IF(N80&lt;=0,0,MAX(0,N80+BU81-BV81))</f>
        <v/>
      </c>
      <c r="O81" s="13">
        <f>IF(O80&lt;=0,0,MAX(0,O80+BX81-BY81))</f>
        <v/>
      </c>
      <c r="P81" s="13">
        <f>IF(P80&lt;=0,0,MAX(0,P80+CA81-CB81))</f>
        <v/>
      </c>
      <c r="Q81" s="13">
        <f>IF(Q80&lt;=0,0,MAX(0,Q80+CD81-CE81))</f>
        <v/>
      </c>
      <c r="R81" s="13">
        <f>IF(R80&lt;=0,0,MAX(0,R80+CG81-CH81))</f>
        <v/>
      </c>
      <c r="S81" s="13">
        <f>IF(S80&lt;=0,0,MAX(0,S80+CJ81-CK81))</f>
        <v/>
      </c>
      <c r="T81" s="13">
        <f>IF(T80&lt;=0,0,MAX(0,T80+CM81-CN81))</f>
        <v/>
      </c>
      <c r="U81" s="13">
        <f>IF(U80&lt;=0,0,MAX(0,U80+CP81-CQ81))</f>
        <v/>
      </c>
      <c r="V81" s="13">
        <f>IF(V80&lt;=0,0,MAX(0,V80+CS81-CT81))</f>
        <v/>
      </c>
      <c r="W81" s="13">
        <f>AO81+AR81+AU81+AX81+BA81+BD81+BG81+BJ81+BM81+BP81+BS81+BV81+BY81+CB81+CE81+CH81+CK81+CN81+CQ81+CT81</f>
        <v/>
      </c>
      <c r="X81" s="13">
        <f>AN81+AQ81+AT81+AW81+AZ81+BC81+BF81+BI81+BL81+BO81+BR81+BU81+BX81+CA81+CD81+CG81+CJ81+CM81+CP81+CS81</f>
        <v/>
      </c>
      <c r="Y81" s="27">
        <f>C81+D81+E81+F81+G81+H81+I81+J81+K81+L81+M81+N81+O81+P81+Q81+R81+S81+T81+U81+V81</f>
        <v/>
      </c>
      <c r="AN81">
        <f>IF(C80&lt;=0,0,C80*$E$5/12)</f>
        <v/>
      </c>
      <c r="AO81">
        <f>IF(C80&lt;=0,0,MIN(C80+AN81,$F$5+(Dashboard!$C$11+IF(C80&lt;=0,$F$5,0)+IF(D80&lt;=0,$F$6,0)+IF(E80&lt;=0,$F$7,0)+IF(F80&lt;=0,$F$8,0)+IF(G80&lt;=0,$F$9,0)+IF(H80&lt;=0,$F$10,0)+IF(I80&lt;=0,$F$11,0)+IF(J80&lt;=0,$F$12,0)+IF(K80&lt;=0,$F$13,0)+IF(L80&lt;=0,$F$14,0)+IF(M80&lt;=0,$F$15,0)+IF(N80&lt;=0,$F$16,0)+IF(O80&lt;=0,$F$17,0)+IF(P80&lt;=0,$F$18,0)+IF(Q80&lt;=0,$F$19,0)+IF(R80&lt;=0,$F$20,0)+IF(S80&lt;=0,$F$21,0)+IF(T80&lt;=0,$F$22,0)+IF(U80&lt;=0,$F$23,0)+IF(V80&lt;=0,$F$24,0))))</f>
        <v/>
      </c>
      <c r="AP81">
        <f>IF(C80&lt;=0,(Dashboard!$C$11+IF(C80&lt;=0,$F$5,0)+IF(D80&lt;=0,$F$6,0)+IF(E80&lt;=0,$F$7,0)+IF(F80&lt;=0,$F$8,0)+IF(G80&lt;=0,$F$9,0)+IF(H80&lt;=0,$F$10,0)+IF(I80&lt;=0,$F$11,0)+IF(J80&lt;=0,$F$12,0)+IF(K80&lt;=0,$F$13,0)+IF(L80&lt;=0,$F$14,0)+IF(M80&lt;=0,$F$15,0)+IF(N80&lt;=0,$F$16,0)+IF(O80&lt;=0,$F$17,0)+IF(P80&lt;=0,$F$18,0)+IF(Q80&lt;=0,$F$19,0)+IF(R80&lt;=0,$F$20,0)+IF(S80&lt;=0,$F$21,0)+IF(T80&lt;=0,$F$22,0)+IF(U80&lt;=0,$F$23,0)+IF(V80&lt;=0,$F$24,0)),MAX(0,$F$5+(Dashboard!$C$11+IF(C80&lt;=0,$F$5,0)+IF(D80&lt;=0,$F$6,0)+IF(E80&lt;=0,$F$7,0)+IF(F80&lt;=0,$F$8,0)+IF(G80&lt;=0,$F$9,0)+IF(H80&lt;=0,$F$10,0)+IF(I80&lt;=0,$F$11,0)+IF(J80&lt;=0,$F$12,0)+IF(K80&lt;=0,$F$13,0)+IF(L80&lt;=0,$F$14,0)+IF(M80&lt;=0,$F$15,0)+IF(N80&lt;=0,$F$16,0)+IF(O80&lt;=0,$F$17,0)+IF(P80&lt;=0,$F$18,0)+IF(Q80&lt;=0,$F$19,0)+IF(R80&lt;=0,$F$20,0)+IF(S80&lt;=0,$F$21,0)+IF(T80&lt;=0,$F$22,0)+IF(U80&lt;=0,$F$23,0)+IF(V80&lt;=0,$F$24,0))-C80-AN81))</f>
        <v/>
      </c>
      <c r="AQ81">
        <f>IF(D80&lt;=0,0,D80*$E$6/12)</f>
        <v/>
      </c>
      <c r="AR81">
        <f>IF(D80&lt;=0,0,MIN(D80+AQ81,$F$6+AP81))</f>
        <v/>
      </c>
      <c r="AS81">
        <f>IF(D80&lt;=0,AP81,MAX(0,$F$6+AP81-D80-AQ81))</f>
        <v/>
      </c>
      <c r="AT81">
        <f>IF(E80&lt;=0,0,E80*$E$7/12)</f>
        <v/>
      </c>
      <c r="AU81">
        <f>IF(E80&lt;=0,0,MIN(E80+AT81,$F$7+AS81))</f>
        <v/>
      </c>
      <c r="AV81">
        <f>IF(E80&lt;=0,AS81,MAX(0,$F$7+AS81-E80-AT81))</f>
        <v/>
      </c>
      <c r="AW81">
        <f>IF(F80&lt;=0,0,F80*$E$8/12)</f>
        <v/>
      </c>
      <c r="AX81">
        <f>IF(F80&lt;=0,0,MIN(F80+AW81,$F$8+AV81))</f>
        <v/>
      </c>
      <c r="AY81">
        <f>IF(F80&lt;=0,AV81,MAX(0,$F$8+AV81-F80-AW81))</f>
        <v/>
      </c>
      <c r="AZ81">
        <f>IF(G80&lt;=0,0,G80*$E$9/12)</f>
        <v/>
      </c>
      <c r="BA81">
        <f>IF(G80&lt;=0,0,MIN(G80+AZ81,$F$9+AY81))</f>
        <v/>
      </c>
      <c r="BB81">
        <f>IF(G80&lt;=0,AY81,MAX(0,$F$9+AY81-G80-AZ81))</f>
        <v/>
      </c>
      <c r="BC81">
        <f>IF(H80&lt;=0,0,H80*$E$10/12)</f>
        <v/>
      </c>
      <c r="BD81">
        <f>IF(H80&lt;=0,0,MIN(H80+BC81,$F$10+BB81))</f>
        <v/>
      </c>
      <c r="BE81">
        <f>IF(H80&lt;=0,BB81,MAX(0,$F$10+BB81-H80-BC81))</f>
        <v/>
      </c>
      <c r="BF81">
        <f>IF(I80&lt;=0,0,I80*$E$11/12)</f>
        <v/>
      </c>
      <c r="BG81">
        <f>IF(I80&lt;=0,0,MIN(I80+BF81,$F$11+BE81))</f>
        <v/>
      </c>
      <c r="BH81">
        <f>IF(I80&lt;=0,BE81,MAX(0,$F$11+BE81-I80-BF81))</f>
        <v/>
      </c>
      <c r="BI81">
        <f>IF(J80&lt;=0,0,J80*$E$12/12)</f>
        <v/>
      </c>
      <c r="BJ81">
        <f>IF(J80&lt;=0,0,MIN(J80+BI81,$F$12+BH81))</f>
        <v/>
      </c>
      <c r="BK81">
        <f>IF(J80&lt;=0,BH81,MAX(0,$F$12+BH81-J80-BI81))</f>
        <v/>
      </c>
      <c r="BL81">
        <f>IF(K80&lt;=0,0,K80*$E$13/12)</f>
        <v/>
      </c>
      <c r="BM81">
        <f>IF(K80&lt;=0,0,MIN(K80+BL81,$F$13+BK81))</f>
        <v/>
      </c>
      <c r="BN81">
        <f>IF(K80&lt;=0,BK81,MAX(0,$F$13+BK81-K80-BL81))</f>
        <v/>
      </c>
      <c r="BO81">
        <f>IF(L80&lt;=0,0,L80*$E$14/12)</f>
        <v/>
      </c>
      <c r="BP81">
        <f>IF(L80&lt;=0,0,MIN(L80+BO81,$F$14+BN81))</f>
        <v/>
      </c>
      <c r="BQ81">
        <f>IF(L80&lt;=0,BN81,MAX(0,$F$14+BN81-L80-BO81))</f>
        <v/>
      </c>
      <c r="BR81">
        <f>IF(M80&lt;=0,0,M80*$E$15/12)</f>
        <v/>
      </c>
      <c r="BS81">
        <f>IF(M80&lt;=0,0,MIN(M80+BR81,$F$15+BQ81))</f>
        <v/>
      </c>
      <c r="BT81">
        <f>IF(M80&lt;=0,BQ81,MAX(0,$F$15+BQ81-M80-BR81))</f>
        <v/>
      </c>
      <c r="BU81">
        <f>IF(N80&lt;=0,0,N80*$E$16/12)</f>
        <v/>
      </c>
      <c r="BV81">
        <f>IF(N80&lt;=0,0,MIN(N80+BU81,$F$16+BT81))</f>
        <v/>
      </c>
      <c r="BW81">
        <f>IF(N80&lt;=0,BT81,MAX(0,$F$16+BT81-N80-BU81))</f>
        <v/>
      </c>
      <c r="BX81">
        <f>IF(O80&lt;=0,0,O80*$E$17/12)</f>
        <v/>
      </c>
      <c r="BY81">
        <f>IF(O80&lt;=0,0,MIN(O80+BX81,$F$17+BW81))</f>
        <v/>
      </c>
      <c r="BZ81">
        <f>IF(O80&lt;=0,BW81,MAX(0,$F$17+BW81-O80-BX81))</f>
        <v/>
      </c>
      <c r="CA81">
        <f>IF(P80&lt;=0,0,P80*$E$18/12)</f>
        <v/>
      </c>
      <c r="CB81">
        <f>IF(P80&lt;=0,0,MIN(P80+CA81,$F$18+BZ81))</f>
        <v/>
      </c>
      <c r="CC81">
        <f>IF(P80&lt;=0,BZ81,MAX(0,$F$18+BZ81-P80-CA81))</f>
        <v/>
      </c>
      <c r="CD81">
        <f>IF(Q80&lt;=0,0,Q80*$E$19/12)</f>
        <v/>
      </c>
      <c r="CE81">
        <f>IF(Q80&lt;=0,0,MIN(Q80+CD81,$F$19+CC81))</f>
        <v/>
      </c>
      <c r="CF81">
        <f>IF(Q80&lt;=0,CC81,MAX(0,$F$19+CC81-Q80-CD81))</f>
        <v/>
      </c>
      <c r="CG81">
        <f>IF(R80&lt;=0,0,R80*$E$20/12)</f>
        <v/>
      </c>
      <c r="CH81">
        <f>IF(R80&lt;=0,0,MIN(R80+CG81,$F$20+CF81))</f>
        <v/>
      </c>
      <c r="CI81">
        <f>IF(R80&lt;=0,CF81,MAX(0,$F$20+CF81-R80-CG81))</f>
        <v/>
      </c>
      <c r="CJ81">
        <f>IF(S80&lt;=0,0,S80*$E$21/12)</f>
        <v/>
      </c>
      <c r="CK81">
        <f>IF(S80&lt;=0,0,MIN(S80+CJ81,$F$21+CI81))</f>
        <v/>
      </c>
      <c r="CL81">
        <f>IF(S80&lt;=0,CI81,MAX(0,$F$21+CI81-S80-CJ81))</f>
        <v/>
      </c>
      <c r="CM81">
        <f>IF(T80&lt;=0,0,T80*$E$22/12)</f>
        <v/>
      </c>
      <c r="CN81">
        <f>IF(T80&lt;=0,0,MIN(T80+CM81,$F$22+CL81))</f>
        <v/>
      </c>
      <c r="CO81">
        <f>IF(T80&lt;=0,CL81,MAX(0,$F$22+CL81-T80-CM81))</f>
        <v/>
      </c>
      <c r="CP81">
        <f>IF(U80&lt;=0,0,U80*$E$23/12)</f>
        <v/>
      </c>
      <c r="CQ81">
        <f>IF(U80&lt;=0,0,MIN(U80+CP81,$F$23+CO81))</f>
        <v/>
      </c>
      <c r="CR81">
        <f>IF(U80&lt;=0,CO81,MAX(0,$F$23+CO81-U80-CP81))</f>
        <v/>
      </c>
      <c r="CS81">
        <f>IF(V80&lt;=0,0,V80*$E$24/12)</f>
        <v/>
      </c>
      <c r="CT81">
        <f>IF(V80&lt;=0,0,MIN(V80+CS81,$F$24+CR81))</f>
        <v/>
      </c>
      <c r="CU81">
        <f>IF(V80&lt;=0,CR81,MAX(0,$F$24+CR81-V80-CS81))</f>
        <v/>
      </c>
    </row>
    <row r="82">
      <c r="B82" s="39" t="n">
        <v>56</v>
      </c>
      <c r="C82" s="13">
        <f>IF(C81&lt;=0,0,MAX(0,C81+AN82-AO82))</f>
        <v/>
      </c>
      <c r="D82" s="13">
        <f>IF(D81&lt;=0,0,MAX(0,D81+AQ82-AR82))</f>
        <v/>
      </c>
      <c r="E82" s="13">
        <f>IF(E81&lt;=0,0,MAX(0,E81+AT82-AU82))</f>
        <v/>
      </c>
      <c r="F82" s="13">
        <f>IF(F81&lt;=0,0,MAX(0,F81+AW82-AX82))</f>
        <v/>
      </c>
      <c r="G82" s="13">
        <f>IF(G81&lt;=0,0,MAX(0,G81+AZ82-BA82))</f>
        <v/>
      </c>
      <c r="H82" s="13">
        <f>IF(H81&lt;=0,0,MAX(0,H81+BC82-BD82))</f>
        <v/>
      </c>
      <c r="I82" s="13">
        <f>IF(I81&lt;=0,0,MAX(0,I81+BF82-BG82))</f>
        <v/>
      </c>
      <c r="J82" s="13">
        <f>IF(J81&lt;=0,0,MAX(0,J81+BI82-BJ82))</f>
        <v/>
      </c>
      <c r="K82" s="13">
        <f>IF(K81&lt;=0,0,MAX(0,K81+BL82-BM82))</f>
        <v/>
      </c>
      <c r="L82" s="13">
        <f>IF(L81&lt;=0,0,MAX(0,L81+BO82-BP82))</f>
        <v/>
      </c>
      <c r="M82" s="13">
        <f>IF(M81&lt;=0,0,MAX(0,M81+BR82-BS82))</f>
        <v/>
      </c>
      <c r="N82" s="13">
        <f>IF(N81&lt;=0,0,MAX(0,N81+BU82-BV82))</f>
        <v/>
      </c>
      <c r="O82" s="13">
        <f>IF(O81&lt;=0,0,MAX(0,O81+BX82-BY82))</f>
        <v/>
      </c>
      <c r="P82" s="13">
        <f>IF(P81&lt;=0,0,MAX(0,P81+CA82-CB82))</f>
        <v/>
      </c>
      <c r="Q82" s="13">
        <f>IF(Q81&lt;=0,0,MAX(0,Q81+CD82-CE82))</f>
        <v/>
      </c>
      <c r="R82" s="13">
        <f>IF(R81&lt;=0,0,MAX(0,R81+CG82-CH82))</f>
        <v/>
      </c>
      <c r="S82" s="13">
        <f>IF(S81&lt;=0,0,MAX(0,S81+CJ82-CK82))</f>
        <v/>
      </c>
      <c r="T82" s="13">
        <f>IF(T81&lt;=0,0,MAX(0,T81+CM82-CN82))</f>
        <v/>
      </c>
      <c r="U82" s="13">
        <f>IF(U81&lt;=0,0,MAX(0,U81+CP82-CQ82))</f>
        <v/>
      </c>
      <c r="V82" s="13">
        <f>IF(V81&lt;=0,0,MAX(0,V81+CS82-CT82))</f>
        <v/>
      </c>
      <c r="W82" s="13">
        <f>AO82+AR82+AU82+AX82+BA82+BD82+BG82+BJ82+BM82+BP82+BS82+BV82+BY82+CB82+CE82+CH82+CK82+CN82+CQ82+CT82</f>
        <v/>
      </c>
      <c r="X82" s="13">
        <f>AN82+AQ82+AT82+AW82+AZ82+BC82+BF82+BI82+BL82+BO82+BR82+BU82+BX82+CA82+CD82+CG82+CJ82+CM82+CP82+CS82</f>
        <v/>
      </c>
      <c r="Y82" s="27">
        <f>C82+D82+E82+F82+G82+H82+I82+J82+K82+L82+M82+N82+O82+P82+Q82+R82+S82+T82+U82+V82</f>
        <v/>
      </c>
      <c r="AN82">
        <f>IF(C81&lt;=0,0,C81*$E$5/12)</f>
        <v/>
      </c>
      <c r="AO82">
        <f>IF(C81&lt;=0,0,MIN(C81+AN82,$F$5+(Dashboard!$C$11+IF(C81&lt;=0,$F$5,0)+IF(D81&lt;=0,$F$6,0)+IF(E81&lt;=0,$F$7,0)+IF(F81&lt;=0,$F$8,0)+IF(G81&lt;=0,$F$9,0)+IF(H81&lt;=0,$F$10,0)+IF(I81&lt;=0,$F$11,0)+IF(J81&lt;=0,$F$12,0)+IF(K81&lt;=0,$F$13,0)+IF(L81&lt;=0,$F$14,0)+IF(M81&lt;=0,$F$15,0)+IF(N81&lt;=0,$F$16,0)+IF(O81&lt;=0,$F$17,0)+IF(P81&lt;=0,$F$18,0)+IF(Q81&lt;=0,$F$19,0)+IF(R81&lt;=0,$F$20,0)+IF(S81&lt;=0,$F$21,0)+IF(T81&lt;=0,$F$22,0)+IF(U81&lt;=0,$F$23,0)+IF(V81&lt;=0,$F$24,0))))</f>
        <v/>
      </c>
      <c r="AP82">
        <f>IF(C81&lt;=0,(Dashboard!$C$11+IF(C81&lt;=0,$F$5,0)+IF(D81&lt;=0,$F$6,0)+IF(E81&lt;=0,$F$7,0)+IF(F81&lt;=0,$F$8,0)+IF(G81&lt;=0,$F$9,0)+IF(H81&lt;=0,$F$10,0)+IF(I81&lt;=0,$F$11,0)+IF(J81&lt;=0,$F$12,0)+IF(K81&lt;=0,$F$13,0)+IF(L81&lt;=0,$F$14,0)+IF(M81&lt;=0,$F$15,0)+IF(N81&lt;=0,$F$16,0)+IF(O81&lt;=0,$F$17,0)+IF(P81&lt;=0,$F$18,0)+IF(Q81&lt;=0,$F$19,0)+IF(R81&lt;=0,$F$20,0)+IF(S81&lt;=0,$F$21,0)+IF(T81&lt;=0,$F$22,0)+IF(U81&lt;=0,$F$23,0)+IF(V81&lt;=0,$F$24,0)),MAX(0,$F$5+(Dashboard!$C$11+IF(C81&lt;=0,$F$5,0)+IF(D81&lt;=0,$F$6,0)+IF(E81&lt;=0,$F$7,0)+IF(F81&lt;=0,$F$8,0)+IF(G81&lt;=0,$F$9,0)+IF(H81&lt;=0,$F$10,0)+IF(I81&lt;=0,$F$11,0)+IF(J81&lt;=0,$F$12,0)+IF(K81&lt;=0,$F$13,0)+IF(L81&lt;=0,$F$14,0)+IF(M81&lt;=0,$F$15,0)+IF(N81&lt;=0,$F$16,0)+IF(O81&lt;=0,$F$17,0)+IF(P81&lt;=0,$F$18,0)+IF(Q81&lt;=0,$F$19,0)+IF(R81&lt;=0,$F$20,0)+IF(S81&lt;=0,$F$21,0)+IF(T81&lt;=0,$F$22,0)+IF(U81&lt;=0,$F$23,0)+IF(V81&lt;=0,$F$24,0))-C81-AN82))</f>
        <v/>
      </c>
      <c r="AQ82">
        <f>IF(D81&lt;=0,0,D81*$E$6/12)</f>
        <v/>
      </c>
      <c r="AR82">
        <f>IF(D81&lt;=0,0,MIN(D81+AQ82,$F$6+AP82))</f>
        <v/>
      </c>
      <c r="AS82">
        <f>IF(D81&lt;=0,AP82,MAX(0,$F$6+AP82-D81-AQ82))</f>
        <v/>
      </c>
      <c r="AT82">
        <f>IF(E81&lt;=0,0,E81*$E$7/12)</f>
        <v/>
      </c>
      <c r="AU82">
        <f>IF(E81&lt;=0,0,MIN(E81+AT82,$F$7+AS82))</f>
        <v/>
      </c>
      <c r="AV82">
        <f>IF(E81&lt;=0,AS82,MAX(0,$F$7+AS82-E81-AT82))</f>
        <v/>
      </c>
      <c r="AW82">
        <f>IF(F81&lt;=0,0,F81*$E$8/12)</f>
        <v/>
      </c>
      <c r="AX82">
        <f>IF(F81&lt;=0,0,MIN(F81+AW82,$F$8+AV82))</f>
        <v/>
      </c>
      <c r="AY82">
        <f>IF(F81&lt;=0,AV82,MAX(0,$F$8+AV82-F81-AW82))</f>
        <v/>
      </c>
      <c r="AZ82">
        <f>IF(G81&lt;=0,0,G81*$E$9/12)</f>
        <v/>
      </c>
      <c r="BA82">
        <f>IF(G81&lt;=0,0,MIN(G81+AZ82,$F$9+AY82))</f>
        <v/>
      </c>
      <c r="BB82">
        <f>IF(G81&lt;=0,AY82,MAX(0,$F$9+AY82-G81-AZ82))</f>
        <v/>
      </c>
      <c r="BC82">
        <f>IF(H81&lt;=0,0,H81*$E$10/12)</f>
        <v/>
      </c>
      <c r="BD82">
        <f>IF(H81&lt;=0,0,MIN(H81+BC82,$F$10+BB82))</f>
        <v/>
      </c>
      <c r="BE82">
        <f>IF(H81&lt;=0,BB82,MAX(0,$F$10+BB82-H81-BC82))</f>
        <v/>
      </c>
      <c r="BF82">
        <f>IF(I81&lt;=0,0,I81*$E$11/12)</f>
        <v/>
      </c>
      <c r="BG82">
        <f>IF(I81&lt;=0,0,MIN(I81+BF82,$F$11+BE82))</f>
        <v/>
      </c>
      <c r="BH82">
        <f>IF(I81&lt;=0,BE82,MAX(0,$F$11+BE82-I81-BF82))</f>
        <v/>
      </c>
      <c r="BI82">
        <f>IF(J81&lt;=0,0,J81*$E$12/12)</f>
        <v/>
      </c>
      <c r="BJ82">
        <f>IF(J81&lt;=0,0,MIN(J81+BI82,$F$12+BH82))</f>
        <v/>
      </c>
      <c r="BK82">
        <f>IF(J81&lt;=0,BH82,MAX(0,$F$12+BH82-J81-BI82))</f>
        <v/>
      </c>
      <c r="BL82">
        <f>IF(K81&lt;=0,0,K81*$E$13/12)</f>
        <v/>
      </c>
      <c r="BM82">
        <f>IF(K81&lt;=0,0,MIN(K81+BL82,$F$13+BK82))</f>
        <v/>
      </c>
      <c r="BN82">
        <f>IF(K81&lt;=0,BK82,MAX(0,$F$13+BK82-K81-BL82))</f>
        <v/>
      </c>
      <c r="BO82">
        <f>IF(L81&lt;=0,0,L81*$E$14/12)</f>
        <v/>
      </c>
      <c r="BP82">
        <f>IF(L81&lt;=0,0,MIN(L81+BO82,$F$14+BN82))</f>
        <v/>
      </c>
      <c r="BQ82">
        <f>IF(L81&lt;=0,BN82,MAX(0,$F$14+BN82-L81-BO82))</f>
        <v/>
      </c>
      <c r="BR82">
        <f>IF(M81&lt;=0,0,M81*$E$15/12)</f>
        <v/>
      </c>
      <c r="BS82">
        <f>IF(M81&lt;=0,0,MIN(M81+BR82,$F$15+BQ82))</f>
        <v/>
      </c>
      <c r="BT82">
        <f>IF(M81&lt;=0,BQ82,MAX(0,$F$15+BQ82-M81-BR82))</f>
        <v/>
      </c>
      <c r="BU82">
        <f>IF(N81&lt;=0,0,N81*$E$16/12)</f>
        <v/>
      </c>
      <c r="BV82">
        <f>IF(N81&lt;=0,0,MIN(N81+BU82,$F$16+BT82))</f>
        <v/>
      </c>
      <c r="BW82">
        <f>IF(N81&lt;=0,BT82,MAX(0,$F$16+BT82-N81-BU82))</f>
        <v/>
      </c>
      <c r="BX82">
        <f>IF(O81&lt;=0,0,O81*$E$17/12)</f>
        <v/>
      </c>
      <c r="BY82">
        <f>IF(O81&lt;=0,0,MIN(O81+BX82,$F$17+BW82))</f>
        <v/>
      </c>
      <c r="BZ82">
        <f>IF(O81&lt;=0,BW82,MAX(0,$F$17+BW82-O81-BX82))</f>
        <v/>
      </c>
      <c r="CA82">
        <f>IF(P81&lt;=0,0,P81*$E$18/12)</f>
        <v/>
      </c>
      <c r="CB82">
        <f>IF(P81&lt;=0,0,MIN(P81+CA82,$F$18+BZ82))</f>
        <v/>
      </c>
      <c r="CC82">
        <f>IF(P81&lt;=0,BZ82,MAX(0,$F$18+BZ82-P81-CA82))</f>
        <v/>
      </c>
      <c r="CD82">
        <f>IF(Q81&lt;=0,0,Q81*$E$19/12)</f>
        <v/>
      </c>
      <c r="CE82">
        <f>IF(Q81&lt;=0,0,MIN(Q81+CD82,$F$19+CC82))</f>
        <v/>
      </c>
      <c r="CF82">
        <f>IF(Q81&lt;=0,CC82,MAX(0,$F$19+CC82-Q81-CD82))</f>
        <v/>
      </c>
      <c r="CG82">
        <f>IF(R81&lt;=0,0,R81*$E$20/12)</f>
        <v/>
      </c>
      <c r="CH82">
        <f>IF(R81&lt;=0,0,MIN(R81+CG82,$F$20+CF82))</f>
        <v/>
      </c>
      <c r="CI82">
        <f>IF(R81&lt;=0,CF82,MAX(0,$F$20+CF82-R81-CG82))</f>
        <v/>
      </c>
      <c r="CJ82">
        <f>IF(S81&lt;=0,0,S81*$E$21/12)</f>
        <v/>
      </c>
      <c r="CK82">
        <f>IF(S81&lt;=0,0,MIN(S81+CJ82,$F$21+CI82))</f>
        <v/>
      </c>
      <c r="CL82">
        <f>IF(S81&lt;=0,CI82,MAX(0,$F$21+CI82-S81-CJ82))</f>
        <v/>
      </c>
      <c r="CM82">
        <f>IF(T81&lt;=0,0,T81*$E$22/12)</f>
        <v/>
      </c>
      <c r="CN82">
        <f>IF(T81&lt;=0,0,MIN(T81+CM82,$F$22+CL82))</f>
        <v/>
      </c>
      <c r="CO82">
        <f>IF(T81&lt;=0,CL82,MAX(0,$F$22+CL82-T81-CM82))</f>
        <v/>
      </c>
      <c r="CP82">
        <f>IF(U81&lt;=0,0,U81*$E$23/12)</f>
        <v/>
      </c>
      <c r="CQ82">
        <f>IF(U81&lt;=0,0,MIN(U81+CP82,$F$23+CO82))</f>
        <v/>
      </c>
      <c r="CR82">
        <f>IF(U81&lt;=0,CO82,MAX(0,$F$23+CO82-U81-CP82))</f>
        <v/>
      </c>
      <c r="CS82">
        <f>IF(V81&lt;=0,0,V81*$E$24/12)</f>
        <v/>
      </c>
      <c r="CT82">
        <f>IF(V81&lt;=0,0,MIN(V81+CS82,$F$24+CR82))</f>
        <v/>
      </c>
      <c r="CU82">
        <f>IF(V81&lt;=0,CR82,MAX(0,$F$24+CR82-V81-CS82))</f>
        <v/>
      </c>
    </row>
    <row r="83">
      <c r="B83" s="39" t="n">
        <v>57</v>
      </c>
      <c r="C83" s="13">
        <f>IF(C82&lt;=0,0,MAX(0,C82+AN83-AO83))</f>
        <v/>
      </c>
      <c r="D83" s="13">
        <f>IF(D82&lt;=0,0,MAX(0,D82+AQ83-AR83))</f>
        <v/>
      </c>
      <c r="E83" s="13">
        <f>IF(E82&lt;=0,0,MAX(0,E82+AT83-AU83))</f>
        <v/>
      </c>
      <c r="F83" s="13">
        <f>IF(F82&lt;=0,0,MAX(0,F82+AW83-AX83))</f>
        <v/>
      </c>
      <c r="G83" s="13">
        <f>IF(G82&lt;=0,0,MAX(0,G82+AZ83-BA83))</f>
        <v/>
      </c>
      <c r="H83" s="13">
        <f>IF(H82&lt;=0,0,MAX(0,H82+BC83-BD83))</f>
        <v/>
      </c>
      <c r="I83" s="13">
        <f>IF(I82&lt;=0,0,MAX(0,I82+BF83-BG83))</f>
        <v/>
      </c>
      <c r="J83" s="13">
        <f>IF(J82&lt;=0,0,MAX(0,J82+BI83-BJ83))</f>
        <v/>
      </c>
      <c r="K83" s="13">
        <f>IF(K82&lt;=0,0,MAX(0,K82+BL83-BM83))</f>
        <v/>
      </c>
      <c r="L83" s="13">
        <f>IF(L82&lt;=0,0,MAX(0,L82+BO83-BP83))</f>
        <v/>
      </c>
      <c r="M83" s="13">
        <f>IF(M82&lt;=0,0,MAX(0,M82+BR83-BS83))</f>
        <v/>
      </c>
      <c r="N83" s="13">
        <f>IF(N82&lt;=0,0,MAX(0,N82+BU83-BV83))</f>
        <v/>
      </c>
      <c r="O83" s="13">
        <f>IF(O82&lt;=0,0,MAX(0,O82+BX83-BY83))</f>
        <v/>
      </c>
      <c r="P83" s="13">
        <f>IF(P82&lt;=0,0,MAX(0,P82+CA83-CB83))</f>
        <v/>
      </c>
      <c r="Q83" s="13">
        <f>IF(Q82&lt;=0,0,MAX(0,Q82+CD83-CE83))</f>
        <v/>
      </c>
      <c r="R83" s="13">
        <f>IF(R82&lt;=0,0,MAX(0,R82+CG83-CH83))</f>
        <v/>
      </c>
      <c r="S83" s="13">
        <f>IF(S82&lt;=0,0,MAX(0,S82+CJ83-CK83))</f>
        <v/>
      </c>
      <c r="T83" s="13">
        <f>IF(T82&lt;=0,0,MAX(0,T82+CM83-CN83))</f>
        <v/>
      </c>
      <c r="U83" s="13">
        <f>IF(U82&lt;=0,0,MAX(0,U82+CP83-CQ83))</f>
        <v/>
      </c>
      <c r="V83" s="13">
        <f>IF(V82&lt;=0,0,MAX(0,V82+CS83-CT83))</f>
        <v/>
      </c>
      <c r="W83" s="13">
        <f>AO83+AR83+AU83+AX83+BA83+BD83+BG83+BJ83+BM83+BP83+BS83+BV83+BY83+CB83+CE83+CH83+CK83+CN83+CQ83+CT83</f>
        <v/>
      </c>
      <c r="X83" s="13">
        <f>AN83+AQ83+AT83+AW83+AZ83+BC83+BF83+BI83+BL83+BO83+BR83+BU83+BX83+CA83+CD83+CG83+CJ83+CM83+CP83+CS83</f>
        <v/>
      </c>
      <c r="Y83" s="27">
        <f>C83+D83+E83+F83+G83+H83+I83+J83+K83+L83+M83+N83+O83+P83+Q83+R83+S83+T83+U83+V83</f>
        <v/>
      </c>
      <c r="AN83">
        <f>IF(C82&lt;=0,0,C82*$E$5/12)</f>
        <v/>
      </c>
      <c r="AO83">
        <f>IF(C82&lt;=0,0,MIN(C82+AN83,$F$5+(Dashboard!$C$11+IF(C82&lt;=0,$F$5,0)+IF(D82&lt;=0,$F$6,0)+IF(E82&lt;=0,$F$7,0)+IF(F82&lt;=0,$F$8,0)+IF(G82&lt;=0,$F$9,0)+IF(H82&lt;=0,$F$10,0)+IF(I82&lt;=0,$F$11,0)+IF(J82&lt;=0,$F$12,0)+IF(K82&lt;=0,$F$13,0)+IF(L82&lt;=0,$F$14,0)+IF(M82&lt;=0,$F$15,0)+IF(N82&lt;=0,$F$16,0)+IF(O82&lt;=0,$F$17,0)+IF(P82&lt;=0,$F$18,0)+IF(Q82&lt;=0,$F$19,0)+IF(R82&lt;=0,$F$20,0)+IF(S82&lt;=0,$F$21,0)+IF(T82&lt;=0,$F$22,0)+IF(U82&lt;=0,$F$23,0)+IF(V82&lt;=0,$F$24,0))))</f>
        <v/>
      </c>
      <c r="AP83">
        <f>IF(C82&lt;=0,(Dashboard!$C$11+IF(C82&lt;=0,$F$5,0)+IF(D82&lt;=0,$F$6,0)+IF(E82&lt;=0,$F$7,0)+IF(F82&lt;=0,$F$8,0)+IF(G82&lt;=0,$F$9,0)+IF(H82&lt;=0,$F$10,0)+IF(I82&lt;=0,$F$11,0)+IF(J82&lt;=0,$F$12,0)+IF(K82&lt;=0,$F$13,0)+IF(L82&lt;=0,$F$14,0)+IF(M82&lt;=0,$F$15,0)+IF(N82&lt;=0,$F$16,0)+IF(O82&lt;=0,$F$17,0)+IF(P82&lt;=0,$F$18,0)+IF(Q82&lt;=0,$F$19,0)+IF(R82&lt;=0,$F$20,0)+IF(S82&lt;=0,$F$21,0)+IF(T82&lt;=0,$F$22,0)+IF(U82&lt;=0,$F$23,0)+IF(V82&lt;=0,$F$24,0)),MAX(0,$F$5+(Dashboard!$C$11+IF(C82&lt;=0,$F$5,0)+IF(D82&lt;=0,$F$6,0)+IF(E82&lt;=0,$F$7,0)+IF(F82&lt;=0,$F$8,0)+IF(G82&lt;=0,$F$9,0)+IF(H82&lt;=0,$F$10,0)+IF(I82&lt;=0,$F$11,0)+IF(J82&lt;=0,$F$12,0)+IF(K82&lt;=0,$F$13,0)+IF(L82&lt;=0,$F$14,0)+IF(M82&lt;=0,$F$15,0)+IF(N82&lt;=0,$F$16,0)+IF(O82&lt;=0,$F$17,0)+IF(P82&lt;=0,$F$18,0)+IF(Q82&lt;=0,$F$19,0)+IF(R82&lt;=0,$F$20,0)+IF(S82&lt;=0,$F$21,0)+IF(T82&lt;=0,$F$22,0)+IF(U82&lt;=0,$F$23,0)+IF(V82&lt;=0,$F$24,0))-C82-AN83))</f>
        <v/>
      </c>
      <c r="AQ83">
        <f>IF(D82&lt;=0,0,D82*$E$6/12)</f>
        <v/>
      </c>
      <c r="AR83">
        <f>IF(D82&lt;=0,0,MIN(D82+AQ83,$F$6+AP83))</f>
        <v/>
      </c>
      <c r="AS83">
        <f>IF(D82&lt;=0,AP83,MAX(0,$F$6+AP83-D82-AQ83))</f>
        <v/>
      </c>
      <c r="AT83">
        <f>IF(E82&lt;=0,0,E82*$E$7/12)</f>
        <v/>
      </c>
      <c r="AU83">
        <f>IF(E82&lt;=0,0,MIN(E82+AT83,$F$7+AS83))</f>
        <v/>
      </c>
      <c r="AV83">
        <f>IF(E82&lt;=0,AS83,MAX(0,$F$7+AS83-E82-AT83))</f>
        <v/>
      </c>
      <c r="AW83">
        <f>IF(F82&lt;=0,0,F82*$E$8/12)</f>
        <v/>
      </c>
      <c r="AX83">
        <f>IF(F82&lt;=0,0,MIN(F82+AW83,$F$8+AV83))</f>
        <v/>
      </c>
      <c r="AY83">
        <f>IF(F82&lt;=0,AV83,MAX(0,$F$8+AV83-F82-AW83))</f>
        <v/>
      </c>
      <c r="AZ83">
        <f>IF(G82&lt;=0,0,G82*$E$9/12)</f>
        <v/>
      </c>
      <c r="BA83">
        <f>IF(G82&lt;=0,0,MIN(G82+AZ83,$F$9+AY83))</f>
        <v/>
      </c>
      <c r="BB83">
        <f>IF(G82&lt;=0,AY83,MAX(0,$F$9+AY83-G82-AZ83))</f>
        <v/>
      </c>
      <c r="BC83">
        <f>IF(H82&lt;=0,0,H82*$E$10/12)</f>
        <v/>
      </c>
      <c r="BD83">
        <f>IF(H82&lt;=0,0,MIN(H82+BC83,$F$10+BB83))</f>
        <v/>
      </c>
      <c r="BE83">
        <f>IF(H82&lt;=0,BB83,MAX(0,$F$10+BB83-H82-BC83))</f>
        <v/>
      </c>
      <c r="BF83">
        <f>IF(I82&lt;=0,0,I82*$E$11/12)</f>
        <v/>
      </c>
      <c r="BG83">
        <f>IF(I82&lt;=0,0,MIN(I82+BF83,$F$11+BE83))</f>
        <v/>
      </c>
      <c r="BH83">
        <f>IF(I82&lt;=0,BE83,MAX(0,$F$11+BE83-I82-BF83))</f>
        <v/>
      </c>
      <c r="BI83">
        <f>IF(J82&lt;=0,0,J82*$E$12/12)</f>
        <v/>
      </c>
      <c r="BJ83">
        <f>IF(J82&lt;=0,0,MIN(J82+BI83,$F$12+BH83))</f>
        <v/>
      </c>
      <c r="BK83">
        <f>IF(J82&lt;=0,BH83,MAX(0,$F$12+BH83-J82-BI83))</f>
        <v/>
      </c>
      <c r="BL83">
        <f>IF(K82&lt;=0,0,K82*$E$13/12)</f>
        <v/>
      </c>
      <c r="BM83">
        <f>IF(K82&lt;=0,0,MIN(K82+BL83,$F$13+BK83))</f>
        <v/>
      </c>
      <c r="BN83">
        <f>IF(K82&lt;=0,BK83,MAX(0,$F$13+BK83-K82-BL83))</f>
        <v/>
      </c>
      <c r="BO83">
        <f>IF(L82&lt;=0,0,L82*$E$14/12)</f>
        <v/>
      </c>
      <c r="BP83">
        <f>IF(L82&lt;=0,0,MIN(L82+BO83,$F$14+BN83))</f>
        <v/>
      </c>
      <c r="BQ83">
        <f>IF(L82&lt;=0,BN83,MAX(0,$F$14+BN83-L82-BO83))</f>
        <v/>
      </c>
      <c r="BR83">
        <f>IF(M82&lt;=0,0,M82*$E$15/12)</f>
        <v/>
      </c>
      <c r="BS83">
        <f>IF(M82&lt;=0,0,MIN(M82+BR83,$F$15+BQ83))</f>
        <v/>
      </c>
      <c r="BT83">
        <f>IF(M82&lt;=0,BQ83,MAX(0,$F$15+BQ83-M82-BR83))</f>
        <v/>
      </c>
      <c r="BU83">
        <f>IF(N82&lt;=0,0,N82*$E$16/12)</f>
        <v/>
      </c>
      <c r="BV83">
        <f>IF(N82&lt;=0,0,MIN(N82+BU83,$F$16+BT83))</f>
        <v/>
      </c>
      <c r="BW83">
        <f>IF(N82&lt;=0,BT83,MAX(0,$F$16+BT83-N82-BU83))</f>
        <v/>
      </c>
      <c r="BX83">
        <f>IF(O82&lt;=0,0,O82*$E$17/12)</f>
        <v/>
      </c>
      <c r="BY83">
        <f>IF(O82&lt;=0,0,MIN(O82+BX83,$F$17+BW83))</f>
        <v/>
      </c>
      <c r="BZ83">
        <f>IF(O82&lt;=0,BW83,MAX(0,$F$17+BW83-O82-BX83))</f>
        <v/>
      </c>
      <c r="CA83">
        <f>IF(P82&lt;=0,0,P82*$E$18/12)</f>
        <v/>
      </c>
      <c r="CB83">
        <f>IF(P82&lt;=0,0,MIN(P82+CA83,$F$18+BZ83))</f>
        <v/>
      </c>
      <c r="CC83">
        <f>IF(P82&lt;=0,BZ83,MAX(0,$F$18+BZ83-P82-CA83))</f>
        <v/>
      </c>
      <c r="CD83">
        <f>IF(Q82&lt;=0,0,Q82*$E$19/12)</f>
        <v/>
      </c>
      <c r="CE83">
        <f>IF(Q82&lt;=0,0,MIN(Q82+CD83,$F$19+CC83))</f>
        <v/>
      </c>
      <c r="CF83">
        <f>IF(Q82&lt;=0,CC83,MAX(0,$F$19+CC83-Q82-CD83))</f>
        <v/>
      </c>
      <c r="CG83">
        <f>IF(R82&lt;=0,0,R82*$E$20/12)</f>
        <v/>
      </c>
      <c r="CH83">
        <f>IF(R82&lt;=0,0,MIN(R82+CG83,$F$20+CF83))</f>
        <v/>
      </c>
      <c r="CI83">
        <f>IF(R82&lt;=0,CF83,MAX(0,$F$20+CF83-R82-CG83))</f>
        <v/>
      </c>
      <c r="CJ83">
        <f>IF(S82&lt;=0,0,S82*$E$21/12)</f>
        <v/>
      </c>
      <c r="CK83">
        <f>IF(S82&lt;=0,0,MIN(S82+CJ83,$F$21+CI83))</f>
        <v/>
      </c>
      <c r="CL83">
        <f>IF(S82&lt;=0,CI83,MAX(0,$F$21+CI83-S82-CJ83))</f>
        <v/>
      </c>
      <c r="CM83">
        <f>IF(T82&lt;=0,0,T82*$E$22/12)</f>
        <v/>
      </c>
      <c r="CN83">
        <f>IF(T82&lt;=0,0,MIN(T82+CM83,$F$22+CL83))</f>
        <v/>
      </c>
      <c r="CO83">
        <f>IF(T82&lt;=0,CL83,MAX(0,$F$22+CL83-T82-CM83))</f>
        <v/>
      </c>
      <c r="CP83">
        <f>IF(U82&lt;=0,0,U82*$E$23/12)</f>
        <v/>
      </c>
      <c r="CQ83">
        <f>IF(U82&lt;=0,0,MIN(U82+CP83,$F$23+CO83))</f>
        <v/>
      </c>
      <c r="CR83">
        <f>IF(U82&lt;=0,CO83,MAX(0,$F$23+CO83-U82-CP83))</f>
        <v/>
      </c>
      <c r="CS83">
        <f>IF(V82&lt;=0,0,V82*$E$24/12)</f>
        <v/>
      </c>
      <c r="CT83">
        <f>IF(V82&lt;=0,0,MIN(V82+CS83,$F$24+CR83))</f>
        <v/>
      </c>
      <c r="CU83">
        <f>IF(V82&lt;=0,CR83,MAX(0,$F$24+CR83-V82-CS83))</f>
        <v/>
      </c>
    </row>
    <row r="84">
      <c r="B84" s="39" t="n">
        <v>58</v>
      </c>
      <c r="C84" s="13">
        <f>IF(C83&lt;=0,0,MAX(0,C83+AN84-AO84))</f>
        <v/>
      </c>
      <c r="D84" s="13">
        <f>IF(D83&lt;=0,0,MAX(0,D83+AQ84-AR84))</f>
        <v/>
      </c>
      <c r="E84" s="13">
        <f>IF(E83&lt;=0,0,MAX(0,E83+AT84-AU84))</f>
        <v/>
      </c>
      <c r="F84" s="13">
        <f>IF(F83&lt;=0,0,MAX(0,F83+AW84-AX84))</f>
        <v/>
      </c>
      <c r="G84" s="13">
        <f>IF(G83&lt;=0,0,MAX(0,G83+AZ84-BA84))</f>
        <v/>
      </c>
      <c r="H84" s="13">
        <f>IF(H83&lt;=0,0,MAX(0,H83+BC84-BD84))</f>
        <v/>
      </c>
      <c r="I84" s="13">
        <f>IF(I83&lt;=0,0,MAX(0,I83+BF84-BG84))</f>
        <v/>
      </c>
      <c r="J84" s="13">
        <f>IF(J83&lt;=0,0,MAX(0,J83+BI84-BJ84))</f>
        <v/>
      </c>
      <c r="K84" s="13">
        <f>IF(K83&lt;=0,0,MAX(0,K83+BL84-BM84))</f>
        <v/>
      </c>
      <c r="L84" s="13">
        <f>IF(L83&lt;=0,0,MAX(0,L83+BO84-BP84))</f>
        <v/>
      </c>
      <c r="M84" s="13">
        <f>IF(M83&lt;=0,0,MAX(0,M83+BR84-BS84))</f>
        <v/>
      </c>
      <c r="N84" s="13">
        <f>IF(N83&lt;=0,0,MAX(0,N83+BU84-BV84))</f>
        <v/>
      </c>
      <c r="O84" s="13">
        <f>IF(O83&lt;=0,0,MAX(0,O83+BX84-BY84))</f>
        <v/>
      </c>
      <c r="P84" s="13">
        <f>IF(P83&lt;=0,0,MAX(0,P83+CA84-CB84))</f>
        <v/>
      </c>
      <c r="Q84" s="13">
        <f>IF(Q83&lt;=0,0,MAX(0,Q83+CD84-CE84))</f>
        <v/>
      </c>
      <c r="R84" s="13">
        <f>IF(R83&lt;=0,0,MAX(0,R83+CG84-CH84))</f>
        <v/>
      </c>
      <c r="S84" s="13">
        <f>IF(S83&lt;=0,0,MAX(0,S83+CJ84-CK84))</f>
        <v/>
      </c>
      <c r="T84" s="13">
        <f>IF(T83&lt;=0,0,MAX(0,T83+CM84-CN84))</f>
        <v/>
      </c>
      <c r="U84" s="13">
        <f>IF(U83&lt;=0,0,MAX(0,U83+CP84-CQ84))</f>
        <v/>
      </c>
      <c r="V84" s="13">
        <f>IF(V83&lt;=0,0,MAX(0,V83+CS84-CT84))</f>
        <v/>
      </c>
      <c r="W84" s="13">
        <f>AO84+AR84+AU84+AX84+BA84+BD84+BG84+BJ84+BM84+BP84+BS84+BV84+BY84+CB84+CE84+CH84+CK84+CN84+CQ84+CT84</f>
        <v/>
      </c>
      <c r="X84" s="13">
        <f>AN84+AQ84+AT84+AW84+AZ84+BC84+BF84+BI84+BL84+BO84+BR84+BU84+BX84+CA84+CD84+CG84+CJ84+CM84+CP84+CS84</f>
        <v/>
      </c>
      <c r="Y84" s="27">
        <f>C84+D84+E84+F84+G84+H84+I84+J84+K84+L84+M84+N84+O84+P84+Q84+R84+S84+T84+U84+V84</f>
        <v/>
      </c>
      <c r="AN84">
        <f>IF(C83&lt;=0,0,C83*$E$5/12)</f>
        <v/>
      </c>
      <c r="AO84">
        <f>IF(C83&lt;=0,0,MIN(C83+AN84,$F$5+(Dashboard!$C$11+IF(C83&lt;=0,$F$5,0)+IF(D83&lt;=0,$F$6,0)+IF(E83&lt;=0,$F$7,0)+IF(F83&lt;=0,$F$8,0)+IF(G83&lt;=0,$F$9,0)+IF(H83&lt;=0,$F$10,0)+IF(I83&lt;=0,$F$11,0)+IF(J83&lt;=0,$F$12,0)+IF(K83&lt;=0,$F$13,0)+IF(L83&lt;=0,$F$14,0)+IF(M83&lt;=0,$F$15,0)+IF(N83&lt;=0,$F$16,0)+IF(O83&lt;=0,$F$17,0)+IF(P83&lt;=0,$F$18,0)+IF(Q83&lt;=0,$F$19,0)+IF(R83&lt;=0,$F$20,0)+IF(S83&lt;=0,$F$21,0)+IF(T83&lt;=0,$F$22,0)+IF(U83&lt;=0,$F$23,0)+IF(V83&lt;=0,$F$24,0))))</f>
        <v/>
      </c>
      <c r="AP84">
        <f>IF(C83&lt;=0,(Dashboard!$C$11+IF(C83&lt;=0,$F$5,0)+IF(D83&lt;=0,$F$6,0)+IF(E83&lt;=0,$F$7,0)+IF(F83&lt;=0,$F$8,0)+IF(G83&lt;=0,$F$9,0)+IF(H83&lt;=0,$F$10,0)+IF(I83&lt;=0,$F$11,0)+IF(J83&lt;=0,$F$12,0)+IF(K83&lt;=0,$F$13,0)+IF(L83&lt;=0,$F$14,0)+IF(M83&lt;=0,$F$15,0)+IF(N83&lt;=0,$F$16,0)+IF(O83&lt;=0,$F$17,0)+IF(P83&lt;=0,$F$18,0)+IF(Q83&lt;=0,$F$19,0)+IF(R83&lt;=0,$F$20,0)+IF(S83&lt;=0,$F$21,0)+IF(T83&lt;=0,$F$22,0)+IF(U83&lt;=0,$F$23,0)+IF(V83&lt;=0,$F$24,0)),MAX(0,$F$5+(Dashboard!$C$11+IF(C83&lt;=0,$F$5,0)+IF(D83&lt;=0,$F$6,0)+IF(E83&lt;=0,$F$7,0)+IF(F83&lt;=0,$F$8,0)+IF(G83&lt;=0,$F$9,0)+IF(H83&lt;=0,$F$10,0)+IF(I83&lt;=0,$F$11,0)+IF(J83&lt;=0,$F$12,0)+IF(K83&lt;=0,$F$13,0)+IF(L83&lt;=0,$F$14,0)+IF(M83&lt;=0,$F$15,0)+IF(N83&lt;=0,$F$16,0)+IF(O83&lt;=0,$F$17,0)+IF(P83&lt;=0,$F$18,0)+IF(Q83&lt;=0,$F$19,0)+IF(R83&lt;=0,$F$20,0)+IF(S83&lt;=0,$F$21,0)+IF(T83&lt;=0,$F$22,0)+IF(U83&lt;=0,$F$23,0)+IF(V83&lt;=0,$F$24,0))-C83-AN84))</f>
        <v/>
      </c>
      <c r="AQ84">
        <f>IF(D83&lt;=0,0,D83*$E$6/12)</f>
        <v/>
      </c>
      <c r="AR84">
        <f>IF(D83&lt;=0,0,MIN(D83+AQ84,$F$6+AP84))</f>
        <v/>
      </c>
      <c r="AS84">
        <f>IF(D83&lt;=0,AP84,MAX(0,$F$6+AP84-D83-AQ84))</f>
        <v/>
      </c>
      <c r="AT84">
        <f>IF(E83&lt;=0,0,E83*$E$7/12)</f>
        <v/>
      </c>
      <c r="AU84">
        <f>IF(E83&lt;=0,0,MIN(E83+AT84,$F$7+AS84))</f>
        <v/>
      </c>
      <c r="AV84">
        <f>IF(E83&lt;=0,AS84,MAX(0,$F$7+AS84-E83-AT84))</f>
        <v/>
      </c>
      <c r="AW84">
        <f>IF(F83&lt;=0,0,F83*$E$8/12)</f>
        <v/>
      </c>
      <c r="AX84">
        <f>IF(F83&lt;=0,0,MIN(F83+AW84,$F$8+AV84))</f>
        <v/>
      </c>
      <c r="AY84">
        <f>IF(F83&lt;=0,AV84,MAX(0,$F$8+AV84-F83-AW84))</f>
        <v/>
      </c>
      <c r="AZ84">
        <f>IF(G83&lt;=0,0,G83*$E$9/12)</f>
        <v/>
      </c>
      <c r="BA84">
        <f>IF(G83&lt;=0,0,MIN(G83+AZ84,$F$9+AY84))</f>
        <v/>
      </c>
      <c r="BB84">
        <f>IF(G83&lt;=0,AY84,MAX(0,$F$9+AY84-G83-AZ84))</f>
        <v/>
      </c>
      <c r="BC84">
        <f>IF(H83&lt;=0,0,H83*$E$10/12)</f>
        <v/>
      </c>
      <c r="BD84">
        <f>IF(H83&lt;=0,0,MIN(H83+BC84,$F$10+BB84))</f>
        <v/>
      </c>
      <c r="BE84">
        <f>IF(H83&lt;=0,BB84,MAX(0,$F$10+BB84-H83-BC84))</f>
        <v/>
      </c>
      <c r="BF84">
        <f>IF(I83&lt;=0,0,I83*$E$11/12)</f>
        <v/>
      </c>
      <c r="BG84">
        <f>IF(I83&lt;=0,0,MIN(I83+BF84,$F$11+BE84))</f>
        <v/>
      </c>
      <c r="BH84">
        <f>IF(I83&lt;=0,BE84,MAX(0,$F$11+BE84-I83-BF84))</f>
        <v/>
      </c>
      <c r="BI84">
        <f>IF(J83&lt;=0,0,J83*$E$12/12)</f>
        <v/>
      </c>
      <c r="BJ84">
        <f>IF(J83&lt;=0,0,MIN(J83+BI84,$F$12+BH84))</f>
        <v/>
      </c>
      <c r="BK84">
        <f>IF(J83&lt;=0,BH84,MAX(0,$F$12+BH84-J83-BI84))</f>
        <v/>
      </c>
      <c r="BL84">
        <f>IF(K83&lt;=0,0,K83*$E$13/12)</f>
        <v/>
      </c>
      <c r="BM84">
        <f>IF(K83&lt;=0,0,MIN(K83+BL84,$F$13+BK84))</f>
        <v/>
      </c>
      <c r="BN84">
        <f>IF(K83&lt;=0,BK84,MAX(0,$F$13+BK84-K83-BL84))</f>
        <v/>
      </c>
      <c r="BO84">
        <f>IF(L83&lt;=0,0,L83*$E$14/12)</f>
        <v/>
      </c>
      <c r="BP84">
        <f>IF(L83&lt;=0,0,MIN(L83+BO84,$F$14+BN84))</f>
        <v/>
      </c>
      <c r="BQ84">
        <f>IF(L83&lt;=0,BN84,MAX(0,$F$14+BN84-L83-BO84))</f>
        <v/>
      </c>
      <c r="BR84">
        <f>IF(M83&lt;=0,0,M83*$E$15/12)</f>
        <v/>
      </c>
      <c r="BS84">
        <f>IF(M83&lt;=0,0,MIN(M83+BR84,$F$15+BQ84))</f>
        <v/>
      </c>
      <c r="BT84">
        <f>IF(M83&lt;=0,BQ84,MAX(0,$F$15+BQ84-M83-BR84))</f>
        <v/>
      </c>
      <c r="BU84">
        <f>IF(N83&lt;=0,0,N83*$E$16/12)</f>
        <v/>
      </c>
      <c r="BV84">
        <f>IF(N83&lt;=0,0,MIN(N83+BU84,$F$16+BT84))</f>
        <v/>
      </c>
      <c r="BW84">
        <f>IF(N83&lt;=0,BT84,MAX(0,$F$16+BT84-N83-BU84))</f>
        <v/>
      </c>
      <c r="BX84">
        <f>IF(O83&lt;=0,0,O83*$E$17/12)</f>
        <v/>
      </c>
      <c r="BY84">
        <f>IF(O83&lt;=0,0,MIN(O83+BX84,$F$17+BW84))</f>
        <v/>
      </c>
      <c r="BZ84">
        <f>IF(O83&lt;=0,BW84,MAX(0,$F$17+BW84-O83-BX84))</f>
        <v/>
      </c>
      <c r="CA84">
        <f>IF(P83&lt;=0,0,P83*$E$18/12)</f>
        <v/>
      </c>
      <c r="CB84">
        <f>IF(P83&lt;=0,0,MIN(P83+CA84,$F$18+BZ84))</f>
        <v/>
      </c>
      <c r="CC84">
        <f>IF(P83&lt;=0,BZ84,MAX(0,$F$18+BZ84-P83-CA84))</f>
        <v/>
      </c>
      <c r="CD84">
        <f>IF(Q83&lt;=0,0,Q83*$E$19/12)</f>
        <v/>
      </c>
      <c r="CE84">
        <f>IF(Q83&lt;=0,0,MIN(Q83+CD84,$F$19+CC84))</f>
        <v/>
      </c>
      <c r="CF84">
        <f>IF(Q83&lt;=0,CC84,MAX(0,$F$19+CC84-Q83-CD84))</f>
        <v/>
      </c>
      <c r="CG84">
        <f>IF(R83&lt;=0,0,R83*$E$20/12)</f>
        <v/>
      </c>
      <c r="CH84">
        <f>IF(R83&lt;=0,0,MIN(R83+CG84,$F$20+CF84))</f>
        <v/>
      </c>
      <c r="CI84">
        <f>IF(R83&lt;=0,CF84,MAX(0,$F$20+CF84-R83-CG84))</f>
        <v/>
      </c>
      <c r="CJ84">
        <f>IF(S83&lt;=0,0,S83*$E$21/12)</f>
        <v/>
      </c>
      <c r="CK84">
        <f>IF(S83&lt;=0,0,MIN(S83+CJ84,$F$21+CI84))</f>
        <v/>
      </c>
      <c r="CL84">
        <f>IF(S83&lt;=0,CI84,MAX(0,$F$21+CI84-S83-CJ84))</f>
        <v/>
      </c>
      <c r="CM84">
        <f>IF(T83&lt;=0,0,T83*$E$22/12)</f>
        <v/>
      </c>
      <c r="CN84">
        <f>IF(T83&lt;=0,0,MIN(T83+CM84,$F$22+CL84))</f>
        <v/>
      </c>
      <c r="CO84">
        <f>IF(T83&lt;=0,CL84,MAX(0,$F$22+CL84-T83-CM84))</f>
        <v/>
      </c>
      <c r="CP84">
        <f>IF(U83&lt;=0,0,U83*$E$23/12)</f>
        <v/>
      </c>
      <c r="CQ84">
        <f>IF(U83&lt;=0,0,MIN(U83+CP84,$F$23+CO84))</f>
        <v/>
      </c>
      <c r="CR84">
        <f>IF(U83&lt;=0,CO84,MAX(0,$F$23+CO84-U83-CP84))</f>
        <v/>
      </c>
      <c r="CS84">
        <f>IF(V83&lt;=0,0,V83*$E$24/12)</f>
        <v/>
      </c>
      <c r="CT84">
        <f>IF(V83&lt;=0,0,MIN(V83+CS84,$F$24+CR84))</f>
        <v/>
      </c>
      <c r="CU84">
        <f>IF(V83&lt;=0,CR84,MAX(0,$F$24+CR84-V83-CS84))</f>
        <v/>
      </c>
    </row>
    <row r="85">
      <c r="B85" s="39" t="n">
        <v>59</v>
      </c>
      <c r="C85" s="13">
        <f>IF(C84&lt;=0,0,MAX(0,C84+AN85-AO85))</f>
        <v/>
      </c>
      <c r="D85" s="13">
        <f>IF(D84&lt;=0,0,MAX(0,D84+AQ85-AR85))</f>
        <v/>
      </c>
      <c r="E85" s="13">
        <f>IF(E84&lt;=0,0,MAX(0,E84+AT85-AU85))</f>
        <v/>
      </c>
      <c r="F85" s="13">
        <f>IF(F84&lt;=0,0,MAX(0,F84+AW85-AX85))</f>
        <v/>
      </c>
      <c r="G85" s="13">
        <f>IF(G84&lt;=0,0,MAX(0,G84+AZ85-BA85))</f>
        <v/>
      </c>
      <c r="H85" s="13">
        <f>IF(H84&lt;=0,0,MAX(0,H84+BC85-BD85))</f>
        <v/>
      </c>
      <c r="I85" s="13">
        <f>IF(I84&lt;=0,0,MAX(0,I84+BF85-BG85))</f>
        <v/>
      </c>
      <c r="J85" s="13">
        <f>IF(J84&lt;=0,0,MAX(0,J84+BI85-BJ85))</f>
        <v/>
      </c>
      <c r="K85" s="13">
        <f>IF(K84&lt;=0,0,MAX(0,K84+BL85-BM85))</f>
        <v/>
      </c>
      <c r="L85" s="13">
        <f>IF(L84&lt;=0,0,MAX(0,L84+BO85-BP85))</f>
        <v/>
      </c>
      <c r="M85" s="13">
        <f>IF(M84&lt;=0,0,MAX(0,M84+BR85-BS85))</f>
        <v/>
      </c>
      <c r="N85" s="13">
        <f>IF(N84&lt;=0,0,MAX(0,N84+BU85-BV85))</f>
        <v/>
      </c>
      <c r="O85" s="13">
        <f>IF(O84&lt;=0,0,MAX(0,O84+BX85-BY85))</f>
        <v/>
      </c>
      <c r="P85" s="13">
        <f>IF(P84&lt;=0,0,MAX(0,P84+CA85-CB85))</f>
        <v/>
      </c>
      <c r="Q85" s="13">
        <f>IF(Q84&lt;=0,0,MAX(0,Q84+CD85-CE85))</f>
        <v/>
      </c>
      <c r="R85" s="13">
        <f>IF(R84&lt;=0,0,MAX(0,R84+CG85-CH85))</f>
        <v/>
      </c>
      <c r="S85" s="13">
        <f>IF(S84&lt;=0,0,MAX(0,S84+CJ85-CK85))</f>
        <v/>
      </c>
      <c r="T85" s="13">
        <f>IF(T84&lt;=0,0,MAX(0,T84+CM85-CN85))</f>
        <v/>
      </c>
      <c r="U85" s="13">
        <f>IF(U84&lt;=0,0,MAX(0,U84+CP85-CQ85))</f>
        <v/>
      </c>
      <c r="V85" s="13">
        <f>IF(V84&lt;=0,0,MAX(0,V84+CS85-CT85))</f>
        <v/>
      </c>
      <c r="W85" s="13">
        <f>AO85+AR85+AU85+AX85+BA85+BD85+BG85+BJ85+BM85+BP85+BS85+BV85+BY85+CB85+CE85+CH85+CK85+CN85+CQ85+CT85</f>
        <v/>
      </c>
      <c r="X85" s="13">
        <f>AN85+AQ85+AT85+AW85+AZ85+BC85+BF85+BI85+BL85+BO85+BR85+BU85+BX85+CA85+CD85+CG85+CJ85+CM85+CP85+CS85</f>
        <v/>
      </c>
      <c r="Y85" s="27">
        <f>C85+D85+E85+F85+G85+H85+I85+J85+K85+L85+M85+N85+O85+P85+Q85+R85+S85+T85+U85+V85</f>
        <v/>
      </c>
      <c r="AN85">
        <f>IF(C84&lt;=0,0,C84*$E$5/12)</f>
        <v/>
      </c>
      <c r="AO85">
        <f>IF(C84&lt;=0,0,MIN(C84+AN85,$F$5+(Dashboard!$C$11+IF(C84&lt;=0,$F$5,0)+IF(D84&lt;=0,$F$6,0)+IF(E84&lt;=0,$F$7,0)+IF(F84&lt;=0,$F$8,0)+IF(G84&lt;=0,$F$9,0)+IF(H84&lt;=0,$F$10,0)+IF(I84&lt;=0,$F$11,0)+IF(J84&lt;=0,$F$12,0)+IF(K84&lt;=0,$F$13,0)+IF(L84&lt;=0,$F$14,0)+IF(M84&lt;=0,$F$15,0)+IF(N84&lt;=0,$F$16,0)+IF(O84&lt;=0,$F$17,0)+IF(P84&lt;=0,$F$18,0)+IF(Q84&lt;=0,$F$19,0)+IF(R84&lt;=0,$F$20,0)+IF(S84&lt;=0,$F$21,0)+IF(T84&lt;=0,$F$22,0)+IF(U84&lt;=0,$F$23,0)+IF(V84&lt;=0,$F$24,0))))</f>
        <v/>
      </c>
      <c r="AP85">
        <f>IF(C84&lt;=0,(Dashboard!$C$11+IF(C84&lt;=0,$F$5,0)+IF(D84&lt;=0,$F$6,0)+IF(E84&lt;=0,$F$7,0)+IF(F84&lt;=0,$F$8,0)+IF(G84&lt;=0,$F$9,0)+IF(H84&lt;=0,$F$10,0)+IF(I84&lt;=0,$F$11,0)+IF(J84&lt;=0,$F$12,0)+IF(K84&lt;=0,$F$13,0)+IF(L84&lt;=0,$F$14,0)+IF(M84&lt;=0,$F$15,0)+IF(N84&lt;=0,$F$16,0)+IF(O84&lt;=0,$F$17,0)+IF(P84&lt;=0,$F$18,0)+IF(Q84&lt;=0,$F$19,0)+IF(R84&lt;=0,$F$20,0)+IF(S84&lt;=0,$F$21,0)+IF(T84&lt;=0,$F$22,0)+IF(U84&lt;=0,$F$23,0)+IF(V84&lt;=0,$F$24,0)),MAX(0,$F$5+(Dashboard!$C$11+IF(C84&lt;=0,$F$5,0)+IF(D84&lt;=0,$F$6,0)+IF(E84&lt;=0,$F$7,0)+IF(F84&lt;=0,$F$8,0)+IF(G84&lt;=0,$F$9,0)+IF(H84&lt;=0,$F$10,0)+IF(I84&lt;=0,$F$11,0)+IF(J84&lt;=0,$F$12,0)+IF(K84&lt;=0,$F$13,0)+IF(L84&lt;=0,$F$14,0)+IF(M84&lt;=0,$F$15,0)+IF(N84&lt;=0,$F$16,0)+IF(O84&lt;=0,$F$17,0)+IF(P84&lt;=0,$F$18,0)+IF(Q84&lt;=0,$F$19,0)+IF(R84&lt;=0,$F$20,0)+IF(S84&lt;=0,$F$21,0)+IF(T84&lt;=0,$F$22,0)+IF(U84&lt;=0,$F$23,0)+IF(V84&lt;=0,$F$24,0))-C84-AN85))</f>
        <v/>
      </c>
      <c r="AQ85">
        <f>IF(D84&lt;=0,0,D84*$E$6/12)</f>
        <v/>
      </c>
      <c r="AR85">
        <f>IF(D84&lt;=0,0,MIN(D84+AQ85,$F$6+AP85))</f>
        <v/>
      </c>
      <c r="AS85">
        <f>IF(D84&lt;=0,AP85,MAX(0,$F$6+AP85-D84-AQ85))</f>
        <v/>
      </c>
      <c r="AT85">
        <f>IF(E84&lt;=0,0,E84*$E$7/12)</f>
        <v/>
      </c>
      <c r="AU85">
        <f>IF(E84&lt;=0,0,MIN(E84+AT85,$F$7+AS85))</f>
        <v/>
      </c>
      <c r="AV85">
        <f>IF(E84&lt;=0,AS85,MAX(0,$F$7+AS85-E84-AT85))</f>
        <v/>
      </c>
      <c r="AW85">
        <f>IF(F84&lt;=0,0,F84*$E$8/12)</f>
        <v/>
      </c>
      <c r="AX85">
        <f>IF(F84&lt;=0,0,MIN(F84+AW85,$F$8+AV85))</f>
        <v/>
      </c>
      <c r="AY85">
        <f>IF(F84&lt;=0,AV85,MAX(0,$F$8+AV85-F84-AW85))</f>
        <v/>
      </c>
      <c r="AZ85">
        <f>IF(G84&lt;=0,0,G84*$E$9/12)</f>
        <v/>
      </c>
      <c r="BA85">
        <f>IF(G84&lt;=0,0,MIN(G84+AZ85,$F$9+AY85))</f>
        <v/>
      </c>
      <c r="BB85">
        <f>IF(G84&lt;=0,AY85,MAX(0,$F$9+AY85-G84-AZ85))</f>
        <v/>
      </c>
      <c r="BC85">
        <f>IF(H84&lt;=0,0,H84*$E$10/12)</f>
        <v/>
      </c>
      <c r="BD85">
        <f>IF(H84&lt;=0,0,MIN(H84+BC85,$F$10+BB85))</f>
        <v/>
      </c>
      <c r="BE85">
        <f>IF(H84&lt;=0,BB85,MAX(0,$F$10+BB85-H84-BC85))</f>
        <v/>
      </c>
      <c r="BF85">
        <f>IF(I84&lt;=0,0,I84*$E$11/12)</f>
        <v/>
      </c>
      <c r="BG85">
        <f>IF(I84&lt;=0,0,MIN(I84+BF85,$F$11+BE85))</f>
        <v/>
      </c>
      <c r="BH85">
        <f>IF(I84&lt;=0,BE85,MAX(0,$F$11+BE85-I84-BF85))</f>
        <v/>
      </c>
      <c r="BI85">
        <f>IF(J84&lt;=0,0,J84*$E$12/12)</f>
        <v/>
      </c>
      <c r="BJ85">
        <f>IF(J84&lt;=0,0,MIN(J84+BI85,$F$12+BH85))</f>
        <v/>
      </c>
      <c r="BK85">
        <f>IF(J84&lt;=0,BH85,MAX(0,$F$12+BH85-J84-BI85))</f>
        <v/>
      </c>
      <c r="BL85">
        <f>IF(K84&lt;=0,0,K84*$E$13/12)</f>
        <v/>
      </c>
      <c r="BM85">
        <f>IF(K84&lt;=0,0,MIN(K84+BL85,$F$13+BK85))</f>
        <v/>
      </c>
      <c r="BN85">
        <f>IF(K84&lt;=0,BK85,MAX(0,$F$13+BK85-K84-BL85))</f>
        <v/>
      </c>
      <c r="BO85">
        <f>IF(L84&lt;=0,0,L84*$E$14/12)</f>
        <v/>
      </c>
      <c r="BP85">
        <f>IF(L84&lt;=0,0,MIN(L84+BO85,$F$14+BN85))</f>
        <v/>
      </c>
      <c r="BQ85">
        <f>IF(L84&lt;=0,BN85,MAX(0,$F$14+BN85-L84-BO85))</f>
        <v/>
      </c>
      <c r="BR85">
        <f>IF(M84&lt;=0,0,M84*$E$15/12)</f>
        <v/>
      </c>
      <c r="BS85">
        <f>IF(M84&lt;=0,0,MIN(M84+BR85,$F$15+BQ85))</f>
        <v/>
      </c>
      <c r="BT85">
        <f>IF(M84&lt;=0,BQ85,MAX(0,$F$15+BQ85-M84-BR85))</f>
        <v/>
      </c>
      <c r="BU85">
        <f>IF(N84&lt;=0,0,N84*$E$16/12)</f>
        <v/>
      </c>
      <c r="BV85">
        <f>IF(N84&lt;=0,0,MIN(N84+BU85,$F$16+BT85))</f>
        <v/>
      </c>
      <c r="BW85">
        <f>IF(N84&lt;=0,BT85,MAX(0,$F$16+BT85-N84-BU85))</f>
        <v/>
      </c>
      <c r="BX85">
        <f>IF(O84&lt;=0,0,O84*$E$17/12)</f>
        <v/>
      </c>
      <c r="BY85">
        <f>IF(O84&lt;=0,0,MIN(O84+BX85,$F$17+BW85))</f>
        <v/>
      </c>
      <c r="BZ85">
        <f>IF(O84&lt;=0,BW85,MAX(0,$F$17+BW85-O84-BX85))</f>
        <v/>
      </c>
      <c r="CA85">
        <f>IF(P84&lt;=0,0,P84*$E$18/12)</f>
        <v/>
      </c>
      <c r="CB85">
        <f>IF(P84&lt;=0,0,MIN(P84+CA85,$F$18+BZ85))</f>
        <v/>
      </c>
      <c r="CC85">
        <f>IF(P84&lt;=0,BZ85,MAX(0,$F$18+BZ85-P84-CA85))</f>
        <v/>
      </c>
      <c r="CD85">
        <f>IF(Q84&lt;=0,0,Q84*$E$19/12)</f>
        <v/>
      </c>
      <c r="CE85">
        <f>IF(Q84&lt;=0,0,MIN(Q84+CD85,$F$19+CC85))</f>
        <v/>
      </c>
      <c r="CF85">
        <f>IF(Q84&lt;=0,CC85,MAX(0,$F$19+CC85-Q84-CD85))</f>
        <v/>
      </c>
      <c r="CG85">
        <f>IF(R84&lt;=0,0,R84*$E$20/12)</f>
        <v/>
      </c>
      <c r="CH85">
        <f>IF(R84&lt;=0,0,MIN(R84+CG85,$F$20+CF85))</f>
        <v/>
      </c>
      <c r="CI85">
        <f>IF(R84&lt;=0,CF85,MAX(0,$F$20+CF85-R84-CG85))</f>
        <v/>
      </c>
      <c r="CJ85">
        <f>IF(S84&lt;=0,0,S84*$E$21/12)</f>
        <v/>
      </c>
      <c r="CK85">
        <f>IF(S84&lt;=0,0,MIN(S84+CJ85,$F$21+CI85))</f>
        <v/>
      </c>
      <c r="CL85">
        <f>IF(S84&lt;=0,CI85,MAX(0,$F$21+CI85-S84-CJ85))</f>
        <v/>
      </c>
      <c r="CM85">
        <f>IF(T84&lt;=0,0,T84*$E$22/12)</f>
        <v/>
      </c>
      <c r="CN85">
        <f>IF(T84&lt;=0,0,MIN(T84+CM85,$F$22+CL85))</f>
        <v/>
      </c>
      <c r="CO85">
        <f>IF(T84&lt;=0,CL85,MAX(0,$F$22+CL85-T84-CM85))</f>
        <v/>
      </c>
      <c r="CP85">
        <f>IF(U84&lt;=0,0,U84*$E$23/12)</f>
        <v/>
      </c>
      <c r="CQ85">
        <f>IF(U84&lt;=0,0,MIN(U84+CP85,$F$23+CO85))</f>
        <v/>
      </c>
      <c r="CR85">
        <f>IF(U84&lt;=0,CO85,MAX(0,$F$23+CO85-U84-CP85))</f>
        <v/>
      </c>
      <c r="CS85">
        <f>IF(V84&lt;=0,0,V84*$E$24/12)</f>
        <v/>
      </c>
      <c r="CT85">
        <f>IF(V84&lt;=0,0,MIN(V84+CS85,$F$24+CR85))</f>
        <v/>
      </c>
      <c r="CU85">
        <f>IF(V84&lt;=0,CR85,MAX(0,$F$24+CR85-V84-CS85))</f>
        <v/>
      </c>
    </row>
    <row r="86">
      <c r="B86" s="39" t="n">
        <v>60</v>
      </c>
      <c r="C86" s="13">
        <f>IF(C85&lt;=0,0,MAX(0,C85+AN86-AO86))</f>
        <v/>
      </c>
      <c r="D86" s="13">
        <f>IF(D85&lt;=0,0,MAX(0,D85+AQ86-AR86))</f>
        <v/>
      </c>
      <c r="E86" s="13">
        <f>IF(E85&lt;=0,0,MAX(0,E85+AT86-AU86))</f>
        <v/>
      </c>
      <c r="F86" s="13">
        <f>IF(F85&lt;=0,0,MAX(0,F85+AW86-AX86))</f>
        <v/>
      </c>
      <c r="G86" s="13">
        <f>IF(G85&lt;=0,0,MAX(0,G85+AZ86-BA86))</f>
        <v/>
      </c>
      <c r="H86" s="13">
        <f>IF(H85&lt;=0,0,MAX(0,H85+BC86-BD86))</f>
        <v/>
      </c>
      <c r="I86" s="13">
        <f>IF(I85&lt;=0,0,MAX(0,I85+BF86-BG86))</f>
        <v/>
      </c>
      <c r="J86" s="13">
        <f>IF(J85&lt;=0,0,MAX(0,J85+BI86-BJ86))</f>
        <v/>
      </c>
      <c r="K86" s="13">
        <f>IF(K85&lt;=0,0,MAX(0,K85+BL86-BM86))</f>
        <v/>
      </c>
      <c r="L86" s="13">
        <f>IF(L85&lt;=0,0,MAX(0,L85+BO86-BP86))</f>
        <v/>
      </c>
      <c r="M86" s="13">
        <f>IF(M85&lt;=0,0,MAX(0,M85+BR86-BS86))</f>
        <v/>
      </c>
      <c r="N86" s="13">
        <f>IF(N85&lt;=0,0,MAX(0,N85+BU86-BV86))</f>
        <v/>
      </c>
      <c r="O86" s="13">
        <f>IF(O85&lt;=0,0,MAX(0,O85+BX86-BY86))</f>
        <v/>
      </c>
      <c r="P86" s="13">
        <f>IF(P85&lt;=0,0,MAX(0,P85+CA86-CB86))</f>
        <v/>
      </c>
      <c r="Q86" s="13">
        <f>IF(Q85&lt;=0,0,MAX(0,Q85+CD86-CE86))</f>
        <v/>
      </c>
      <c r="R86" s="13">
        <f>IF(R85&lt;=0,0,MAX(0,R85+CG86-CH86))</f>
        <v/>
      </c>
      <c r="S86" s="13">
        <f>IF(S85&lt;=0,0,MAX(0,S85+CJ86-CK86))</f>
        <v/>
      </c>
      <c r="T86" s="13">
        <f>IF(T85&lt;=0,0,MAX(0,T85+CM86-CN86))</f>
        <v/>
      </c>
      <c r="U86" s="13">
        <f>IF(U85&lt;=0,0,MAX(0,U85+CP86-CQ86))</f>
        <v/>
      </c>
      <c r="V86" s="13">
        <f>IF(V85&lt;=0,0,MAX(0,V85+CS86-CT86))</f>
        <v/>
      </c>
      <c r="W86" s="13">
        <f>AO86+AR86+AU86+AX86+BA86+BD86+BG86+BJ86+BM86+BP86+BS86+BV86+BY86+CB86+CE86+CH86+CK86+CN86+CQ86+CT86</f>
        <v/>
      </c>
      <c r="X86" s="13">
        <f>AN86+AQ86+AT86+AW86+AZ86+BC86+BF86+BI86+BL86+BO86+BR86+BU86+BX86+CA86+CD86+CG86+CJ86+CM86+CP86+CS86</f>
        <v/>
      </c>
      <c r="Y86" s="27">
        <f>C86+D86+E86+F86+G86+H86+I86+J86+K86+L86+M86+N86+O86+P86+Q86+R86+S86+T86+U86+V86</f>
        <v/>
      </c>
      <c r="AN86">
        <f>IF(C85&lt;=0,0,C85*$E$5/12)</f>
        <v/>
      </c>
      <c r="AO86">
        <f>IF(C85&lt;=0,0,MIN(C85+AN86,$F$5+(Dashboard!$C$11+IF(C85&lt;=0,$F$5,0)+IF(D85&lt;=0,$F$6,0)+IF(E85&lt;=0,$F$7,0)+IF(F85&lt;=0,$F$8,0)+IF(G85&lt;=0,$F$9,0)+IF(H85&lt;=0,$F$10,0)+IF(I85&lt;=0,$F$11,0)+IF(J85&lt;=0,$F$12,0)+IF(K85&lt;=0,$F$13,0)+IF(L85&lt;=0,$F$14,0)+IF(M85&lt;=0,$F$15,0)+IF(N85&lt;=0,$F$16,0)+IF(O85&lt;=0,$F$17,0)+IF(P85&lt;=0,$F$18,0)+IF(Q85&lt;=0,$F$19,0)+IF(R85&lt;=0,$F$20,0)+IF(S85&lt;=0,$F$21,0)+IF(T85&lt;=0,$F$22,0)+IF(U85&lt;=0,$F$23,0)+IF(V85&lt;=0,$F$24,0))))</f>
        <v/>
      </c>
      <c r="AP86">
        <f>IF(C85&lt;=0,(Dashboard!$C$11+IF(C85&lt;=0,$F$5,0)+IF(D85&lt;=0,$F$6,0)+IF(E85&lt;=0,$F$7,0)+IF(F85&lt;=0,$F$8,0)+IF(G85&lt;=0,$F$9,0)+IF(H85&lt;=0,$F$10,0)+IF(I85&lt;=0,$F$11,0)+IF(J85&lt;=0,$F$12,0)+IF(K85&lt;=0,$F$13,0)+IF(L85&lt;=0,$F$14,0)+IF(M85&lt;=0,$F$15,0)+IF(N85&lt;=0,$F$16,0)+IF(O85&lt;=0,$F$17,0)+IF(P85&lt;=0,$F$18,0)+IF(Q85&lt;=0,$F$19,0)+IF(R85&lt;=0,$F$20,0)+IF(S85&lt;=0,$F$21,0)+IF(T85&lt;=0,$F$22,0)+IF(U85&lt;=0,$F$23,0)+IF(V85&lt;=0,$F$24,0)),MAX(0,$F$5+(Dashboard!$C$11+IF(C85&lt;=0,$F$5,0)+IF(D85&lt;=0,$F$6,0)+IF(E85&lt;=0,$F$7,0)+IF(F85&lt;=0,$F$8,0)+IF(G85&lt;=0,$F$9,0)+IF(H85&lt;=0,$F$10,0)+IF(I85&lt;=0,$F$11,0)+IF(J85&lt;=0,$F$12,0)+IF(K85&lt;=0,$F$13,0)+IF(L85&lt;=0,$F$14,0)+IF(M85&lt;=0,$F$15,0)+IF(N85&lt;=0,$F$16,0)+IF(O85&lt;=0,$F$17,0)+IF(P85&lt;=0,$F$18,0)+IF(Q85&lt;=0,$F$19,0)+IF(R85&lt;=0,$F$20,0)+IF(S85&lt;=0,$F$21,0)+IF(T85&lt;=0,$F$22,0)+IF(U85&lt;=0,$F$23,0)+IF(V85&lt;=0,$F$24,0))-C85-AN86))</f>
        <v/>
      </c>
      <c r="AQ86">
        <f>IF(D85&lt;=0,0,D85*$E$6/12)</f>
        <v/>
      </c>
      <c r="AR86">
        <f>IF(D85&lt;=0,0,MIN(D85+AQ86,$F$6+AP86))</f>
        <v/>
      </c>
      <c r="AS86">
        <f>IF(D85&lt;=0,AP86,MAX(0,$F$6+AP86-D85-AQ86))</f>
        <v/>
      </c>
      <c r="AT86">
        <f>IF(E85&lt;=0,0,E85*$E$7/12)</f>
        <v/>
      </c>
      <c r="AU86">
        <f>IF(E85&lt;=0,0,MIN(E85+AT86,$F$7+AS86))</f>
        <v/>
      </c>
      <c r="AV86">
        <f>IF(E85&lt;=0,AS86,MAX(0,$F$7+AS86-E85-AT86))</f>
        <v/>
      </c>
      <c r="AW86">
        <f>IF(F85&lt;=0,0,F85*$E$8/12)</f>
        <v/>
      </c>
      <c r="AX86">
        <f>IF(F85&lt;=0,0,MIN(F85+AW86,$F$8+AV86))</f>
        <v/>
      </c>
      <c r="AY86">
        <f>IF(F85&lt;=0,AV86,MAX(0,$F$8+AV86-F85-AW86))</f>
        <v/>
      </c>
      <c r="AZ86">
        <f>IF(G85&lt;=0,0,G85*$E$9/12)</f>
        <v/>
      </c>
      <c r="BA86">
        <f>IF(G85&lt;=0,0,MIN(G85+AZ86,$F$9+AY86))</f>
        <v/>
      </c>
      <c r="BB86">
        <f>IF(G85&lt;=0,AY86,MAX(0,$F$9+AY86-G85-AZ86))</f>
        <v/>
      </c>
      <c r="BC86">
        <f>IF(H85&lt;=0,0,H85*$E$10/12)</f>
        <v/>
      </c>
      <c r="BD86">
        <f>IF(H85&lt;=0,0,MIN(H85+BC86,$F$10+BB86))</f>
        <v/>
      </c>
      <c r="BE86">
        <f>IF(H85&lt;=0,BB86,MAX(0,$F$10+BB86-H85-BC86))</f>
        <v/>
      </c>
      <c r="BF86">
        <f>IF(I85&lt;=0,0,I85*$E$11/12)</f>
        <v/>
      </c>
      <c r="BG86">
        <f>IF(I85&lt;=0,0,MIN(I85+BF86,$F$11+BE86))</f>
        <v/>
      </c>
      <c r="BH86">
        <f>IF(I85&lt;=0,BE86,MAX(0,$F$11+BE86-I85-BF86))</f>
        <v/>
      </c>
      <c r="BI86">
        <f>IF(J85&lt;=0,0,J85*$E$12/12)</f>
        <v/>
      </c>
      <c r="BJ86">
        <f>IF(J85&lt;=0,0,MIN(J85+BI86,$F$12+BH86))</f>
        <v/>
      </c>
      <c r="BK86">
        <f>IF(J85&lt;=0,BH86,MAX(0,$F$12+BH86-J85-BI86))</f>
        <v/>
      </c>
      <c r="BL86">
        <f>IF(K85&lt;=0,0,K85*$E$13/12)</f>
        <v/>
      </c>
      <c r="BM86">
        <f>IF(K85&lt;=0,0,MIN(K85+BL86,$F$13+BK86))</f>
        <v/>
      </c>
      <c r="BN86">
        <f>IF(K85&lt;=0,BK86,MAX(0,$F$13+BK86-K85-BL86))</f>
        <v/>
      </c>
      <c r="BO86">
        <f>IF(L85&lt;=0,0,L85*$E$14/12)</f>
        <v/>
      </c>
      <c r="BP86">
        <f>IF(L85&lt;=0,0,MIN(L85+BO86,$F$14+BN86))</f>
        <v/>
      </c>
      <c r="BQ86">
        <f>IF(L85&lt;=0,BN86,MAX(0,$F$14+BN86-L85-BO86))</f>
        <v/>
      </c>
      <c r="BR86">
        <f>IF(M85&lt;=0,0,M85*$E$15/12)</f>
        <v/>
      </c>
      <c r="BS86">
        <f>IF(M85&lt;=0,0,MIN(M85+BR86,$F$15+BQ86))</f>
        <v/>
      </c>
      <c r="BT86">
        <f>IF(M85&lt;=0,BQ86,MAX(0,$F$15+BQ86-M85-BR86))</f>
        <v/>
      </c>
      <c r="BU86">
        <f>IF(N85&lt;=0,0,N85*$E$16/12)</f>
        <v/>
      </c>
      <c r="BV86">
        <f>IF(N85&lt;=0,0,MIN(N85+BU86,$F$16+BT86))</f>
        <v/>
      </c>
      <c r="BW86">
        <f>IF(N85&lt;=0,BT86,MAX(0,$F$16+BT86-N85-BU86))</f>
        <v/>
      </c>
      <c r="BX86">
        <f>IF(O85&lt;=0,0,O85*$E$17/12)</f>
        <v/>
      </c>
      <c r="BY86">
        <f>IF(O85&lt;=0,0,MIN(O85+BX86,$F$17+BW86))</f>
        <v/>
      </c>
      <c r="BZ86">
        <f>IF(O85&lt;=0,BW86,MAX(0,$F$17+BW86-O85-BX86))</f>
        <v/>
      </c>
      <c r="CA86">
        <f>IF(P85&lt;=0,0,P85*$E$18/12)</f>
        <v/>
      </c>
      <c r="CB86">
        <f>IF(P85&lt;=0,0,MIN(P85+CA86,$F$18+BZ86))</f>
        <v/>
      </c>
      <c r="CC86">
        <f>IF(P85&lt;=0,BZ86,MAX(0,$F$18+BZ86-P85-CA86))</f>
        <v/>
      </c>
      <c r="CD86">
        <f>IF(Q85&lt;=0,0,Q85*$E$19/12)</f>
        <v/>
      </c>
      <c r="CE86">
        <f>IF(Q85&lt;=0,0,MIN(Q85+CD86,$F$19+CC86))</f>
        <v/>
      </c>
      <c r="CF86">
        <f>IF(Q85&lt;=0,CC86,MAX(0,$F$19+CC86-Q85-CD86))</f>
        <v/>
      </c>
      <c r="CG86">
        <f>IF(R85&lt;=0,0,R85*$E$20/12)</f>
        <v/>
      </c>
      <c r="CH86">
        <f>IF(R85&lt;=0,0,MIN(R85+CG86,$F$20+CF86))</f>
        <v/>
      </c>
      <c r="CI86">
        <f>IF(R85&lt;=0,CF86,MAX(0,$F$20+CF86-R85-CG86))</f>
        <v/>
      </c>
      <c r="CJ86">
        <f>IF(S85&lt;=0,0,S85*$E$21/12)</f>
        <v/>
      </c>
      <c r="CK86">
        <f>IF(S85&lt;=0,0,MIN(S85+CJ86,$F$21+CI86))</f>
        <v/>
      </c>
      <c r="CL86">
        <f>IF(S85&lt;=0,CI86,MAX(0,$F$21+CI86-S85-CJ86))</f>
        <v/>
      </c>
      <c r="CM86">
        <f>IF(T85&lt;=0,0,T85*$E$22/12)</f>
        <v/>
      </c>
      <c r="CN86">
        <f>IF(T85&lt;=0,0,MIN(T85+CM86,$F$22+CL86))</f>
        <v/>
      </c>
      <c r="CO86">
        <f>IF(T85&lt;=0,CL86,MAX(0,$F$22+CL86-T85-CM86))</f>
        <v/>
      </c>
      <c r="CP86">
        <f>IF(U85&lt;=0,0,U85*$E$23/12)</f>
        <v/>
      </c>
      <c r="CQ86">
        <f>IF(U85&lt;=0,0,MIN(U85+CP86,$F$23+CO86))</f>
        <v/>
      </c>
      <c r="CR86">
        <f>IF(U85&lt;=0,CO86,MAX(0,$F$23+CO86-U85-CP86))</f>
        <v/>
      </c>
      <c r="CS86">
        <f>IF(V85&lt;=0,0,V85*$E$24/12)</f>
        <v/>
      </c>
      <c r="CT86">
        <f>IF(V85&lt;=0,0,MIN(V85+CS86,$F$24+CR86))</f>
        <v/>
      </c>
      <c r="CU86">
        <f>IF(V85&lt;=0,CR86,MAX(0,$F$24+CR86-V85-CS86))</f>
        <v/>
      </c>
    </row>
    <row r="87">
      <c r="B87" s="39" t="n">
        <v>61</v>
      </c>
      <c r="C87" s="13">
        <f>IF(C86&lt;=0,0,MAX(0,C86+AN87-AO87))</f>
        <v/>
      </c>
      <c r="D87" s="13">
        <f>IF(D86&lt;=0,0,MAX(0,D86+AQ87-AR87))</f>
        <v/>
      </c>
      <c r="E87" s="13">
        <f>IF(E86&lt;=0,0,MAX(0,E86+AT87-AU87))</f>
        <v/>
      </c>
      <c r="F87" s="13">
        <f>IF(F86&lt;=0,0,MAX(0,F86+AW87-AX87))</f>
        <v/>
      </c>
      <c r="G87" s="13">
        <f>IF(G86&lt;=0,0,MAX(0,G86+AZ87-BA87))</f>
        <v/>
      </c>
      <c r="H87" s="13">
        <f>IF(H86&lt;=0,0,MAX(0,H86+BC87-BD87))</f>
        <v/>
      </c>
      <c r="I87" s="13">
        <f>IF(I86&lt;=0,0,MAX(0,I86+BF87-BG87))</f>
        <v/>
      </c>
      <c r="J87" s="13">
        <f>IF(J86&lt;=0,0,MAX(0,J86+BI87-BJ87))</f>
        <v/>
      </c>
      <c r="K87" s="13">
        <f>IF(K86&lt;=0,0,MAX(0,K86+BL87-BM87))</f>
        <v/>
      </c>
      <c r="L87" s="13">
        <f>IF(L86&lt;=0,0,MAX(0,L86+BO87-BP87))</f>
        <v/>
      </c>
      <c r="M87" s="13">
        <f>IF(M86&lt;=0,0,MAX(0,M86+BR87-BS87))</f>
        <v/>
      </c>
      <c r="N87" s="13">
        <f>IF(N86&lt;=0,0,MAX(0,N86+BU87-BV87))</f>
        <v/>
      </c>
      <c r="O87" s="13">
        <f>IF(O86&lt;=0,0,MAX(0,O86+BX87-BY87))</f>
        <v/>
      </c>
      <c r="P87" s="13">
        <f>IF(P86&lt;=0,0,MAX(0,P86+CA87-CB87))</f>
        <v/>
      </c>
      <c r="Q87" s="13">
        <f>IF(Q86&lt;=0,0,MAX(0,Q86+CD87-CE87))</f>
        <v/>
      </c>
      <c r="R87" s="13">
        <f>IF(R86&lt;=0,0,MAX(0,R86+CG87-CH87))</f>
        <v/>
      </c>
      <c r="S87" s="13">
        <f>IF(S86&lt;=0,0,MAX(0,S86+CJ87-CK87))</f>
        <v/>
      </c>
      <c r="T87" s="13">
        <f>IF(T86&lt;=0,0,MAX(0,T86+CM87-CN87))</f>
        <v/>
      </c>
      <c r="U87" s="13">
        <f>IF(U86&lt;=0,0,MAX(0,U86+CP87-CQ87))</f>
        <v/>
      </c>
      <c r="V87" s="13">
        <f>IF(V86&lt;=0,0,MAX(0,V86+CS87-CT87))</f>
        <v/>
      </c>
      <c r="W87" s="13">
        <f>AO87+AR87+AU87+AX87+BA87+BD87+BG87+BJ87+BM87+BP87+BS87+BV87+BY87+CB87+CE87+CH87+CK87+CN87+CQ87+CT87</f>
        <v/>
      </c>
      <c r="X87" s="13">
        <f>AN87+AQ87+AT87+AW87+AZ87+BC87+BF87+BI87+BL87+BO87+BR87+BU87+BX87+CA87+CD87+CG87+CJ87+CM87+CP87+CS87</f>
        <v/>
      </c>
      <c r="Y87" s="27">
        <f>C87+D87+E87+F87+G87+H87+I87+J87+K87+L87+M87+N87+O87+P87+Q87+R87+S87+T87+U87+V87</f>
        <v/>
      </c>
      <c r="AN87">
        <f>IF(C86&lt;=0,0,C86*$E$5/12)</f>
        <v/>
      </c>
      <c r="AO87">
        <f>IF(C86&lt;=0,0,MIN(C86+AN87,$F$5+(Dashboard!$C$11+IF(C86&lt;=0,$F$5,0)+IF(D86&lt;=0,$F$6,0)+IF(E86&lt;=0,$F$7,0)+IF(F86&lt;=0,$F$8,0)+IF(G86&lt;=0,$F$9,0)+IF(H86&lt;=0,$F$10,0)+IF(I86&lt;=0,$F$11,0)+IF(J86&lt;=0,$F$12,0)+IF(K86&lt;=0,$F$13,0)+IF(L86&lt;=0,$F$14,0)+IF(M86&lt;=0,$F$15,0)+IF(N86&lt;=0,$F$16,0)+IF(O86&lt;=0,$F$17,0)+IF(P86&lt;=0,$F$18,0)+IF(Q86&lt;=0,$F$19,0)+IF(R86&lt;=0,$F$20,0)+IF(S86&lt;=0,$F$21,0)+IF(T86&lt;=0,$F$22,0)+IF(U86&lt;=0,$F$23,0)+IF(V86&lt;=0,$F$24,0))))</f>
        <v/>
      </c>
      <c r="AP87">
        <f>IF(C86&lt;=0,(Dashboard!$C$11+IF(C86&lt;=0,$F$5,0)+IF(D86&lt;=0,$F$6,0)+IF(E86&lt;=0,$F$7,0)+IF(F86&lt;=0,$F$8,0)+IF(G86&lt;=0,$F$9,0)+IF(H86&lt;=0,$F$10,0)+IF(I86&lt;=0,$F$11,0)+IF(J86&lt;=0,$F$12,0)+IF(K86&lt;=0,$F$13,0)+IF(L86&lt;=0,$F$14,0)+IF(M86&lt;=0,$F$15,0)+IF(N86&lt;=0,$F$16,0)+IF(O86&lt;=0,$F$17,0)+IF(P86&lt;=0,$F$18,0)+IF(Q86&lt;=0,$F$19,0)+IF(R86&lt;=0,$F$20,0)+IF(S86&lt;=0,$F$21,0)+IF(T86&lt;=0,$F$22,0)+IF(U86&lt;=0,$F$23,0)+IF(V86&lt;=0,$F$24,0)),MAX(0,$F$5+(Dashboard!$C$11+IF(C86&lt;=0,$F$5,0)+IF(D86&lt;=0,$F$6,0)+IF(E86&lt;=0,$F$7,0)+IF(F86&lt;=0,$F$8,0)+IF(G86&lt;=0,$F$9,0)+IF(H86&lt;=0,$F$10,0)+IF(I86&lt;=0,$F$11,0)+IF(J86&lt;=0,$F$12,0)+IF(K86&lt;=0,$F$13,0)+IF(L86&lt;=0,$F$14,0)+IF(M86&lt;=0,$F$15,0)+IF(N86&lt;=0,$F$16,0)+IF(O86&lt;=0,$F$17,0)+IF(P86&lt;=0,$F$18,0)+IF(Q86&lt;=0,$F$19,0)+IF(R86&lt;=0,$F$20,0)+IF(S86&lt;=0,$F$21,0)+IF(T86&lt;=0,$F$22,0)+IF(U86&lt;=0,$F$23,0)+IF(V86&lt;=0,$F$24,0))-C86-AN87))</f>
        <v/>
      </c>
      <c r="AQ87">
        <f>IF(D86&lt;=0,0,D86*$E$6/12)</f>
        <v/>
      </c>
      <c r="AR87">
        <f>IF(D86&lt;=0,0,MIN(D86+AQ87,$F$6+AP87))</f>
        <v/>
      </c>
      <c r="AS87">
        <f>IF(D86&lt;=0,AP87,MAX(0,$F$6+AP87-D86-AQ87))</f>
        <v/>
      </c>
      <c r="AT87">
        <f>IF(E86&lt;=0,0,E86*$E$7/12)</f>
        <v/>
      </c>
      <c r="AU87">
        <f>IF(E86&lt;=0,0,MIN(E86+AT87,$F$7+AS87))</f>
        <v/>
      </c>
      <c r="AV87">
        <f>IF(E86&lt;=0,AS87,MAX(0,$F$7+AS87-E86-AT87))</f>
        <v/>
      </c>
      <c r="AW87">
        <f>IF(F86&lt;=0,0,F86*$E$8/12)</f>
        <v/>
      </c>
      <c r="AX87">
        <f>IF(F86&lt;=0,0,MIN(F86+AW87,$F$8+AV87))</f>
        <v/>
      </c>
      <c r="AY87">
        <f>IF(F86&lt;=0,AV87,MAX(0,$F$8+AV87-F86-AW87))</f>
        <v/>
      </c>
      <c r="AZ87">
        <f>IF(G86&lt;=0,0,G86*$E$9/12)</f>
        <v/>
      </c>
      <c r="BA87">
        <f>IF(G86&lt;=0,0,MIN(G86+AZ87,$F$9+AY87))</f>
        <v/>
      </c>
      <c r="BB87">
        <f>IF(G86&lt;=0,AY87,MAX(0,$F$9+AY87-G86-AZ87))</f>
        <v/>
      </c>
      <c r="BC87">
        <f>IF(H86&lt;=0,0,H86*$E$10/12)</f>
        <v/>
      </c>
      <c r="BD87">
        <f>IF(H86&lt;=0,0,MIN(H86+BC87,$F$10+BB87))</f>
        <v/>
      </c>
      <c r="BE87">
        <f>IF(H86&lt;=0,BB87,MAX(0,$F$10+BB87-H86-BC87))</f>
        <v/>
      </c>
      <c r="BF87">
        <f>IF(I86&lt;=0,0,I86*$E$11/12)</f>
        <v/>
      </c>
      <c r="BG87">
        <f>IF(I86&lt;=0,0,MIN(I86+BF87,$F$11+BE87))</f>
        <v/>
      </c>
      <c r="BH87">
        <f>IF(I86&lt;=0,BE87,MAX(0,$F$11+BE87-I86-BF87))</f>
        <v/>
      </c>
      <c r="BI87">
        <f>IF(J86&lt;=0,0,J86*$E$12/12)</f>
        <v/>
      </c>
      <c r="BJ87">
        <f>IF(J86&lt;=0,0,MIN(J86+BI87,$F$12+BH87))</f>
        <v/>
      </c>
      <c r="BK87">
        <f>IF(J86&lt;=0,BH87,MAX(0,$F$12+BH87-J86-BI87))</f>
        <v/>
      </c>
      <c r="BL87">
        <f>IF(K86&lt;=0,0,K86*$E$13/12)</f>
        <v/>
      </c>
      <c r="BM87">
        <f>IF(K86&lt;=0,0,MIN(K86+BL87,$F$13+BK87))</f>
        <v/>
      </c>
      <c r="BN87">
        <f>IF(K86&lt;=0,BK87,MAX(0,$F$13+BK87-K86-BL87))</f>
        <v/>
      </c>
      <c r="BO87">
        <f>IF(L86&lt;=0,0,L86*$E$14/12)</f>
        <v/>
      </c>
      <c r="BP87">
        <f>IF(L86&lt;=0,0,MIN(L86+BO87,$F$14+BN87))</f>
        <v/>
      </c>
      <c r="BQ87">
        <f>IF(L86&lt;=0,BN87,MAX(0,$F$14+BN87-L86-BO87))</f>
        <v/>
      </c>
      <c r="BR87">
        <f>IF(M86&lt;=0,0,M86*$E$15/12)</f>
        <v/>
      </c>
      <c r="BS87">
        <f>IF(M86&lt;=0,0,MIN(M86+BR87,$F$15+BQ87))</f>
        <v/>
      </c>
      <c r="BT87">
        <f>IF(M86&lt;=0,BQ87,MAX(0,$F$15+BQ87-M86-BR87))</f>
        <v/>
      </c>
      <c r="BU87">
        <f>IF(N86&lt;=0,0,N86*$E$16/12)</f>
        <v/>
      </c>
      <c r="BV87">
        <f>IF(N86&lt;=0,0,MIN(N86+BU87,$F$16+BT87))</f>
        <v/>
      </c>
      <c r="BW87">
        <f>IF(N86&lt;=0,BT87,MAX(0,$F$16+BT87-N86-BU87))</f>
        <v/>
      </c>
      <c r="BX87">
        <f>IF(O86&lt;=0,0,O86*$E$17/12)</f>
        <v/>
      </c>
      <c r="BY87">
        <f>IF(O86&lt;=0,0,MIN(O86+BX87,$F$17+BW87))</f>
        <v/>
      </c>
      <c r="BZ87">
        <f>IF(O86&lt;=0,BW87,MAX(0,$F$17+BW87-O86-BX87))</f>
        <v/>
      </c>
      <c r="CA87">
        <f>IF(P86&lt;=0,0,P86*$E$18/12)</f>
        <v/>
      </c>
      <c r="CB87">
        <f>IF(P86&lt;=0,0,MIN(P86+CA87,$F$18+BZ87))</f>
        <v/>
      </c>
      <c r="CC87">
        <f>IF(P86&lt;=0,BZ87,MAX(0,$F$18+BZ87-P86-CA87))</f>
        <v/>
      </c>
      <c r="CD87">
        <f>IF(Q86&lt;=0,0,Q86*$E$19/12)</f>
        <v/>
      </c>
      <c r="CE87">
        <f>IF(Q86&lt;=0,0,MIN(Q86+CD87,$F$19+CC87))</f>
        <v/>
      </c>
      <c r="CF87">
        <f>IF(Q86&lt;=0,CC87,MAX(0,$F$19+CC87-Q86-CD87))</f>
        <v/>
      </c>
      <c r="CG87">
        <f>IF(R86&lt;=0,0,R86*$E$20/12)</f>
        <v/>
      </c>
      <c r="CH87">
        <f>IF(R86&lt;=0,0,MIN(R86+CG87,$F$20+CF87))</f>
        <v/>
      </c>
      <c r="CI87">
        <f>IF(R86&lt;=0,CF87,MAX(0,$F$20+CF87-R86-CG87))</f>
        <v/>
      </c>
      <c r="CJ87">
        <f>IF(S86&lt;=0,0,S86*$E$21/12)</f>
        <v/>
      </c>
      <c r="CK87">
        <f>IF(S86&lt;=0,0,MIN(S86+CJ87,$F$21+CI87))</f>
        <v/>
      </c>
      <c r="CL87">
        <f>IF(S86&lt;=0,CI87,MAX(0,$F$21+CI87-S86-CJ87))</f>
        <v/>
      </c>
      <c r="CM87">
        <f>IF(T86&lt;=0,0,T86*$E$22/12)</f>
        <v/>
      </c>
      <c r="CN87">
        <f>IF(T86&lt;=0,0,MIN(T86+CM87,$F$22+CL87))</f>
        <v/>
      </c>
      <c r="CO87">
        <f>IF(T86&lt;=0,CL87,MAX(0,$F$22+CL87-T86-CM87))</f>
        <v/>
      </c>
      <c r="CP87">
        <f>IF(U86&lt;=0,0,U86*$E$23/12)</f>
        <v/>
      </c>
      <c r="CQ87">
        <f>IF(U86&lt;=0,0,MIN(U86+CP87,$F$23+CO87))</f>
        <v/>
      </c>
      <c r="CR87">
        <f>IF(U86&lt;=0,CO87,MAX(0,$F$23+CO87-U86-CP87))</f>
        <v/>
      </c>
      <c r="CS87">
        <f>IF(V86&lt;=0,0,V86*$E$24/12)</f>
        <v/>
      </c>
      <c r="CT87">
        <f>IF(V86&lt;=0,0,MIN(V86+CS87,$F$24+CR87))</f>
        <v/>
      </c>
      <c r="CU87">
        <f>IF(V86&lt;=0,CR87,MAX(0,$F$24+CR87-V86-CS87))</f>
        <v/>
      </c>
    </row>
    <row r="88">
      <c r="B88" s="39" t="n">
        <v>62</v>
      </c>
      <c r="C88" s="13">
        <f>IF(C87&lt;=0,0,MAX(0,C87+AN88-AO88))</f>
        <v/>
      </c>
      <c r="D88" s="13">
        <f>IF(D87&lt;=0,0,MAX(0,D87+AQ88-AR88))</f>
        <v/>
      </c>
      <c r="E88" s="13">
        <f>IF(E87&lt;=0,0,MAX(0,E87+AT88-AU88))</f>
        <v/>
      </c>
      <c r="F88" s="13">
        <f>IF(F87&lt;=0,0,MAX(0,F87+AW88-AX88))</f>
        <v/>
      </c>
      <c r="G88" s="13">
        <f>IF(G87&lt;=0,0,MAX(0,G87+AZ88-BA88))</f>
        <v/>
      </c>
      <c r="H88" s="13">
        <f>IF(H87&lt;=0,0,MAX(0,H87+BC88-BD88))</f>
        <v/>
      </c>
      <c r="I88" s="13">
        <f>IF(I87&lt;=0,0,MAX(0,I87+BF88-BG88))</f>
        <v/>
      </c>
      <c r="J88" s="13">
        <f>IF(J87&lt;=0,0,MAX(0,J87+BI88-BJ88))</f>
        <v/>
      </c>
      <c r="K88" s="13">
        <f>IF(K87&lt;=0,0,MAX(0,K87+BL88-BM88))</f>
        <v/>
      </c>
      <c r="L88" s="13">
        <f>IF(L87&lt;=0,0,MAX(0,L87+BO88-BP88))</f>
        <v/>
      </c>
      <c r="M88" s="13">
        <f>IF(M87&lt;=0,0,MAX(0,M87+BR88-BS88))</f>
        <v/>
      </c>
      <c r="N88" s="13">
        <f>IF(N87&lt;=0,0,MAX(0,N87+BU88-BV88))</f>
        <v/>
      </c>
      <c r="O88" s="13">
        <f>IF(O87&lt;=0,0,MAX(0,O87+BX88-BY88))</f>
        <v/>
      </c>
      <c r="P88" s="13">
        <f>IF(P87&lt;=0,0,MAX(0,P87+CA88-CB88))</f>
        <v/>
      </c>
      <c r="Q88" s="13">
        <f>IF(Q87&lt;=0,0,MAX(0,Q87+CD88-CE88))</f>
        <v/>
      </c>
      <c r="R88" s="13">
        <f>IF(R87&lt;=0,0,MAX(0,R87+CG88-CH88))</f>
        <v/>
      </c>
      <c r="S88" s="13">
        <f>IF(S87&lt;=0,0,MAX(0,S87+CJ88-CK88))</f>
        <v/>
      </c>
      <c r="T88" s="13">
        <f>IF(T87&lt;=0,0,MAX(0,T87+CM88-CN88))</f>
        <v/>
      </c>
      <c r="U88" s="13">
        <f>IF(U87&lt;=0,0,MAX(0,U87+CP88-CQ88))</f>
        <v/>
      </c>
      <c r="V88" s="13">
        <f>IF(V87&lt;=0,0,MAX(0,V87+CS88-CT88))</f>
        <v/>
      </c>
      <c r="W88" s="13">
        <f>AO88+AR88+AU88+AX88+BA88+BD88+BG88+BJ88+BM88+BP88+BS88+BV88+BY88+CB88+CE88+CH88+CK88+CN88+CQ88+CT88</f>
        <v/>
      </c>
      <c r="X88" s="13">
        <f>AN88+AQ88+AT88+AW88+AZ88+BC88+BF88+BI88+BL88+BO88+BR88+BU88+BX88+CA88+CD88+CG88+CJ88+CM88+CP88+CS88</f>
        <v/>
      </c>
      <c r="Y88" s="27">
        <f>C88+D88+E88+F88+G88+H88+I88+J88+K88+L88+M88+N88+O88+P88+Q88+R88+S88+T88+U88+V88</f>
        <v/>
      </c>
      <c r="AN88">
        <f>IF(C87&lt;=0,0,C87*$E$5/12)</f>
        <v/>
      </c>
      <c r="AO88">
        <f>IF(C87&lt;=0,0,MIN(C87+AN88,$F$5+(Dashboard!$C$11+IF(C87&lt;=0,$F$5,0)+IF(D87&lt;=0,$F$6,0)+IF(E87&lt;=0,$F$7,0)+IF(F87&lt;=0,$F$8,0)+IF(G87&lt;=0,$F$9,0)+IF(H87&lt;=0,$F$10,0)+IF(I87&lt;=0,$F$11,0)+IF(J87&lt;=0,$F$12,0)+IF(K87&lt;=0,$F$13,0)+IF(L87&lt;=0,$F$14,0)+IF(M87&lt;=0,$F$15,0)+IF(N87&lt;=0,$F$16,0)+IF(O87&lt;=0,$F$17,0)+IF(P87&lt;=0,$F$18,0)+IF(Q87&lt;=0,$F$19,0)+IF(R87&lt;=0,$F$20,0)+IF(S87&lt;=0,$F$21,0)+IF(T87&lt;=0,$F$22,0)+IF(U87&lt;=0,$F$23,0)+IF(V87&lt;=0,$F$24,0))))</f>
        <v/>
      </c>
      <c r="AP88">
        <f>IF(C87&lt;=0,(Dashboard!$C$11+IF(C87&lt;=0,$F$5,0)+IF(D87&lt;=0,$F$6,0)+IF(E87&lt;=0,$F$7,0)+IF(F87&lt;=0,$F$8,0)+IF(G87&lt;=0,$F$9,0)+IF(H87&lt;=0,$F$10,0)+IF(I87&lt;=0,$F$11,0)+IF(J87&lt;=0,$F$12,0)+IF(K87&lt;=0,$F$13,0)+IF(L87&lt;=0,$F$14,0)+IF(M87&lt;=0,$F$15,0)+IF(N87&lt;=0,$F$16,0)+IF(O87&lt;=0,$F$17,0)+IF(P87&lt;=0,$F$18,0)+IF(Q87&lt;=0,$F$19,0)+IF(R87&lt;=0,$F$20,0)+IF(S87&lt;=0,$F$21,0)+IF(T87&lt;=0,$F$22,0)+IF(U87&lt;=0,$F$23,0)+IF(V87&lt;=0,$F$24,0)),MAX(0,$F$5+(Dashboard!$C$11+IF(C87&lt;=0,$F$5,0)+IF(D87&lt;=0,$F$6,0)+IF(E87&lt;=0,$F$7,0)+IF(F87&lt;=0,$F$8,0)+IF(G87&lt;=0,$F$9,0)+IF(H87&lt;=0,$F$10,0)+IF(I87&lt;=0,$F$11,0)+IF(J87&lt;=0,$F$12,0)+IF(K87&lt;=0,$F$13,0)+IF(L87&lt;=0,$F$14,0)+IF(M87&lt;=0,$F$15,0)+IF(N87&lt;=0,$F$16,0)+IF(O87&lt;=0,$F$17,0)+IF(P87&lt;=0,$F$18,0)+IF(Q87&lt;=0,$F$19,0)+IF(R87&lt;=0,$F$20,0)+IF(S87&lt;=0,$F$21,0)+IF(T87&lt;=0,$F$22,0)+IF(U87&lt;=0,$F$23,0)+IF(V87&lt;=0,$F$24,0))-C87-AN88))</f>
        <v/>
      </c>
      <c r="AQ88">
        <f>IF(D87&lt;=0,0,D87*$E$6/12)</f>
        <v/>
      </c>
      <c r="AR88">
        <f>IF(D87&lt;=0,0,MIN(D87+AQ88,$F$6+AP88))</f>
        <v/>
      </c>
      <c r="AS88">
        <f>IF(D87&lt;=0,AP88,MAX(0,$F$6+AP88-D87-AQ88))</f>
        <v/>
      </c>
      <c r="AT88">
        <f>IF(E87&lt;=0,0,E87*$E$7/12)</f>
        <v/>
      </c>
      <c r="AU88">
        <f>IF(E87&lt;=0,0,MIN(E87+AT88,$F$7+AS88))</f>
        <v/>
      </c>
      <c r="AV88">
        <f>IF(E87&lt;=0,AS88,MAX(0,$F$7+AS88-E87-AT88))</f>
        <v/>
      </c>
      <c r="AW88">
        <f>IF(F87&lt;=0,0,F87*$E$8/12)</f>
        <v/>
      </c>
      <c r="AX88">
        <f>IF(F87&lt;=0,0,MIN(F87+AW88,$F$8+AV88))</f>
        <v/>
      </c>
      <c r="AY88">
        <f>IF(F87&lt;=0,AV88,MAX(0,$F$8+AV88-F87-AW88))</f>
        <v/>
      </c>
      <c r="AZ88">
        <f>IF(G87&lt;=0,0,G87*$E$9/12)</f>
        <v/>
      </c>
      <c r="BA88">
        <f>IF(G87&lt;=0,0,MIN(G87+AZ88,$F$9+AY88))</f>
        <v/>
      </c>
      <c r="BB88">
        <f>IF(G87&lt;=0,AY88,MAX(0,$F$9+AY88-G87-AZ88))</f>
        <v/>
      </c>
      <c r="BC88">
        <f>IF(H87&lt;=0,0,H87*$E$10/12)</f>
        <v/>
      </c>
      <c r="BD88">
        <f>IF(H87&lt;=0,0,MIN(H87+BC88,$F$10+BB88))</f>
        <v/>
      </c>
      <c r="BE88">
        <f>IF(H87&lt;=0,BB88,MAX(0,$F$10+BB88-H87-BC88))</f>
        <v/>
      </c>
      <c r="BF88">
        <f>IF(I87&lt;=0,0,I87*$E$11/12)</f>
        <v/>
      </c>
      <c r="BG88">
        <f>IF(I87&lt;=0,0,MIN(I87+BF88,$F$11+BE88))</f>
        <v/>
      </c>
      <c r="BH88">
        <f>IF(I87&lt;=0,BE88,MAX(0,$F$11+BE88-I87-BF88))</f>
        <v/>
      </c>
      <c r="BI88">
        <f>IF(J87&lt;=0,0,J87*$E$12/12)</f>
        <v/>
      </c>
      <c r="BJ88">
        <f>IF(J87&lt;=0,0,MIN(J87+BI88,$F$12+BH88))</f>
        <v/>
      </c>
      <c r="BK88">
        <f>IF(J87&lt;=0,BH88,MAX(0,$F$12+BH88-J87-BI88))</f>
        <v/>
      </c>
      <c r="BL88">
        <f>IF(K87&lt;=0,0,K87*$E$13/12)</f>
        <v/>
      </c>
      <c r="BM88">
        <f>IF(K87&lt;=0,0,MIN(K87+BL88,$F$13+BK88))</f>
        <v/>
      </c>
      <c r="BN88">
        <f>IF(K87&lt;=0,BK88,MAX(0,$F$13+BK88-K87-BL88))</f>
        <v/>
      </c>
      <c r="BO88">
        <f>IF(L87&lt;=0,0,L87*$E$14/12)</f>
        <v/>
      </c>
      <c r="BP88">
        <f>IF(L87&lt;=0,0,MIN(L87+BO88,$F$14+BN88))</f>
        <v/>
      </c>
      <c r="BQ88">
        <f>IF(L87&lt;=0,BN88,MAX(0,$F$14+BN88-L87-BO88))</f>
        <v/>
      </c>
      <c r="BR88">
        <f>IF(M87&lt;=0,0,M87*$E$15/12)</f>
        <v/>
      </c>
      <c r="BS88">
        <f>IF(M87&lt;=0,0,MIN(M87+BR88,$F$15+BQ88))</f>
        <v/>
      </c>
      <c r="BT88">
        <f>IF(M87&lt;=0,BQ88,MAX(0,$F$15+BQ88-M87-BR88))</f>
        <v/>
      </c>
      <c r="BU88">
        <f>IF(N87&lt;=0,0,N87*$E$16/12)</f>
        <v/>
      </c>
      <c r="BV88">
        <f>IF(N87&lt;=0,0,MIN(N87+BU88,$F$16+BT88))</f>
        <v/>
      </c>
      <c r="BW88">
        <f>IF(N87&lt;=0,BT88,MAX(0,$F$16+BT88-N87-BU88))</f>
        <v/>
      </c>
      <c r="BX88">
        <f>IF(O87&lt;=0,0,O87*$E$17/12)</f>
        <v/>
      </c>
      <c r="BY88">
        <f>IF(O87&lt;=0,0,MIN(O87+BX88,$F$17+BW88))</f>
        <v/>
      </c>
      <c r="BZ88">
        <f>IF(O87&lt;=0,BW88,MAX(0,$F$17+BW88-O87-BX88))</f>
        <v/>
      </c>
      <c r="CA88">
        <f>IF(P87&lt;=0,0,P87*$E$18/12)</f>
        <v/>
      </c>
      <c r="CB88">
        <f>IF(P87&lt;=0,0,MIN(P87+CA88,$F$18+BZ88))</f>
        <v/>
      </c>
      <c r="CC88">
        <f>IF(P87&lt;=0,BZ88,MAX(0,$F$18+BZ88-P87-CA88))</f>
        <v/>
      </c>
      <c r="CD88">
        <f>IF(Q87&lt;=0,0,Q87*$E$19/12)</f>
        <v/>
      </c>
      <c r="CE88">
        <f>IF(Q87&lt;=0,0,MIN(Q87+CD88,$F$19+CC88))</f>
        <v/>
      </c>
      <c r="CF88">
        <f>IF(Q87&lt;=0,CC88,MAX(0,$F$19+CC88-Q87-CD88))</f>
        <v/>
      </c>
      <c r="CG88">
        <f>IF(R87&lt;=0,0,R87*$E$20/12)</f>
        <v/>
      </c>
      <c r="CH88">
        <f>IF(R87&lt;=0,0,MIN(R87+CG88,$F$20+CF88))</f>
        <v/>
      </c>
      <c r="CI88">
        <f>IF(R87&lt;=0,CF88,MAX(0,$F$20+CF88-R87-CG88))</f>
        <v/>
      </c>
      <c r="CJ88">
        <f>IF(S87&lt;=0,0,S87*$E$21/12)</f>
        <v/>
      </c>
      <c r="CK88">
        <f>IF(S87&lt;=0,0,MIN(S87+CJ88,$F$21+CI88))</f>
        <v/>
      </c>
      <c r="CL88">
        <f>IF(S87&lt;=0,CI88,MAX(0,$F$21+CI88-S87-CJ88))</f>
        <v/>
      </c>
      <c r="CM88">
        <f>IF(T87&lt;=0,0,T87*$E$22/12)</f>
        <v/>
      </c>
      <c r="CN88">
        <f>IF(T87&lt;=0,0,MIN(T87+CM88,$F$22+CL88))</f>
        <v/>
      </c>
      <c r="CO88">
        <f>IF(T87&lt;=0,CL88,MAX(0,$F$22+CL88-T87-CM88))</f>
        <v/>
      </c>
      <c r="CP88">
        <f>IF(U87&lt;=0,0,U87*$E$23/12)</f>
        <v/>
      </c>
      <c r="CQ88">
        <f>IF(U87&lt;=0,0,MIN(U87+CP88,$F$23+CO88))</f>
        <v/>
      </c>
      <c r="CR88">
        <f>IF(U87&lt;=0,CO88,MAX(0,$F$23+CO88-U87-CP88))</f>
        <v/>
      </c>
      <c r="CS88">
        <f>IF(V87&lt;=0,0,V87*$E$24/12)</f>
        <v/>
      </c>
      <c r="CT88">
        <f>IF(V87&lt;=0,0,MIN(V87+CS88,$F$24+CR88))</f>
        <v/>
      </c>
      <c r="CU88">
        <f>IF(V87&lt;=0,CR88,MAX(0,$F$24+CR88-V87-CS88))</f>
        <v/>
      </c>
    </row>
    <row r="89">
      <c r="B89" s="39" t="n">
        <v>63</v>
      </c>
      <c r="C89" s="13">
        <f>IF(C88&lt;=0,0,MAX(0,C88+AN89-AO89))</f>
        <v/>
      </c>
      <c r="D89" s="13">
        <f>IF(D88&lt;=0,0,MAX(0,D88+AQ89-AR89))</f>
        <v/>
      </c>
      <c r="E89" s="13">
        <f>IF(E88&lt;=0,0,MAX(0,E88+AT89-AU89))</f>
        <v/>
      </c>
      <c r="F89" s="13">
        <f>IF(F88&lt;=0,0,MAX(0,F88+AW89-AX89))</f>
        <v/>
      </c>
      <c r="G89" s="13">
        <f>IF(G88&lt;=0,0,MAX(0,G88+AZ89-BA89))</f>
        <v/>
      </c>
      <c r="H89" s="13">
        <f>IF(H88&lt;=0,0,MAX(0,H88+BC89-BD89))</f>
        <v/>
      </c>
      <c r="I89" s="13">
        <f>IF(I88&lt;=0,0,MAX(0,I88+BF89-BG89))</f>
        <v/>
      </c>
      <c r="J89" s="13">
        <f>IF(J88&lt;=0,0,MAX(0,J88+BI89-BJ89))</f>
        <v/>
      </c>
      <c r="K89" s="13">
        <f>IF(K88&lt;=0,0,MAX(0,K88+BL89-BM89))</f>
        <v/>
      </c>
      <c r="L89" s="13">
        <f>IF(L88&lt;=0,0,MAX(0,L88+BO89-BP89))</f>
        <v/>
      </c>
      <c r="M89" s="13">
        <f>IF(M88&lt;=0,0,MAX(0,M88+BR89-BS89))</f>
        <v/>
      </c>
      <c r="N89" s="13">
        <f>IF(N88&lt;=0,0,MAX(0,N88+BU89-BV89))</f>
        <v/>
      </c>
      <c r="O89" s="13">
        <f>IF(O88&lt;=0,0,MAX(0,O88+BX89-BY89))</f>
        <v/>
      </c>
      <c r="P89" s="13">
        <f>IF(P88&lt;=0,0,MAX(0,P88+CA89-CB89))</f>
        <v/>
      </c>
      <c r="Q89" s="13">
        <f>IF(Q88&lt;=0,0,MAX(0,Q88+CD89-CE89))</f>
        <v/>
      </c>
      <c r="R89" s="13">
        <f>IF(R88&lt;=0,0,MAX(0,R88+CG89-CH89))</f>
        <v/>
      </c>
      <c r="S89" s="13">
        <f>IF(S88&lt;=0,0,MAX(0,S88+CJ89-CK89))</f>
        <v/>
      </c>
      <c r="T89" s="13">
        <f>IF(T88&lt;=0,0,MAX(0,T88+CM89-CN89))</f>
        <v/>
      </c>
      <c r="U89" s="13">
        <f>IF(U88&lt;=0,0,MAX(0,U88+CP89-CQ89))</f>
        <v/>
      </c>
      <c r="V89" s="13">
        <f>IF(V88&lt;=0,0,MAX(0,V88+CS89-CT89))</f>
        <v/>
      </c>
      <c r="W89" s="13">
        <f>AO89+AR89+AU89+AX89+BA89+BD89+BG89+BJ89+BM89+BP89+BS89+BV89+BY89+CB89+CE89+CH89+CK89+CN89+CQ89+CT89</f>
        <v/>
      </c>
      <c r="X89" s="13">
        <f>AN89+AQ89+AT89+AW89+AZ89+BC89+BF89+BI89+BL89+BO89+BR89+BU89+BX89+CA89+CD89+CG89+CJ89+CM89+CP89+CS89</f>
        <v/>
      </c>
      <c r="Y89" s="27">
        <f>C89+D89+E89+F89+G89+H89+I89+J89+K89+L89+M89+N89+O89+P89+Q89+R89+S89+T89+U89+V89</f>
        <v/>
      </c>
      <c r="AN89">
        <f>IF(C88&lt;=0,0,C88*$E$5/12)</f>
        <v/>
      </c>
      <c r="AO89">
        <f>IF(C88&lt;=0,0,MIN(C88+AN89,$F$5+(Dashboard!$C$11+IF(C88&lt;=0,$F$5,0)+IF(D88&lt;=0,$F$6,0)+IF(E88&lt;=0,$F$7,0)+IF(F88&lt;=0,$F$8,0)+IF(G88&lt;=0,$F$9,0)+IF(H88&lt;=0,$F$10,0)+IF(I88&lt;=0,$F$11,0)+IF(J88&lt;=0,$F$12,0)+IF(K88&lt;=0,$F$13,0)+IF(L88&lt;=0,$F$14,0)+IF(M88&lt;=0,$F$15,0)+IF(N88&lt;=0,$F$16,0)+IF(O88&lt;=0,$F$17,0)+IF(P88&lt;=0,$F$18,0)+IF(Q88&lt;=0,$F$19,0)+IF(R88&lt;=0,$F$20,0)+IF(S88&lt;=0,$F$21,0)+IF(T88&lt;=0,$F$22,0)+IF(U88&lt;=0,$F$23,0)+IF(V88&lt;=0,$F$24,0))))</f>
        <v/>
      </c>
      <c r="AP89">
        <f>IF(C88&lt;=0,(Dashboard!$C$11+IF(C88&lt;=0,$F$5,0)+IF(D88&lt;=0,$F$6,0)+IF(E88&lt;=0,$F$7,0)+IF(F88&lt;=0,$F$8,0)+IF(G88&lt;=0,$F$9,0)+IF(H88&lt;=0,$F$10,0)+IF(I88&lt;=0,$F$11,0)+IF(J88&lt;=0,$F$12,0)+IF(K88&lt;=0,$F$13,0)+IF(L88&lt;=0,$F$14,0)+IF(M88&lt;=0,$F$15,0)+IF(N88&lt;=0,$F$16,0)+IF(O88&lt;=0,$F$17,0)+IF(P88&lt;=0,$F$18,0)+IF(Q88&lt;=0,$F$19,0)+IF(R88&lt;=0,$F$20,0)+IF(S88&lt;=0,$F$21,0)+IF(T88&lt;=0,$F$22,0)+IF(U88&lt;=0,$F$23,0)+IF(V88&lt;=0,$F$24,0)),MAX(0,$F$5+(Dashboard!$C$11+IF(C88&lt;=0,$F$5,0)+IF(D88&lt;=0,$F$6,0)+IF(E88&lt;=0,$F$7,0)+IF(F88&lt;=0,$F$8,0)+IF(G88&lt;=0,$F$9,0)+IF(H88&lt;=0,$F$10,0)+IF(I88&lt;=0,$F$11,0)+IF(J88&lt;=0,$F$12,0)+IF(K88&lt;=0,$F$13,0)+IF(L88&lt;=0,$F$14,0)+IF(M88&lt;=0,$F$15,0)+IF(N88&lt;=0,$F$16,0)+IF(O88&lt;=0,$F$17,0)+IF(P88&lt;=0,$F$18,0)+IF(Q88&lt;=0,$F$19,0)+IF(R88&lt;=0,$F$20,0)+IF(S88&lt;=0,$F$21,0)+IF(T88&lt;=0,$F$22,0)+IF(U88&lt;=0,$F$23,0)+IF(V88&lt;=0,$F$24,0))-C88-AN89))</f>
        <v/>
      </c>
      <c r="AQ89">
        <f>IF(D88&lt;=0,0,D88*$E$6/12)</f>
        <v/>
      </c>
      <c r="AR89">
        <f>IF(D88&lt;=0,0,MIN(D88+AQ89,$F$6+AP89))</f>
        <v/>
      </c>
      <c r="AS89">
        <f>IF(D88&lt;=0,AP89,MAX(0,$F$6+AP89-D88-AQ89))</f>
        <v/>
      </c>
      <c r="AT89">
        <f>IF(E88&lt;=0,0,E88*$E$7/12)</f>
        <v/>
      </c>
      <c r="AU89">
        <f>IF(E88&lt;=0,0,MIN(E88+AT89,$F$7+AS89))</f>
        <v/>
      </c>
      <c r="AV89">
        <f>IF(E88&lt;=0,AS89,MAX(0,$F$7+AS89-E88-AT89))</f>
        <v/>
      </c>
      <c r="AW89">
        <f>IF(F88&lt;=0,0,F88*$E$8/12)</f>
        <v/>
      </c>
      <c r="AX89">
        <f>IF(F88&lt;=0,0,MIN(F88+AW89,$F$8+AV89))</f>
        <v/>
      </c>
      <c r="AY89">
        <f>IF(F88&lt;=0,AV89,MAX(0,$F$8+AV89-F88-AW89))</f>
        <v/>
      </c>
      <c r="AZ89">
        <f>IF(G88&lt;=0,0,G88*$E$9/12)</f>
        <v/>
      </c>
      <c r="BA89">
        <f>IF(G88&lt;=0,0,MIN(G88+AZ89,$F$9+AY89))</f>
        <v/>
      </c>
      <c r="BB89">
        <f>IF(G88&lt;=0,AY89,MAX(0,$F$9+AY89-G88-AZ89))</f>
        <v/>
      </c>
      <c r="BC89">
        <f>IF(H88&lt;=0,0,H88*$E$10/12)</f>
        <v/>
      </c>
      <c r="BD89">
        <f>IF(H88&lt;=0,0,MIN(H88+BC89,$F$10+BB89))</f>
        <v/>
      </c>
      <c r="BE89">
        <f>IF(H88&lt;=0,BB89,MAX(0,$F$10+BB89-H88-BC89))</f>
        <v/>
      </c>
      <c r="BF89">
        <f>IF(I88&lt;=0,0,I88*$E$11/12)</f>
        <v/>
      </c>
      <c r="BG89">
        <f>IF(I88&lt;=0,0,MIN(I88+BF89,$F$11+BE89))</f>
        <v/>
      </c>
      <c r="BH89">
        <f>IF(I88&lt;=0,BE89,MAX(0,$F$11+BE89-I88-BF89))</f>
        <v/>
      </c>
      <c r="BI89">
        <f>IF(J88&lt;=0,0,J88*$E$12/12)</f>
        <v/>
      </c>
      <c r="BJ89">
        <f>IF(J88&lt;=0,0,MIN(J88+BI89,$F$12+BH89))</f>
        <v/>
      </c>
      <c r="BK89">
        <f>IF(J88&lt;=0,BH89,MAX(0,$F$12+BH89-J88-BI89))</f>
        <v/>
      </c>
      <c r="BL89">
        <f>IF(K88&lt;=0,0,K88*$E$13/12)</f>
        <v/>
      </c>
      <c r="BM89">
        <f>IF(K88&lt;=0,0,MIN(K88+BL89,$F$13+BK89))</f>
        <v/>
      </c>
      <c r="BN89">
        <f>IF(K88&lt;=0,BK89,MAX(0,$F$13+BK89-K88-BL89))</f>
        <v/>
      </c>
      <c r="BO89">
        <f>IF(L88&lt;=0,0,L88*$E$14/12)</f>
        <v/>
      </c>
      <c r="BP89">
        <f>IF(L88&lt;=0,0,MIN(L88+BO89,$F$14+BN89))</f>
        <v/>
      </c>
      <c r="BQ89">
        <f>IF(L88&lt;=0,BN89,MAX(0,$F$14+BN89-L88-BO89))</f>
        <v/>
      </c>
      <c r="BR89">
        <f>IF(M88&lt;=0,0,M88*$E$15/12)</f>
        <v/>
      </c>
      <c r="BS89">
        <f>IF(M88&lt;=0,0,MIN(M88+BR89,$F$15+BQ89))</f>
        <v/>
      </c>
      <c r="BT89">
        <f>IF(M88&lt;=0,BQ89,MAX(0,$F$15+BQ89-M88-BR89))</f>
        <v/>
      </c>
      <c r="BU89">
        <f>IF(N88&lt;=0,0,N88*$E$16/12)</f>
        <v/>
      </c>
      <c r="BV89">
        <f>IF(N88&lt;=0,0,MIN(N88+BU89,$F$16+BT89))</f>
        <v/>
      </c>
      <c r="BW89">
        <f>IF(N88&lt;=0,BT89,MAX(0,$F$16+BT89-N88-BU89))</f>
        <v/>
      </c>
      <c r="BX89">
        <f>IF(O88&lt;=0,0,O88*$E$17/12)</f>
        <v/>
      </c>
      <c r="BY89">
        <f>IF(O88&lt;=0,0,MIN(O88+BX89,$F$17+BW89))</f>
        <v/>
      </c>
      <c r="BZ89">
        <f>IF(O88&lt;=0,BW89,MAX(0,$F$17+BW89-O88-BX89))</f>
        <v/>
      </c>
      <c r="CA89">
        <f>IF(P88&lt;=0,0,P88*$E$18/12)</f>
        <v/>
      </c>
      <c r="CB89">
        <f>IF(P88&lt;=0,0,MIN(P88+CA89,$F$18+BZ89))</f>
        <v/>
      </c>
      <c r="CC89">
        <f>IF(P88&lt;=0,BZ89,MAX(0,$F$18+BZ89-P88-CA89))</f>
        <v/>
      </c>
      <c r="CD89">
        <f>IF(Q88&lt;=0,0,Q88*$E$19/12)</f>
        <v/>
      </c>
      <c r="CE89">
        <f>IF(Q88&lt;=0,0,MIN(Q88+CD89,$F$19+CC89))</f>
        <v/>
      </c>
      <c r="CF89">
        <f>IF(Q88&lt;=0,CC89,MAX(0,$F$19+CC89-Q88-CD89))</f>
        <v/>
      </c>
      <c r="CG89">
        <f>IF(R88&lt;=0,0,R88*$E$20/12)</f>
        <v/>
      </c>
      <c r="CH89">
        <f>IF(R88&lt;=0,0,MIN(R88+CG89,$F$20+CF89))</f>
        <v/>
      </c>
      <c r="CI89">
        <f>IF(R88&lt;=0,CF89,MAX(0,$F$20+CF89-R88-CG89))</f>
        <v/>
      </c>
      <c r="CJ89">
        <f>IF(S88&lt;=0,0,S88*$E$21/12)</f>
        <v/>
      </c>
      <c r="CK89">
        <f>IF(S88&lt;=0,0,MIN(S88+CJ89,$F$21+CI89))</f>
        <v/>
      </c>
      <c r="CL89">
        <f>IF(S88&lt;=0,CI89,MAX(0,$F$21+CI89-S88-CJ89))</f>
        <v/>
      </c>
      <c r="CM89">
        <f>IF(T88&lt;=0,0,T88*$E$22/12)</f>
        <v/>
      </c>
      <c r="CN89">
        <f>IF(T88&lt;=0,0,MIN(T88+CM89,$F$22+CL89))</f>
        <v/>
      </c>
      <c r="CO89">
        <f>IF(T88&lt;=0,CL89,MAX(0,$F$22+CL89-T88-CM89))</f>
        <v/>
      </c>
      <c r="CP89">
        <f>IF(U88&lt;=0,0,U88*$E$23/12)</f>
        <v/>
      </c>
      <c r="CQ89">
        <f>IF(U88&lt;=0,0,MIN(U88+CP89,$F$23+CO89))</f>
        <v/>
      </c>
      <c r="CR89">
        <f>IF(U88&lt;=0,CO89,MAX(0,$F$23+CO89-U88-CP89))</f>
        <v/>
      </c>
      <c r="CS89">
        <f>IF(V88&lt;=0,0,V88*$E$24/12)</f>
        <v/>
      </c>
      <c r="CT89">
        <f>IF(V88&lt;=0,0,MIN(V88+CS89,$F$24+CR89))</f>
        <v/>
      </c>
      <c r="CU89">
        <f>IF(V88&lt;=0,CR89,MAX(0,$F$24+CR89-V88-CS89))</f>
        <v/>
      </c>
    </row>
    <row r="90">
      <c r="B90" s="39" t="n">
        <v>64</v>
      </c>
      <c r="C90" s="13">
        <f>IF(C89&lt;=0,0,MAX(0,C89+AN90-AO90))</f>
        <v/>
      </c>
      <c r="D90" s="13">
        <f>IF(D89&lt;=0,0,MAX(0,D89+AQ90-AR90))</f>
        <v/>
      </c>
      <c r="E90" s="13">
        <f>IF(E89&lt;=0,0,MAX(0,E89+AT90-AU90))</f>
        <v/>
      </c>
      <c r="F90" s="13">
        <f>IF(F89&lt;=0,0,MAX(0,F89+AW90-AX90))</f>
        <v/>
      </c>
      <c r="G90" s="13">
        <f>IF(G89&lt;=0,0,MAX(0,G89+AZ90-BA90))</f>
        <v/>
      </c>
      <c r="H90" s="13">
        <f>IF(H89&lt;=0,0,MAX(0,H89+BC90-BD90))</f>
        <v/>
      </c>
      <c r="I90" s="13">
        <f>IF(I89&lt;=0,0,MAX(0,I89+BF90-BG90))</f>
        <v/>
      </c>
      <c r="J90" s="13">
        <f>IF(J89&lt;=0,0,MAX(0,J89+BI90-BJ90))</f>
        <v/>
      </c>
      <c r="K90" s="13">
        <f>IF(K89&lt;=0,0,MAX(0,K89+BL90-BM90))</f>
        <v/>
      </c>
      <c r="L90" s="13">
        <f>IF(L89&lt;=0,0,MAX(0,L89+BO90-BP90))</f>
        <v/>
      </c>
      <c r="M90" s="13">
        <f>IF(M89&lt;=0,0,MAX(0,M89+BR90-BS90))</f>
        <v/>
      </c>
      <c r="N90" s="13">
        <f>IF(N89&lt;=0,0,MAX(0,N89+BU90-BV90))</f>
        <v/>
      </c>
      <c r="O90" s="13">
        <f>IF(O89&lt;=0,0,MAX(0,O89+BX90-BY90))</f>
        <v/>
      </c>
      <c r="P90" s="13">
        <f>IF(P89&lt;=0,0,MAX(0,P89+CA90-CB90))</f>
        <v/>
      </c>
      <c r="Q90" s="13">
        <f>IF(Q89&lt;=0,0,MAX(0,Q89+CD90-CE90))</f>
        <v/>
      </c>
      <c r="R90" s="13">
        <f>IF(R89&lt;=0,0,MAX(0,R89+CG90-CH90))</f>
        <v/>
      </c>
      <c r="S90" s="13">
        <f>IF(S89&lt;=0,0,MAX(0,S89+CJ90-CK90))</f>
        <v/>
      </c>
      <c r="T90" s="13">
        <f>IF(T89&lt;=0,0,MAX(0,T89+CM90-CN90))</f>
        <v/>
      </c>
      <c r="U90" s="13">
        <f>IF(U89&lt;=0,0,MAX(0,U89+CP90-CQ90))</f>
        <v/>
      </c>
      <c r="V90" s="13">
        <f>IF(V89&lt;=0,0,MAX(0,V89+CS90-CT90))</f>
        <v/>
      </c>
      <c r="W90" s="13">
        <f>AO90+AR90+AU90+AX90+BA90+BD90+BG90+BJ90+BM90+BP90+BS90+BV90+BY90+CB90+CE90+CH90+CK90+CN90+CQ90+CT90</f>
        <v/>
      </c>
      <c r="X90" s="13">
        <f>AN90+AQ90+AT90+AW90+AZ90+BC90+BF90+BI90+BL90+BO90+BR90+BU90+BX90+CA90+CD90+CG90+CJ90+CM90+CP90+CS90</f>
        <v/>
      </c>
      <c r="Y90" s="27">
        <f>C90+D90+E90+F90+G90+H90+I90+J90+K90+L90+M90+N90+O90+P90+Q90+R90+S90+T90+U90+V90</f>
        <v/>
      </c>
      <c r="AN90">
        <f>IF(C89&lt;=0,0,C89*$E$5/12)</f>
        <v/>
      </c>
      <c r="AO90">
        <f>IF(C89&lt;=0,0,MIN(C89+AN90,$F$5+(Dashboard!$C$11+IF(C89&lt;=0,$F$5,0)+IF(D89&lt;=0,$F$6,0)+IF(E89&lt;=0,$F$7,0)+IF(F89&lt;=0,$F$8,0)+IF(G89&lt;=0,$F$9,0)+IF(H89&lt;=0,$F$10,0)+IF(I89&lt;=0,$F$11,0)+IF(J89&lt;=0,$F$12,0)+IF(K89&lt;=0,$F$13,0)+IF(L89&lt;=0,$F$14,0)+IF(M89&lt;=0,$F$15,0)+IF(N89&lt;=0,$F$16,0)+IF(O89&lt;=0,$F$17,0)+IF(P89&lt;=0,$F$18,0)+IF(Q89&lt;=0,$F$19,0)+IF(R89&lt;=0,$F$20,0)+IF(S89&lt;=0,$F$21,0)+IF(T89&lt;=0,$F$22,0)+IF(U89&lt;=0,$F$23,0)+IF(V89&lt;=0,$F$24,0))))</f>
        <v/>
      </c>
      <c r="AP90">
        <f>IF(C89&lt;=0,(Dashboard!$C$11+IF(C89&lt;=0,$F$5,0)+IF(D89&lt;=0,$F$6,0)+IF(E89&lt;=0,$F$7,0)+IF(F89&lt;=0,$F$8,0)+IF(G89&lt;=0,$F$9,0)+IF(H89&lt;=0,$F$10,0)+IF(I89&lt;=0,$F$11,0)+IF(J89&lt;=0,$F$12,0)+IF(K89&lt;=0,$F$13,0)+IF(L89&lt;=0,$F$14,0)+IF(M89&lt;=0,$F$15,0)+IF(N89&lt;=0,$F$16,0)+IF(O89&lt;=0,$F$17,0)+IF(P89&lt;=0,$F$18,0)+IF(Q89&lt;=0,$F$19,0)+IF(R89&lt;=0,$F$20,0)+IF(S89&lt;=0,$F$21,0)+IF(T89&lt;=0,$F$22,0)+IF(U89&lt;=0,$F$23,0)+IF(V89&lt;=0,$F$24,0)),MAX(0,$F$5+(Dashboard!$C$11+IF(C89&lt;=0,$F$5,0)+IF(D89&lt;=0,$F$6,0)+IF(E89&lt;=0,$F$7,0)+IF(F89&lt;=0,$F$8,0)+IF(G89&lt;=0,$F$9,0)+IF(H89&lt;=0,$F$10,0)+IF(I89&lt;=0,$F$11,0)+IF(J89&lt;=0,$F$12,0)+IF(K89&lt;=0,$F$13,0)+IF(L89&lt;=0,$F$14,0)+IF(M89&lt;=0,$F$15,0)+IF(N89&lt;=0,$F$16,0)+IF(O89&lt;=0,$F$17,0)+IF(P89&lt;=0,$F$18,0)+IF(Q89&lt;=0,$F$19,0)+IF(R89&lt;=0,$F$20,0)+IF(S89&lt;=0,$F$21,0)+IF(T89&lt;=0,$F$22,0)+IF(U89&lt;=0,$F$23,0)+IF(V89&lt;=0,$F$24,0))-C89-AN90))</f>
        <v/>
      </c>
      <c r="AQ90">
        <f>IF(D89&lt;=0,0,D89*$E$6/12)</f>
        <v/>
      </c>
      <c r="AR90">
        <f>IF(D89&lt;=0,0,MIN(D89+AQ90,$F$6+AP90))</f>
        <v/>
      </c>
      <c r="AS90">
        <f>IF(D89&lt;=0,AP90,MAX(0,$F$6+AP90-D89-AQ90))</f>
        <v/>
      </c>
      <c r="AT90">
        <f>IF(E89&lt;=0,0,E89*$E$7/12)</f>
        <v/>
      </c>
      <c r="AU90">
        <f>IF(E89&lt;=0,0,MIN(E89+AT90,$F$7+AS90))</f>
        <v/>
      </c>
      <c r="AV90">
        <f>IF(E89&lt;=0,AS90,MAX(0,$F$7+AS90-E89-AT90))</f>
        <v/>
      </c>
      <c r="AW90">
        <f>IF(F89&lt;=0,0,F89*$E$8/12)</f>
        <v/>
      </c>
      <c r="AX90">
        <f>IF(F89&lt;=0,0,MIN(F89+AW90,$F$8+AV90))</f>
        <v/>
      </c>
      <c r="AY90">
        <f>IF(F89&lt;=0,AV90,MAX(0,$F$8+AV90-F89-AW90))</f>
        <v/>
      </c>
      <c r="AZ90">
        <f>IF(G89&lt;=0,0,G89*$E$9/12)</f>
        <v/>
      </c>
      <c r="BA90">
        <f>IF(G89&lt;=0,0,MIN(G89+AZ90,$F$9+AY90))</f>
        <v/>
      </c>
      <c r="BB90">
        <f>IF(G89&lt;=0,AY90,MAX(0,$F$9+AY90-G89-AZ90))</f>
        <v/>
      </c>
      <c r="BC90">
        <f>IF(H89&lt;=0,0,H89*$E$10/12)</f>
        <v/>
      </c>
      <c r="BD90">
        <f>IF(H89&lt;=0,0,MIN(H89+BC90,$F$10+BB90))</f>
        <v/>
      </c>
      <c r="BE90">
        <f>IF(H89&lt;=0,BB90,MAX(0,$F$10+BB90-H89-BC90))</f>
        <v/>
      </c>
      <c r="BF90">
        <f>IF(I89&lt;=0,0,I89*$E$11/12)</f>
        <v/>
      </c>
      <c r="BG90">
        <f>IF(I89&lt;=0,0,MIN(I89+BF90,$F$11+BE90))</f>
        <v/>
      </c>
      <c r="BH90">
        <f>IF(I89&lt;=0,BE90,MAX(0,$F$11+BE90-I89-BF90))</f>
        <v/>
      </c>
      <c r="BI90">
        <f>IF(J89&lt;=0,0,J89*$E$12/12)</f>
        <v/>
      </c>
      <c r="BJ90">
        <f>IF(J89&lt;=0,0,MIN(J89+BI90,$F$12+BH90))</f>
        <v/>
      </c>
      <c r="BK90">
        <f>IF(J89&lt;=0,BH90,MAX(0,$F$12+BH90-J89-BI90))</f>
        <v/>
      </c>
      <c r="BL90">
        <f>IF(K89&lt;=0,0,K89*$E$13/12)</f>
        <v/>
      </c>
      <c r="BM90">
        <f>IF(K89&lt;=0,0,MIN(K89+BL90,$F$13+BK90))</f>
        <v/>
      </c>
      <c r="BN90">
        <f>IF(K89&lt;=0,BK90,MAX(0,$F$13+BK90-K89-BL90))</f>
        <v/>
      </c>
      <c r="BO90">
        <f>IF(L89&lt;=0,0,L89*$E$14/12)</f>
        <v/>
      </c>
      <c r="BP90">
        <f>IF(L89&lt;=0,0,MIN(L89+BO90,$F$14+BN90))</f>
        <v/>
      </c>
      <c r="BQ90">
        <f>IF(L89&lt;=0,BN90,MAX(0,$F$14+BN90-L89-BO90))</f>
        <v/>
      </c>
      <c r="BR90">
        <f>IF(M89&lt;=0,0,M89*$E$15/12)</f>
        <v/>
      </c>
      <c r="BS90">
        <f>IF(M89&lt;=0,0,MIN(M89+BR90,$F$15+BQ90))</f>
        <v/>
      </c>
      <c r="BT90">
        <f>IF(M89&lt;=0,BQ90,MAX(0,$F$15+BQ90-M89-BR90))</f>
        <v/>
      </c>
      <c r="BU90">
        <f>IF(N89&lt;=0,0,N89*$E$16/12)</f>
        <v/>
      </c>
      <c r="BV90">
        <f>IF(N89&lt;=0,0,MIN(N89+BU90,$F$16+BT90))</f>
        <v/>
      </c>
      <c r="BW90">
        <f>IF(N89&lt;=0,BT90,MAX(0,$F$16+BT90-N89-BU90))</f>
        <v/>
      </c>
      <c r="BX90">
        <f>IF(O89&lt;=0,0,O89*$E$17/12)</f>
        <v/>
      </c>
      <c r="BY90">
        <f>IF(O89&lt;=0,0,MIN(O89+BX90,$F$17+BW90))</f>
        <v/>
      </c>
      <c r="BZ90">
        <f>IF(O89&lt;=0,BW90,MAX(0,$F$17+BW90-O89-BX90))</f>
        <v/>
      </c>
      <c r="CA90">
        <f>IF(P89&lt;=0,0,P89*$E$18/12)</f>
        <v/>
      </c>
      <c r="CB90">
        <f>IF(P89&lt;=0,0,MIN(P89+CA90,$F$18+BZ90))</f>
        <v/>
      </c>
      <c r="CC90">
        <f>IF(P89&lt;=0,BZ90,MAX(0,$F$18+BZ90-P89-CA90))</f>
        <v/>
      </c>
      <c r="CD90">
        <f>IF(Q89&lt;=0,0,Q89*$E$19/12)</f>
        <v/>
      </c>
      <c r="CE90">
        <f>IF(Q89&lt;=0,0,MIN(Q89+CD90,$F$19+CC90))</f>
        <v/>
      </c>
      <c r="CF90">
        <f>IF(Q89&lt;=0,CC90,MAX(0,$F$19+CC90-Q89-CD90))</f>
        <v/>
      </c>
      <c r="CG90">
        <f>IF(R89&lt;=0,0,R89*$E$20/12)</f>
        <v/>
      </c>
      <c r="CH90">
        <f>IF(R89&lt;=0,0,MIN(R89+CG90,$F$20+CF90))</f>
        <v/>
      </c>
      <c r="CI90">
        <f>IF(R89&lt;=0,CF90,MAX(0,$F$20+CF90-R89-CG90))</f>
        <v/>
      </c>
      <c r="CJ90">
        <f>IF(S89&lt;=0,0,S89*$E$21/12)</f>
        <v/>
      </c>
      <c r="CK90">
        <f>IF(S89&lt;=0,0,MIN(S89+CJ90,$F$21+CI90))</f>
        <v/>
      </c>
      <c r="CL90">
        <f>IF(S89&lt;=0,CI90,MAX(0,$F$21+CI90-S89-CJ90))</f>
        <v/>
      </c>
      <c r="CM90">
        <f>IF(T89&lt;=0,0,T89*$E$22/12)</f>
        <v/>
      </c>
      <c r="CN90">
        <f>IF(T89&lt;=0,0,MIN(T89+CM90,$F$22+CL90))</f>
        <v/>
      </c>
      <c r="CO90">
        <f>IF(T89&lt;=0,CL90,MAX(0,$F$22+CL90-T89-CM90))</f>
        <v/>
      </c>
      <c r="CP90">
        <f>IF(U89&lt;=0,0,U89*$E$23/12)</f>
        <v/>
      </c>
      <c r="CQ90">
        <f>IF(U89&lt;=0,0,MIN(U89+CP90,$F$23+CO90))</f>
        <v/>
      </c>
      <c r="CR90">
        <f>IF(U89&lt;=0,CO90,MAX(0,$F$23+CO90-U89-CP90))</f>
        <v/>
      </c>
      <c r="CS90">
        <f>IF(V89&lt;=0,0,V89*$E$24/12)</f>
        <v/>
      </c>
      <c r="CT90">
        <f>IF(V89&lt;=0,0,MIN(V89+CS90,$F$24+CR90))</f>
        <v/>
      </c>
      <c r="CU90">
        <f>IF(V89&lt;=0,CR90,MAX(0,$F$24+CR90-V89-CS90))</f>
        <v/>
      </c>
    </row>
    <row r="91">
      <c r="B91" s="39" t="n">
        <v>65</v>
      </c>
      <c r="C91" s="13">
        <f>IF(C90&lt;=0,0,MAX(0,C90+AN91-AO91))</f>
        <v/>
      </c>
      <c r="D91" s="13">
        <f>IF(D90&lt;=0,0,MAX(0,D90+AQ91-AR91))</f>
        <v/>
      </c>
      <c r="E91" s="13">
        <f>IF(E90&lt;=0,0,MAX(0,E90+AT91-AU91))</f>
        <v/>
      </c>
      <c r="F91" s="13">
        <f>IF(F90&lt;=0,0,MAX(0,F90+AW91-AX91))</f>
        <v/>
      </c>
      <c r="G91" s="13">
        <f>IF(G90&lt;=0,0,MAX(0,G90+AZ91-BA91))</f>
        <v/>
      </c>
      <c r="H91" s="13">
        <f>IF(H90&lt;=0,0,MAX(0,H90+BC91-BD91))</f>
        <v/>
      </c>
      <c r="I91" s="13">
        <f>IF(I90&lt;=0,0,MAX(0,I90+BF91-BG91))</f>
        <v/>
      </c>
      <c r="J91" s="13">
        <f>IF(J90&lt;=0,0,MAX(0,J90+BI91-BJ91))</f>
        <v/>
      </c>
      <c r="K91" s="13">
        <f>IF(K90&lt;=0,0,MAX(0,K90+BL91-BM91))</f>
        <v/>
      </c>
      <c r="L91" s="13">
        <f>IF(L90&lt;=0,0,MAX(0,L90+BO91-BP91))</f>
        <v/>
      </c>
      <c r="M91" s="13">
        <f>IF(M90&lt;=0,0,MAX(0,M90+BR91-BS91))</f>
        <v/>
      </c>
      <c r="N91" s="13">
        <f>IF(N90&lt;=0,0,MAX(0,N90+BU91-BV91))</f>
        <v/>
      </c>
      <c r="O91" s="13">
        <f>IF(O90&lt;=0,0,MAX(0,O90+BX91-BY91))</f>
        <v/>
      </c>
      <c r="P91" s="13">
        <f>IF(P90&lt;=0,0,MAX(0,P90+CA91-CB91))</f>
        <v/>
      </c>
      <c r="Q91" s="13">
        <f>IF(Q90&lt;=0,0,MAX(0,Q90+CD91-CE91))</f>
        <v/>
      </c>
      <c r="R91" s="13">
        <f>IF(R90&lt;=0,0,MAX(0,R90+CG91-CH91))</f>
        <v/>
      </c>
      <c r="S91" s="13">
        <f>IF(S90&lt;=0,0,MAX(0,S90+CJ91-CK91))</f>
        <v/>
      </c>
      <c r="T91" s="13">
        <f>IF(T90&lt;=0,0,MAX(0,T90+CM91-CN91))</f>
        <v/>
      </c>
      <c r="U91" s="13">
        <f>IF(U90&lt;=0,0,MAX(0,U90+CP91-CQ91))</f>
        <v/>
      </c>
      <c r="V91" s="13">
        <f>IF(V90&lt;=0,0,MAX(0,V90+CS91-CT91))</f>
        <v/>
      </c>
      <c r="W91" s="13">
        <f>AO91+AR91+AU91+AX91+BA91+BD91+BG91+BJ91+BM91+BP91+BS91+BV91+BY91+CB91+CE91+CH91+CK91+CN91+CQ91+CT91</f>
        <v/>
      </c>
      <c r="X91" s="13">
        <f>AN91+AQ91+AT91+AW91+AZ91+BC91+BF91+BI91+BL91+BO91+BR91+BU91+BX91+CA91+CD91+CG91+CJ91+CM91+CP91+CS91</f>
        <v/>
      </c>
      <c r="Y91" s="27">
        <f>C91+D91+E91+F91+G91+H91+I91+J91+K91+L91+M91+N91+O91+P91+Q91+R91+S91+T91+U91+V91</f>
        <v/>
      </c>
      <c r="AN91">
        <f>IF(C90&lt;=0,0,C90*$E$5/12)</f>
        <v/>
      </c>
      <c r="AO91">
        <f>IF(C90&lt;=0,0,MIN(C90+AN91,$F$5+(Dashboard!$C$11+IF(C90&lt;=0,$F$5,0)+IF(D90&lt;=0,$F$6,0)+IF(E90&lt;=0,$F$7,0)+IF(F90&lt;=0,$F$8,0)+IF(G90&lt;=0,$F$9,0)+IF(H90&lt;=0,$F$10,0)+IF(I90&lt;=0,$F$11,0)+IF(J90&lt;=0,$F$12,0)+IF(K90&lt;=0,$F$13,0)+IF(L90&lt;=0,$F$14,0)+IF(M90&lt;=0,$F$15,0)+IF(N90&lt;=0,$F$16,0)+IF(O90&lt;=0,$F$17,0)+IF(P90&lt;=0,$F$18,0)+IF(Q90&lt;=0,$F$19,0)+IF(R90&lt;=0,$F$20,0)+IF(S90&lt;=0,$F$21,0)+IF(T90&lt;=0,$F$22,0)+IF(U90&lt;=0,$F$23,0)+IF(V90&lt;=0,$F$24,0))))</f>
        <v/>
      </c>
      <c r="AP91">
        <f>IF(C90&lt;=0,(Dashboard!$C$11+IF(C90&lt;=0,$F$5,0)+IF(D90&lt;=0,$F$6,0)+IF(E90&lt;=0,$F$7,0)+IF(F90&lt;=0,$F$8,0)+IF(G90&lt;=0,$F$9,0)+IF(H90&lt;=0,$F$10,0)+IF(I90&lt;=0,$F$11,0)+IF(J90&lt;=0,$F$12,0)+IF(K90&lt;=0,$F$13,0)+IF(L90&lt;=0,$F$14,0)+IF(M90&lt;=0,$F$15,0)+IF(N90&lt;=0,$F$16,0)+IF(O90&lt;=0,$F$17,0)+IF(P90&lt;=0,$F$18,0)+IF(Q90&lt;=0,$F$19,0)+IF(R90&lt;=0,$F$20,0)+IF(S90&lt;=0,$F$21,0)+IF(T90&lt;=0,$F$22,0)+IF(U90&lt;=0,$F$23,0)+IF(V90&lt;=0,$F$24,0)),MAX(0,$F$5+(Dashboard!$C$11+IF(C90&lt;=0,$F$5,0)+IF(D90&lt;=0,$F$6,0)+IF(E90&lt;=0,$F$7,0)+IF(F90&lt;=0,$F$8,0)+IF(G90&lt;=0,$F$9,0)+IF(H90&lt;=0,$F$10,0)+IF(I90&lt;=0,$F$11,0)+IF(J90&lt;=0,$F$12,0)+IF(K90&lt;=0,$F$13,0)+IF(L90&lt;=0,$F$14,0)+IF(M90&lt;=0,$F$15,0)+IF(N90&lt;=0,$F$16,0)+IF(O90&lt;=0,$F$17,0)+IF(P90&lt;=0,$F$18,0)+IF(Q90&lt;=0,$F$19,0)+IF(R90&lt;=0,$F$20,0)+IF(S90&lt;=0,$F$21,0)+IF(T90&lt;=0,$F$22,0)+IF(U90&lt;=0,$F$23,0)+IF(V90&lt;=0,$F$24,0))-C90-AN91))</f>
        <v/>
      </c>
      <c r="AQ91">
        <f>IF(D90&lt;=0,0,D90*$E$6/12)</f>
        <v/>
      </c>
      <c r="AR91">
        <f>IF(D90&lt;=0,0,MIN(D90+AQ91,$F$6+AP91))</f>
        <v/>
      </c>
      <c r="AS91">
        <f>IF(D90&lt;=0,AP91,MAX(0,$F$6+AP91-D90-AQ91))</f>
        <v/>
      </c>
      <c r="AT91">
        <f>IF(E90&lt;=0,0,E90*$E$7/12)</f>
        <v/>
      </c>
      <c r="AU91">
        <f>IF(E90&lt;=0,0,MIN(E90+AT91,$F$7+AS91))</f>
        <v/>
      </c>
      <c r="AV91">
        <f>IF(E90&lt;=0,AS91,MAX(0,$F$7+AS91-E90-AT91))</f>
        <v/>
      </c>
      <c r="AW91">
        <f>IF(F90&lt;=0,0,F90*$E$8/12)</f>
        <v/>
      </c>
      <c r="AX91">
        <f>IF(F90&lt;=0,0,MIN(F90+AW91,$F$8+AV91))</f>
        <v/>
      </c>
      <c r="AY91">
        <f>IF(F90&lt;=0,AV91,MAX(0,$F$8+AV91-F90-AW91))</f>
        <v/>
      </c>
      <c r="AZ91">
        <f>IF(G90&lt;=0,0,G90*$E$9/12)</f>
        <v/>
      </c>
      <c r="BA91">
        <f>IF(G90&lt;=0,0,MIN(G90+AZ91,$F$9+AY91))</f>
        <v/>
      </c>
      <c r="BB91">
        <f>IF(G90&lt;=0,AY91,MAX(0,$F$9+AY91-G90-AZ91))</f>
        <v/>
      </c>
      <c r="BC91">
        <f>IF(H90&lt;=0,0,H90*$E$10/12)</f>
        <v/>
      </c>
      <c r="BD91">
        <f>IF(H90&lt;=0,0,MIN(H90+BC91,$F$10+BB91))</f>
        <v/>
      </c>
      <c r="BE91">
        <f>IF(H90&lt;=0,BB91,MAX(0,$F$10+BB91-H90-BC91))</f>
        <v/>
      </c>
      <c r="BF91">
        <f>IF(I90&lt;=0,0,I90*$E$11/12)</f>
        <v/>
      </c>
      <c r="BG91">
        <f>IF(I90&lt;=0,0,MIN(I90+BF91,$F$11+BE91))</f>
        <v/>
      </c>
      <c r="BH91">
        <f>IF(I90&lt;=0,BE91,MAX(0,$F$11+BE91-I90-BF91))</f>
        <v/>
      </c>
      <c r="BI91">
        <f>IF(J90&lt;=0,0,J90*$E$12/12)</f>
        <v/>
      </c>
      <c r="BJ91">
        <f>IF(J90&lt;=0,0,MIN(J90+BI91,$F$12+BH91))</f>
        <v/>
      </c>
      <c r="BK91">
        <f>IF(J90&lt;=0,BH91,MAX(0,$F$12+BH91-J90-BI91))</f>
        <v/>
      </c>
      <c r="BL91">
        <f>IF(K90&lt;=0,0,K90*$E$13/12)</f>
        <v/>
      </c>
      <c r="BM91">
        <f>IF(K90&lt;=0,0,MIN(K90+BL91,$F$13+BK91))</f>
        <v/>
      </c>
      <c r="BN91">
        <f>IF(K90&lt;=0,BK91,MAX(0,$F$13+BK91-K90-BL91))</f>
        <v/>
      </c>
      <c r="BO91">
        <f>IF(L90&lt;=0,0,L90*$E$14/12)</f>
        <v/>
      </c>
      <c r="BP91">
        <f>IF(L90&lt;=0,0,MIN(L90+BO91,$F$14+BN91))</f>
        <v/>
      </c>
      <c r="BQ91">
        <f>IF(L90&lt;=0,BN91,MAX(0,$F$14+BN91-L90-BO91))</f>
        <v/>
      </c>
      <c r="BR91">
        <f>IF(M90&lt;=0,0,M90*$E$15/12)</f>
        <v/>
      </c>
      <c r="BS91">
        <f>IF(M90&lt;=0,0,MIN(M90+BR91,$F$15+BQ91))</f>
        <v/>
      </c>
      <c r="BT91">
        <f>IF(M90&lt;=0,BQ91,MAX(0,$F$15+BQ91-M90-BR91))</f>
        <v/>
      </c>
      <c r="BU91">
        <f>IF(N90&lt;=0,0,N90*$E$16/12)</f>
        <v/>
      </c>
      <c r="BV91">
        <f>IF(N90&lt;=0,0,MIN(N90+BU91,$F$16+BT91))</f>
        <v/>
      </c>
      <c r="BW91">
        <f>IF(N90&lt;=0,BT91,MAX(0,$F$16+BT91-N90-BU91))</f>
        <v/>
      </c>
      <c r="BX91">
        <f>IF(O90&lt;=0,0,O90*$E$17/12)</f>
        <v/>
      </c>
      <c r="BY91">
        <f>IF(O90&lt;=0,0,MIN(O90+BX91,$F$17+BW91))</f>
        <v/>
      </c>
      <c r="BZ91">
        <f>IF(O90&lt;=0,BW91,MAX(0,$F$17+BW91-O90-BX91))</f>
        <v/>
      </c>
      <c r="CA91">
        <f>IF(P90&lt;=0,0,P90*$E$18/12)</f>
        <v/>
      </c>
      <c r="CB91">
        <f>IF(P90&lt;=0,0,MIN(P90+CA91,$F$18+BZ91))</f>
        <v/>
      </c>
      <c r="CC91">
        <f>IF(P90&lt;=0,BZ91,MAX(0,$F$18+BZ91-P90-CA91))</f>
        <v/>
      </c>
      <c r="CD91">
        <f>IF(Q90&lt;=0,0,Q90*$E$19/12)</f>
        <v/>
      </c>
      <c r="CE91">
        <f>IF(Q90&lt;=0,0,MIN(Q90+CD91,$F$19+CC91))</f>
        <v/>
      </c>
      <c r="CF91">
        <f>IF(Q90&lt;=0,CC91,MAX(0,$F$19+CC91-Q90-CD91))</f>
        <v/>
      </c>
      <c r="CG91">
        <f>IF(R90&lt;=0,0,R90*$E$20/12)</f>
        <v/>
      </c>
      <c r="CH91">
        <f>IF(R90&lt;=0,0,MIN(R90+CG91,$F$20+CF91))</f>
        <v/>
      </c>
      <c r="CI91">
        <f>IF(R90&lt;=0,CF91,MAX(0,$F$20+CF91-R90-CG91))</f>
        <v/>
      </c>
      <c r="CJ91">
        <f>IF(S90&lt;=0,0,S90*$E$21/12)</f>
        <v/>
      </c>
      <c r="CK91">
        <f>IF(S90&lt;=0,0,MIN(S90+CJ91,$F$21+CI91))</f>
        <v/>
      </c>
      <c r="CL91">
        <f>IF(S90&lt;=0,CI91,MAX(0,$F$21+CI91-S90-CJ91))</f>
        <v/>
      </c>
      <c r="CM91">
        <f>IF(T90&lt;=0,0,T90*$E$22/12)</f>
        <v/>
      </c>
      <c r="CN91">
        <f>IF(T90&lt;=0,0,MIN(T90+CM91,$F$22+CL91))</f>
        <v/>
      </c>
      <c r="CO91">
        <f>IF(T90&lt;=0,CL91,MAX(0,$F$22+CL91-T90-CM91))</f>
        <v/>
      </c>
      <c r="CP91">
        <f>IF(U90&lt;=0,0,U90*$E$23/12)</f>
        <v/>
      </c>
      <c r="CQ91">
        <f>IF(U90&lt;=0,0,MIN(U90+CP91,$F$23+CO91))</f>
        <v/>
      </c>
      <c r="CR91">
        <f>IF(U90&lt;=0,CO91,MAX(0,$F$23+CO91-U90-CP91))</f>
        <v/>
      </c>
      <c r="CS91">
        <f>IF(V90&lt;=0,0,V90*$E$24/12)</f>
        <v/>
      </c>
      <c r="CT91">
        <f>IF(V90&lt;=0,0,MIN(V90+CS91,$F$24+CR91))</f>
        <v/>
      </c>
      <c r="CU91">
        <f>IF(V90&lt;=0,CR91,MAX(0,$F$24+CR91-V90-CS91))</f>
        <v/>
      </c>
    </row>
    <row r="92">
      <c r="B92" s="39" t="n">
        <v>66</v>
      </c>
      <c r="C92" s="13">
        <f>IF(C91&lt;=0,0,MAX(0,C91+AN92-AO92))</f>
        <v/>
      </c>
      <c r="D92" s="13">
        <f>IF(D91&lt;=0,0,MAX(0,D91+AQ92-AR92))</f>
        <v/>
      </c>
      <c r="E92" s="13">
        <f>IF(E91&lt;=0,0,MAX(0,E91+AT92-AU92))</f>
        <v/>
      </c>
      <c r="F92" s="13">
        <f>IF(F91&lt;=0,0,MAX(0,F91+AW92-AX92))</f>
        <v/>
      </c>
      <c r="G92" s="13">
        <f>IF(G91&lt;=0,0,MAX(0,G91+AZ92-BA92))</f>
        <v/>
      </c>
      <c r="H92" s="13">
        <f>IF(H91&lt;=0,0,MAX(0,H91+BC92-BD92))</f>
        <v/>
      </c>
      <c r="I92" s="13">
        <f>IF(I91&lt;=0,0,MAX(0,I91+BF92-BG92))</f>
        <v/>
      </c>
      <c r="J92" s="13">
        <f>IF(J91&lt;=0,0,MAX(0,J91+BI92-BJ92))</f>
        <v/>
      </c>
      <c r="K92" s="13">
        <f>IF(K91&lt;=0,0,MAX(0,K91+BL92-BM92))</f>
        <v/>
      </c>
      <c r="L92" s="13">
        <f>IF(L91&lt;=0,0,MAX(0,L91+BO92-BP92))</f>
        <v/>
      </c>
      <c r="M92" s="13">
        <f>IF(M91&lt;=0,0,MAX(0,M91+BR92-BS92))</f>
        <v/>
      </c>
      <c r="N92" s="13">
        <f>IF(N91&lt;=0,0,MAX(0,N91+BU92-BV92))</f>
        <v/>
      </c>
      <c r="O92" s="13">
        <f>IF(O91&lt;=0,0,MAX(0,O91+BX92-BY92))</f>
        <v/>
      </c>
      <c r="P92" s="13">
        <f>IF(P91&lt;=0,0,MAX(0,P91+CA92-CB92))</f>
        <v/>
      </c>
      <c r="Q92" s="13">
        <f>IF(Q91&lt;=0,0,MAX(0,Q91+CD92-CE92))</f>
        <v/>
      </c>
      <c r="R92" s="13">
        <f>IF(R91&lt;=0,0,MAX(0,R91+CG92-CH92))</f>
        <v/>
      </c>
      <c r="S92" s="13">
        <f>IF(S91&lt;=0,0,MAX(0,S91+CJ92-CK92))</f>
        <v/>
      </c>
      <c r="T92" s="13">
        <f>IF(T91&lt;=0,0,MAX(0,T91+CM92-CN92))</f>
        <v/>
      </c>
      <c r="U92" s="13">
        <f>IF(U91&lt;=0,0,MAX(0,U91+CP92-CQ92))</f>
        <v/>
      </c>
      <c r="V92" s="13">
        <f>IF(V91&lt;=0,0,MAX(0,V91+CS92-CT92))</f>
        <v/>
      </c>
      <c r="W92" s="13">
        <f>AO92+AR92+AU92+AX92+BA92+BD92+BG92+BJ92+BM92+BP92+BS92+BV92+BY92+CB92+CE92+CH92+CK92+CN92+CQ92+CT92</f>
        <v/>
      </c>
      <c r="X92" s="13">
        <f>AN92+AQ92+AT92+AW92+AZ92+BC92+BF92+BI92+BL92+BO92+BR92+BU92+BX92+CA92+CD92+CG92+CJ92+CM92+CP92+CS92</f>
        <v/>
      </c>
      <c r="Y92" s="27">
        <f>C92+D92+E92+F92+G92+H92+I92+J92+K92+L92+M92+N92+O92+P92+Q92+R92+S92+T92+U92+V92</f>
        <v/>
      </c>
      <c r="AN92">
        <f>IF(C91&lt;=0,0,C91*$E$5/12)</f>
        <v/>
      </c>
      <c r="AO92">
        <f>IF(C91&lt;=0,0,MIN(C91+AN92,$F$5+(Dashboard!$C$11+IF(C91&lt;=0,$F$5,0)+IF(D91&lt;=0,$F$6,0)+IF(E91&lt;=0,$F$7,0)+IF(F91&lt;=0,$F$8,0)+IF(G91&lt;=0,$F$9,0)+IF(H91&lt;=0,$F$10,0)+IF(I91&lt;=0,$F$11,0)+IF(J91&lt;=0,$F$12,0)+IF(K91&lt;=0,$F$13,0)+IF(L91&lt;=0,$F$14,0)+IF(M91&lt;=0,$F$15,0)+IF(N91&lt;=0,$F$16,0)+IF(O91&lt;=0,$F$17,0)+IF(P91&lt;=0,$F$18,0)+IF(Q91&lt;=0,$F$19,0)+IF(R91&lt;=0,$F$20,0)+IF(S91&lt;=0,$F$21,0)+IF(T91&lt;=0,$F$22,0)+IF(U91&lt;=0,$F$23,0)+IF(V91&lt;=0,$F$24,0))))</f>
        <v/>
      </c>
      <c r="AP92">
        <f>IF(C91&lt;=0,(Dashboard!$C$11+IF(C91&lt;=0,$F$5,0)+IF(D91&lt;=0,$F$6,0)+IF(E91&lt;=0,$F$7,0)+IF(F91&lt;=0,$F$8,0)+IF(G91&lt;=0,$F$9,0)+IF(H91&lt;=0,$F$10,0)+IF(I91&lt;=0,$F$11,0)+IF(J91&lt;=0,$F$12,0)+IF(K91&lt;=0,$F$13,0)+IF(L91&lt;=0,$F$14,0)+IF(M91&lt;=0,$F$15,0)+IF(N91&lt;=0,$F$16,0)+IF(O91&lt;=0,$F$17,0)+IF(P91&lt;=0,$F$18,0)+IF(Q91&lt;=0,$F$19,0)+IF(R91&lt;=0,$F$20,0)+IF(S91&lt;=0,$F$21,0)+IF(T91&lt;=0,$F$22,0)+IF(U91&lt;=0,$F$23,0)+IF(V91&lt;=0,$F$24,0)),MAX(0,$F$5+(Dashboard!$C$11+IF(C91&lt;=0,$F$5,0)+IF(D91&lt;=0,$F$6,0)+IF(E91&lt;=0,$F$7,0)+IF(F91&lt;=0,$F$8,0)+IF(G91&lt;=0,$F$9,0)+IF(H91&lt;=0,$F$10,0)+IF(I91&lt;=0,$F$11,0)+IF(J91&lt;=0,$F$12,0)+IF(K91&lt;=0,$F$13,0)+IF(L91&lt;=0,$F$14,0)+IF(M91&lt;=0,$F$15,0)+IF(N91&lt;=0,$F$16,0)+IF(O91&lt;=0,$F$17,0)+IF(P91&lt;=0,$F$18,0)+IF(Q91&lt;=0,$F$19,0)+IF(R91&lt;=0,$F$20,0)+IF(S91&lt;=0,$F$21,0)+IF(T91&lt;=0,$F$22,0)+IF(U91&lt;=0,$F$23,0)+IF(V91&lt;=0,$F$24,0))-C91-AN92))</f>
        <v/>
      </c>
      <c r="AQ92">
        <f>IF(D91&lt;=0,0,D91*$E$6/12)</f>
        <v/>
      </c>
      <c r="AR92">
        <f>IF(D91&lt;=0,0,MIN(D91+AQ92,$F$6+AP92))</f>
        <v/>
      </c>
      <c r="AS92">
        <f>IF(D91&lt;=0,AP92,MAX(0,$F$6+AP92-D91-AQ92))</f>
        <v/>
      </c>
      <c r="AT92">
        <f>IF(E91&lt;=0,0,E91*$E$7/12)</f>
        <v/>
      </c>
      <c r="AU92">
        <f>IF(E91&lt;=0,0,MIN(E91+AT92,$F$7+AS92))</f>
        <v/>
      </c>
      <c r="AV92">
        <f>IF(E91&lt;=0,AS92,MAX(0,$F$7+AS92-E91-AT92))</f>
        <v/>
      </c>
      <c r="AW92">
        <f>IF(F91&lt;=0,0,F91*$E$8/12)</f>
        <v/>
      </c>
      <c r="AX92">
        <f>IF(F91&lt;=0,0,MIN(F91+AW92,$F$8+AV92))</f>
        <v/>
      </c>
      <c r="AY92">
        <f>IF(F91&lt;=0,AV92,MAX(0,$F$8+AV92-F91-AW92))</f>
        <v/>
      </c>
      <c r="AZ92">
        <f>IF(G91&lt;=0,0,G91*$E$9/12)</f>
        <v/>
      </c>
      <c r="BA92">
        <f>IF(G91&lt;=0,0,MIN(G91+AZ92,$F$9+AY92))</f>
        <v/>
      </c>
      <c r="BB92">
        <f>IF(G91&lt;=0,AY92,MAX(0,$F$9+AY92-G91-AZ92))</f>
        <v/>
      </c>
      <c r="BC92">
        <f>IF(H91&lt;=0,0,H91*$E$10/12)</f>
        <v/>
      </c>
      <c r="BD92">
        <f>IF(H91&lt;=0,0,MIN(H91+BC92,$F$10+BB92))</f>
        <v/>
      </c>
      <c r="BE92">
        <f>IF(H91&lt;=0,BB92,MAX(0,$F$10+BB92-H91-BC92))</f>
        <v/>
      </c>
      <c r="BF92">
        <f>IF(I91&lt;=0,0,I91*$E$11/12)</f>
        <v/>
      </c>
      <c r="BG92">
        <f>IF(I91&lt;=0,0,MIN(I91+BF92,$F$11+BE92))</f>
        <v/>
      </c>
      <c r="BH92">
        <f>IF(I91&lt;=0,BE92,MAX(0,$F$11+BE92-I91-BF92))</f>
        <v/>
      </c>
      <c r="BI92">
        <f>IF(J91&lt;=0,0,J91*$E$12/12)</f>
        <v/>
      </c>
      <c r="BJ92">
        <f>IF(J91&lt;=0,0,MIN(J91+BI92,$F$12+BH92))</f>
        <v/>
      </c>
      <c r="BK92">
        <f>IF(J91&lt;=0,BH92,MAX(0,$F$12+BH92-J91-BI92))</f>
        <v/>
      </c>
      <c r="BL92">
        <f>IF(K91&lt;=0,0,K91*$E$13/12)</f>
        <v/>
      </c>
      <c r="BM92">
        <f>IF(K91&lt;=0,0,MIN(K91+BL92,$F$13+BK92))</f>
        <v/>
      </c>
      <c r="BN92">
        <f>IF(K91&lt;=0,BK92,MAX(0,$F$13+BK92-K91-BL92))</f>
        <v/>
      </c>
      <c r="BO92">
        <f>IF(L91&lt;=0,0,L91*$E$14/12)</f>
        <v/>
      </c>
      <c r="BP92">
        <f>IF(L91&lt;=0,0,MIN(L91+BO92,$F$14+BN92))</f>
        <v/>
      </c>
      <c r="BQ92">
        <f>IF(L91&lt;=0,BN92,MAX(0,$F$14+BN92-L91-BO92))</f>
        <v/>
      </c>
      <c r="BR92">
        <f>IF(M91&lt;=0,0,M91*$E$15/12)</f>
        <v/>
      </c>
      <c r="BS92">
        <f>IF(M91&lt;=0,0,MIN(M91+BR92,$F$15+BQ92))</f>
        <v/>
      </c>
      <c r="BT92">
        <f>IF(M91&lt;=0,BQ92,MAX(0,$F$15+BQ92-M91-BR92))</f>
        <v/>
      </c>
      <c r="BU92">
        <f>IF(N91&lt;=0,0,N91*$E$16/12)</f>
        <v/>
      </c>
      <c r="BV92">
        <f>IF(N91&lt;=0,0,MIN(N91+BU92,$F$16+BT92))</f>
        <v/>
      </c>
      <c r="BW92">
        <f>IF(N91&lt;=0,BT92,MAX(0,$F$16+BT92-N91-BU92))</f>
        <v/>
      </c>
      <c r="BX92">
        <f>IF(O91&lt;=0,0,O91*$E$17/12)</f>
        <v/>
      </c>
      <c r="BY92">
        <f>IF(O91&lt;=0,0,MIN(O91+BX92,$F$17+BW92))</f>
        <v/>
      </c>
      <c r="BZ92">
        <f>IF(O91&lt;=0,BW92,MAX(0,$F$17+BW92-O91-BX92))</f>
        <v/>
      </c>
      <c r="CA92">
        <f>IF(P91&lt;=0,0,P91*$E$18/12)</f>
        <v/>
      </c>
      <c r="CB92">
        <f>IF(P91&lt;=0,0,MIN(P91+CA92,$F$18+BZ92))</f>
        <v/>
      </c>
      <c r="CC92">
        <f>IF(P91&lt;=0,BZ92,MAX(0,$F$18+BZ92-P91-CA92))</f>
        <v/>
      </c>
      <c r="CD92">
        <f>IF(Q91&lt;=0,0,Q91*$E$19/12)</f>
        <v/>
      </c>
      <c r="CE92">
        <f>IF(Q91&lt;=0,0,MIN(Q91+CD92,$F$19+CC92))</f>
        <v/>
      </c>
      <c r="CF92">
        <f>IF(Q91&lt;=0,CC92,MAX(0,$F$19+CC92-Q91-CD92))</f>
        <v/>
      </c>
      <c r="CG92">
        <f>IF(R91&lt;=0,0,R91*$E$20/12)</f>
        <v/>
      </c>
      <c r="CH92">
        <f>IF(R91&lt;=0,0,MIN(R91+CG92,$F$20+CF92))</f>
        <v/>
      </c>
      <c r="CI92">
        <f>IF(R91&lt;=0,CF92,MAX(0,$F$20+CF92-R91-CG92))</f>
        <v/>
      </c>
      <c r="CJ92">
        <f>IF(S91&lt;=0,0,S91*$E$21/12)</f>
        <v/>
      </c>
      <c r="CK92">
        <f>IF(S91&lt;=0,0,MIN(S91+CJ92,$F$21+CI92))</f>
        <v/>
      </c>
      <c r="CL92">
        <f>IF(S91&lt;=0,CI92,MAX(0,$F$21+CI92-S91-CJ92))</f>
        <v/>
      </c>
      <c r="CM92">
        <f>IF(T91&lt;=0,0,T91*$E$22/12)</f>
        <v/>
      </c>
      <c r="CN92">
        <f>IF(T91&lt;=0,0,MIN(T91+CM92,$F$22+CL92))</f>
        <v/>
      </c>
      <c r="CO92">
        <f>IF(T91&lt;=0,CL92,MAX(0,$F$22+CL92-T91-CM92))</f>
        <v/>
      </c>
      <c r="CP92">
        <f>IF(U91&lt;=0,0,U91*$E$23/12)</f>
        <v/>
      </c>
      <c r="CQ92">
        <f>IF(U91&lt;=0,0,MIN(U91+CP92,$F$23+CO92))</f>
        <v/>
      </c>
      <c r="CR92">
        <f>IF(U91&lt;=0,CO92,MAX(0,$F$23+CO92-U91-CP92))</f>
        <v/>
      </c>
      <c r="CS92">
        <f>IF(V91&lt;=0,0,V91*$E$24/12)</f>
        <v/>
      </c>
      <c r="CT92">
        <f>IF(V91&lt;=0,0,MIN(V91+CS92,$F$24+CR92))</f>
        <v/>
      </c>
      <c r="CU92">
        <f>IF(V91&lt;=0,CR92,MAX(0,$F$24+CR92-V91-CS92))</f>
        <v/>
      </c>
    </row>
    <row r="93">
      <c r="B93" s="39" t="n">
        <v>67</v>
      </c>
      <c r="C93" s="13">
        <f>IF(C92&lt;=0,0,MAX(0,C92+AN93-AO93))</f>
        <v/>
      </c>
      <c r="D93" s="13">
        <f>IF(D92&lt;=0,0,MAX(0,D92+AQ93-AR93))</f>
        <v/>
      </c>
      <c r="E93" s="13">
        <f>IF(E92&lt;=0,0,MAX(0,E92+AT93-AU93))</f>
        <v/>
      </c>
      <c r="F93" s="13">
        <f>IF(F92&lt;=0,0,MAX(0,F92+AW93-AX93))</f>
        <v/>
      </c>
      <c r="G93" s="13">
        <f>IF(G92&lt;=0,0,MAX(0,G92+AZ93-BA93))</f>
        <v/>
      </c>
      <c r="H93" s="13">
        <f>IF(H92&lt;=0,0,MAX(0,H92+BC93-BD93))</f>
        <v/>
      </c>
      <c r="I93" s="13">
        <f>IF(I92&lt;=0,0,MAX(0,I92+BF93-BG93))</f>
        <v/>
      </c>
      <c r="J93" s="13">
        <f>IF(J92&lt;=0,0,MAX(0,J92+BI93-BJ93))</f>
        <v/>
      </c>
      <c r="K93" s="13">
        <f>IF(K92&lt;=0,0,MAX(0,K92+BL93-BM93))</f>
        <v/>
      </c>
      <c r="L93" s="13">
        <f>IF(L92&lt;=0,0,MAX(0,L92+BO93-BP93))</f>
        <v/>
      </c>
      <c r="M93" s="13">
        <f>IF(M92&lt;=0,0,MAX(0,M92+BR93-BS93))</f>
        <v/>
      </c>
      <c r="N93" s="13">
        <f>IF(N92&lt;=0,0,MAX(0,N92+BU93-BV93))</f>
        <v/>
      </c>
      <c r="O93" s="13">
        <f>IF(O92&lt;=0,0,MAX(0,O92+BX93-BY93))</f>
        <v/>
      </c>
      <c r="P93" s="13">
        <f>IF(P92&lt;=0,0,MAX(0,P92+CA93-CB93))</f>
        <v/>
      </c>
      <c r="Q93" s="13">
        <f>IF(Q92&lt;=0,0,MAX(0,Q92+CD93-CE93))</f>
        <v/>
      </c>
      <c r="R93" s="13">
        <f>IF(R92&lt;=0,0,MAX(0,R92+CG93-CH93))</f>
        <v/>
      </c>
      <c r="S93" s="13">
        <f>IF(S92&lt;=0,0,MAX(0,S92+CJ93-CK93))</f>
        <v/>
      </c>
      <c r="T93" s="13">
        <f>IF(T92&lt;=0,0,MAX(0,T92+CM93-CN93))</f>
        <v/>
      </c>
      <c r="U93" s="13">
        <f>IF(U92&lt;=0,0,MAX(0,U92+CP93-CQ93))</f>
        <v/>
      </c>
      <c r="V93" s="13">
        <f>IF(V92&lt;=0,0,MAX(0,V92+CS93-CT93))</f>
        <v/>
      </c>
      <c r="W93" s="13">
        <f>AO93+AR93+AU93+AX93+BA93+BD93+BG93+BJ93+BM93+BP93+BS93+BV93+BY93+CB93+CE93+CH93+CK93+CN93+CQ93+CT93</f>
        <v/>
      </c>
      <c r="X93" s="13">
        <f>AN93+AQ93+AT93+AW93+AZ93+BC93+BF93+BI93+BL93+BO93+BR93+BU93+BX93+CA93+CD93+CG93+CJ93+CM93+CP93+CS93</f>
        <v/>
      </c>
      <c r="Y93" s="27">
        <f>C93+D93+E93+F93+G93+H93+I93+J93+K93+L93+M93+N93+O93+P93+Q93+R93+S93+T93+U93+V93</f>
        <v/>
      </c>
      <c r="AN93">
        <f>IF(C92&lt;=0,0,C92*$E$5/12)</f>
        <v/>
      </c>
      <c r="AO93">
        <f>IF(C92&lt;=0,0,MIN(C92+AN93,$F$5+(Dashboard!$C$11+IF(C92&lt;=0,$F$5,0)+IF(D92&lt;=0,$F$6,0)+IF(E92&lt;=0,$F$7,0)+IF(F92&lt;=0,$F$8,0)+IF(G92&lt;=0,$F$9,0)+IF(H92&lt;=0,$F$10,0)+IF(I92&lt;=0,$F$11,0)+IF(J92&lt;=0,$F$12,0)+IF(K92&lt;=0,$F$13,0)+IF(L92&lt;=0,$F$14,0)+IF(M92&lt;=0,$F$15,0)+IF(N92&lt;=0,$F$16,0)+IF(O92&lt;=0,$F$17,0)+IF(P92&lt;=0,$F$18,0)+IF(Q92&lt;=0,$F$19,0)+IF(R92&lt;=0,$F$20,0)+IF(S92&lt;=0,$F$21,0)+IF(T92&lt;=0,$F$22,0)+IF(U92&lt;=0,$F$23,0)+IF(V92&lt;=0,$F$24,0))))</f>
        <v/>
      </c>
      <c r="AP93">
        <f>IF(C92&lt;=0,(Dashboard!$C$11+IF(C92&lt;=0,$F$5,0)+IF(D92&lt;=0,$F$6,0)+IF(E92&lt;=0,$F$7,0)+IF(F92&lt;=0,$F$8,0)+IF(G92&lt;=0,$F$9,0)+IF(H92&lt;=0,$F$10,0)+IF(I92&lt;=0,$F$11,0)+IF(J92&lt;=0,$F$12,0)+IF(K92&lt;=0,$F$13,0)+IF(L92&lt;=0,$F$14,0)+IF(M92&lt;=0,$F$15,0)+IF(N92&lt;=0,$F$16,0)+IF(O92&lt;=0,$F$17,0)+IF(P92&lt;=0,$F$18,0)+IF(Q92&lt;=0,$F$19,0)+IF(R92&lt;=0,$F$20,0)+IF(S92&lt;=0,$F$21,0)+IF(T92&lt;=0,$F$22,0)+IF(U92&lt;=0,$F$23,0)+IF(V92&lt;=0,$F$24,0)),MAX(0,$F$5+(Dashboard!$C$11+IF(C92&lt;=0,$F$5,0)+IF(D92&lt;=0,$F$6,0)+IF(E92&lt;=0,$F$7,0)+IF(F92&lt;=0,$F$8,0)+IF(G92&lt;=0,$F$9,0)+IF(H92&lt;=0,$F$10,0)+IF(I92&lt;=0,$F$11,0)+IF(J92&lt;=0,$F$12,0)+IF(K92&lt;=0,$F$13,0)+IF(L92&lt;=0,$F$14,0)+IF(M92&lt;=0,$F$15,0)+IF(N92&lt;=0,$F$16,0)+IF(O92&lt;=0,$F$17,0)+IF(P92&lt;=0,$F$18,0)+IF(Q92&lt;=0,$F$19,0)+IF(R92&lt;=0,$F$20,0)+IF(S92&lt;=0,$F$21,0)+IF(T92&lt;=0,$F$22,0)+IF(U92&lt;=0,$F$23,0)+IF(V92&lt;=0,$F$24,0))-C92-AN93))</f>
        <v/>
      </c>
      <c r="AQ93">
        <f>IF(D92&lt;=0,0,D92*$E$6/12)</f>
        <v/>
      </c>
      <c r="AR93">
        <f>IF(D92&lt;=0,0,MIN(D92+AQ93,$F$6+AP93))</f>
        <v/>
      </c>
      <c r="AS93">
        <f>IF(D92&lt;=0,AP93,MAX(0,$F$6+AP93-D92-AQ93))</f>
        <v/>
      </c>
      <c r="AT93">
        <f>IF(E92&lt;=0,0,E92*$E$7/12)</f>
        <v/>
      </c>
      <c r="AU93">
        <f>IF(E92&lt;=0,0,MIN(E92+AT93,$F$7+AS93))</f>
        <v/>
      </c>
      <c r="AV93">
        <f>IF(E92&lt;=0,AS93,MAX(0,$F$7+AS93-E92-AT93))</f>
        <v/>
      </c>
      <c r="AW93">
        <f>IF(F92&lt;=0,0,F92*$E$8/12)</f>
        <v/>
      </c>
      <c r="AX93">
        <f>IF(F92&lt;=0,0,MIN(F92+AW93,$F$8+AV93))</f>
        <v/>
      </c>
      <c r="AY93">
        <f>IF(F92&lt;=0,AV93,MAX(0,$F$8+AV93-F92-AW93))</f>
        <v/>
      </c>
      <c r="AZ93">
        <f>IF(G92&lt;=0,0,G92*$E$9/12)</f>
        <v/>
      </c>
      <c r="BA93">
        <f>IF(G92&lt;=0,0,MIN(G92+AZ93,$F$9+AY93))</f>
        <v/>
      </c>
      <c r="BB93">
        <f>IF(G92&lt;=0,AY93,MAX(0,$F$9+AY93-G92-AZ93))</f>
        <v/>
      </c>
      <c r="BC93">
        <f>IF(H92&lt;=0,0,H92*$E$10/12)</f>
        <v/>
      </c>
      <c r="BD93">
        <f>IF(H92&lt;=0,0,MIN(H92+BC93,$F$10+BB93))</f>
        <v/>
      </c>
      <c r="BE93">
        <f>IF(H92&lt;=0,BB93,MAX(0,$F$10+BB93-H92-BC93))</f>
        <v/>
      </c>
      <c r="BF93">
        <f>IF(I92&lt;=0,0,I92*$E$11/12)</f>
        <v/>
      </c>
      <c r="BG93">
        <f>IF(I92&lt;=0,0,MIN(I92+BF93,$F$11+BE93))</f>
        <v/>
      </c>
      <c r="BH93">
        <f>IF(I92&lt;=0,BE93,MAX(0,$F$11+BE93-I92-BF93))</f>
        <v/>
      </c>
      <c r="BI93">
        <f>IF(J92&lt;=0,0,J92*$E$12/12)</f>
        <v/>
      </c>
      <c r="BJ93">
        <f>IF(J92&lt;=0,0,MIN(J92+BI93,$F$12+BH93))</f>
        <v/>
      </c>
      <c r="BK93">
        <f>IF(J92&lt;=0,BH93,MAX(0,$F$12+BH93-J92-BI93))</f>
        <v/>
      </c>
      <c r="BL93">
        <f>IF(K92&lt;=0,0,K92*$E$13/12)</f>
        <v/>
      </c>
      <c r="BM93">
        <f>IF(K92&lt;=0,0,MIN(K92+BL93,$F$13+BK93))</f>
        <v/>
      </c>
      <c r="BN93">
        <f>IF(K92&lt;=0,BK93,MAX(0,$F$13+BK93-K92-BL93))</f>
        <v/>
      </c>
      <c r="BO93">
        <f>IF(L92&lt;=0,0,L92*$E$14/12)</f>
        <v/>
      </c>
      <c r="BP93">
        <f>IF(L92&lt;=0,0,MIN(L92+BO93,$F$14+BN93))</f>
        <v/>
      </c>
      <c r="BQ93">
        <f>IF(L92&lt;=0,BN93,MAX(0,$F$14+BN93-L92-BO93))</f>
        <v/>
      </c>
      <c r="BR93">
        <f>IF(M92&lt;=0,0,M92*$E$15/12)</f>
        <v/>
      </c>
      <c r="BS93">
        <f>IF(M92&lt;=0,0,MIN(M92+BR93,$F$15+BQ93))</f>
        <v/>
      </c>
      <c r="BT93">
        <f>IF(M92&lt;=0,BQ93,MAX(0,$F$15+BQ93-M92-BR93))</f>
        <v/>
      </c>
      <c r="BU93">
        <f>IF(N92&lt;=0,0,N92*$E$16/12)</f>
        <v/>
      </c>
      <c r="BV93">
        <f>IF(N92&lt;=0,0,MIN(N92+BU93,$F$16+BT93))</f>
        <v/>
      </c>
      <c r="BW93">
        <f>IF(N92&lt;=0,BT93,MAX(0,$F$16+BT93-N92-BU93))</f>
        <v/>
      </c>
      <c r="BX93">
        <f>IF(O92&lt;=0,0,O92*$E$17/12)</f>
        <v/>
      </c>
      <c r="BY93">
        <f>IF(O92&lt;=0,0,MIN(O92+BX93,$F$17+BW93))</f>
        <v/>
      </c>
      <c r="BZ93">
        <f>IF(O92&lt;=0,BW93,MAX(0,$F$17+BW93-O92-BX93))</f>
        <v/>
      </c>
      <c r="CA93">
        <f>IF(P92&lt;=0,0,P92*$E$18/12)</f>
        <v/>
      </c>
      <c r="CB93">
        <f>IF(P92&lt;=0,0,MIN(P92+CA93,$F$18+BZ93))</f>
        <v/>
      </c>
      <c r="CC93">
        <f>IF(P92&lt;=0,BZ93,MAX(0,$F$18+BZ93-P92-CA93))</f>
        <v/>
      </c>
      <c r="CD93">
        <f>IF(Q92&lt;=0,0,Q92*$E$19/12)</f>
        <v/>
      </c>
      <c r="CE93">
        <f>IF(Q92&lt;=0,0,MIN(Q92+CD93,$F$19+CC93))</f>
        <v/>
      </c>
      <c r="CF93">
        <f>IF(Q92&lt;=0,CC93,MAX(0,$F$19+CC93-Q92-CD93))</f>
        <v/>
      </c>
      <c r="CG93">
        <f>IF(R92&lt;=0,0,R92*$E$20/12)</f>
        <v/>
      </c>
      <c r="CH93">
        <f>IF(R92&lt;=0,0,MIN(R92+CG93,$F$20+CF93))</f>
        <v/>
      </c>
      <c r="CI93">
        <f>IF(R92&lt;=0,CF93,MAX(0,$F$20+CF93-R92-CG93))</f>
        <v/>
      </c>
      <c r="CJ93">
        <f>IF(S92&lt;=0,0,S92*$E$21/12)</f>
        <v/>
      </c>
      <c r="CK93">
        <f>IF(S92&lt;=0,0,MIN(S92+CJ93,$F$21+CI93))</f>
        <v/>
      </c>
      <c r="CL93">
        <f>IF(S92&lt;=0,CI93,MAX(0,$F$21+CI93-S92-CJ93))</f>
        <v/>
      </c>
      <c r="CM93">
        <f>IF(T92&lt;=0,0,T92*$E$22/12)</f>
        <v/>
      </c>
      <c r="CN93">
        <f>IF(T92&lt;=0,0,MIN(T92+CM93,$F$22+CL93))</f>
        <v/>
      </c>
      <c r="CO93">
        <f>IF(T92&lt;=0,CL93,MAX(0,$F$22+CL93-T92-CM93))</f>
        <v/>
      </c>
      <c r="CP93">
        <f>IF(U92&lt;=0,0,U92*$E$23/12)</f>
        <v/>
      </c>
      <c r="CQ93">
        <f>IF(U92&lt;=0,0,MIN(U92+CP93,$F$23+CO93))</f>
        <v/>
      </c>
      <c r="CR93">
        <f>IF(U92&lt;=0,CO93,MAX(0,$F$23+CO93-U92-CP93))</f>
        <v/>
      </c>
      <c r="CS93">
        <f>IF(V92&lt;=0,0,V92*$E$24/12)</f>
        <v/>
      </c>
      <c r="CT93">
        <f>IF(V92&lt;=0,0,MIN(V92+CS93,$F$24+CR93))</f>
        <v/>
      </c>
      <c r="CU93">
        <f>IF(V92&lt;=0,CR93,MAX(0,$F$24+CR93-V92-CS93))</f>
        <v/>
      </c>
    </row>
    <row r="94">
      <c r="B94" s="39" t="n">
        <v>68</v>
      </c>
      <c r="C94" s="13">
        <f>IF(C93&lt;=0,0,MAX(0,C93+AN94-AO94))</f>
        <v/>
      </c>
      <c r="D94" s="13">
        <f>IF(D93&lt;=0,0,MAX(0,D93+AQ94-AR94))</f>
        <v/>
      </c>
      <c r="E94" s="13">
        <f>IF(E93&lt;=0,0,MAX(0,E93+AT94-AU94))</f>
        <v/>
      </c>
      <c r="F94" s="13">
        <f>IF(F93&lt;=0,0,MAX(0,F93+AW94-AX94))</f>
        <v/>
      </c>
      <c r="G94" s="13">
        <f>IF(G93&lt;=0,0,MAX(0,G93+AZ94-BA94))</f>
        <v/>
      </c>
      <c r="H94" s="13">
        <f>IF(H93&lt;=0,0,MAX(0,H93+BC94-BD94))</f>
        <v/>
      </c>
      <c r="I94" s="13">
        <f>IF(I93&lt;=0,0,MAX(0,I93+BF94-BG94))</f>
        <v/>
      </c>
      <c r="J94" s="13">
        <f>IF(J93&lt;=0,0,MAX(0,J93+BI94-BJ94))</f>
        <v/>
      </c>
      <c r="K94" s="13">
        <f>IF(K93&lt;=0,0,MAX(0,K93+BL94-BM94))</f>
        <v/>
      </c>
      <c r="L94" s="13">
        <f>IF(L93&lt;=0,0,MAX(0,L93+BO94-BP94))</f>
        <v/>
      </c>
      <c r="M94" s="13">
        <f>IF(M93&lt;=0,0,MAX(0,M93+BR94-BS94))</f>
        <v/>
      </c>
      <c r="N94" s="13">
        <f>IF(N93&lt;=0,0,MAX(0,N93+BU94-BV94))</f>
        <v/>
      </c>
      <c r="O94" s="13">
        <f>IF(O93&lt;=0,0,MAX(0,O93+BX94-BY94))</f>
        <v/>
      </c>
      <c r="P94" s="13">
        <f>IF(P93&lt;=0,0,MAX(0,P93+CA94-CB94))</f>
        <v/>
      </c>
      <c r="Q94" s="13">
        <f>IF(Q93&lt;=0,0,MAX(0,Q93+CD94-CE94))</f>
        <v/>
      </c>
      <c r="R94" s="13">
        <f>IF(R93&lt;=0,0,MAX(0,R93+CG94-CH94))</f>
        <v/>
      </c>
      <c r="S94" s="13">
        <f>IF(S93&lt;=0,0,MAX(0,S93+CJ94-CK94))</f>
        <v/>
      </c>
      <c r="T94" s="13">
        <f>IF(T93&lt;=0,0,MAX(0,T93+CM94-CN94))</f>
        <v/>
      </c>
      <c r="U94" s="13">
        <f>IF(U93&lt;=0,0,MAX(0,U93+CP94-CQ94))</f>
        <v/>
      </c>
      <c r="V94" s="13">
        <f>IF(V93&lt;=0,0,MAX(0,V93+CS94-CT94))</f>
        <v/>
      </c>
      <c r="W94" s="13">
        <f>AO94+AR94+AU94+AX94+BA94+BD94+BG94+BJ94+BM94+BP94+BS94+BV94+BY94+CB94+CE94+CH94+CK94+CN94+CQ94+CT94</f>
        <v/>
      </c>
      <c r="X94" s="13">
        <f>AN94+AQ94+AT94+AW94+AZ94+BC94+BF94+BI94+BL94+BO94+BR94+BU94+BX94+CA94+CD94+CG94+CJ94+CM94+CP94+CS94</f>
        <v/>
      </c>
      <c r="Y94" s="27">
        <f>C94+D94+E94+F94+G94+H94+I94+J94+K94+L94+M94+N94+O94+P94+Q94+R94+S94+T94+U94+V94</f>
        <v/>
      </c>
      <c r="AN94">
        <f>IF(C93&lt;=0,0,C93*$E$5/12)</f>
        <v/>
      </c>
      <c r="AO94">
        <f>IF(C93&lt;=0,0,MIN(C93+AN94,$F$5+(Dashboard!$C$11+IF(C93&lt;=0,$F$5,0)+IF(D93&lt;=0,$F$6,0)+IF(E93&lt;=0,$F$7,0)+IF(F93&lt;=0,$F$8,0)+IF(G93&lt;=0,$F$9,0)+IF(H93&lt;=0,$F$10,0)+IF(I93&lt;=0,$F$11,0)+IF(J93&lt;=0,$F$12,0)+IF(K93&lt;=0,$F$13,0)+IF(L93&lt;=0,$F$14,0)+IF(M93&lt;=0,$F$15,0)+IF(N93&lt;=0,$F$16,0)+IF(O93&lt;=0,$F$17,0)+IF(P93&lt;=0,$F$18,0)+IF(Q93&lt;=0,$F$19,0)+IF(R93&lt;=0,$F$20,0)+IF(S93&lt;=0,$F$21,0)+IF(T93&lt;=0,$F$22,0)+IF(U93&lt;=0,$F$23,0)+IF(V93&lt;=0,$F$24,0))))</f>
        <v/>
      </c>
      <c r="AP94">
        <f>IF(C93&lt;=0,(Dashboard!$C$11+IF(C93&lt;=0,$F$5,0)+IF(D93&lt;=0,$F$6,0)+IF(E93&lt;=0,$F$7,0)+IF(F93&lt;=0,$F$8,0)+IF(G93&lt;=0,$F$9,0)+IF(H93&lt;=0,$F$10,0)+IF(I93&lt;=0,$F$11,0)+IF(J93&lt;=0,$F$12,0)+IF(K93&lt;=0,$F$13,0)+IF(L93&lt;=0,$F$14,0)+IF(M93&lt;=0,$F$15,0)+IF(N93&lt;=0,$F$16,0)+IF(O93&lt;=0,$F$17,0)+IF(P93&lt;=0,$F$18,0)+IF(Q93&lt;=0,$F$19,0)+IF(R93&lt;=0,$F$20,0)+IF(S93&lt;=0,$F$21,0)+IF(T93&lt;=0,$F$22,0)+IF(U93&lt;=0,$F$23,0)+IF(V93&lt;=0,$F$24,0)),MAX(0,$F$5+(Dashboard!$C$11+IF(C93&lt;=0,$F$5,0)+IF(D93&lt;=0,$F$6,0)+IF(E93&lt;=0,$F$7,0)+IF(F93&lt;=0,$F$8,0)+IF(G93&lt;=0,$F$9,0)+IF(H93&lt;=0,$F$10,0)+IF(I93&lt;=0,$F$11,0)+IF(J93&lt;=0,$F$12,0)+IF(K93&lt;=0,$F$13,0)+IF(L93&lt;=0,$F$14,0)+IF(M93&lt;=0,$F$15,0)+IF(N93&lt;=0,$F$16,0)+IF(O93&lt;=0,$F$17,0)+IF(P93&lt;=0,$F$18,0)+IF(Q93&lt;=0,$F$19,0)+IF(R93&lt;=0,$F$20,0)+IF(S93&lt;=0,$F$21,0)+IF(T93&lt;=0,$F$22,0)+IF(U93&lt;=0,$F$23,0)+IF(V93&lt;=0,$F$24,0))-C93-AN94))</f>
        <v/>
      </c>
      <c r="AQ94">
        <f>IF(D93&lt;=0,0,D93*$E$6/12)</f>
        <v/>
      </c>
      <c r="AR94">
        <f>IF(D93&lt;=0,0,MIN(D93+AQ94,$F$6+AP94))</f>
        <v/>
      </c>
      <c r="AS94">
        <f>IF(D93&lt;=0,AP94,MAX(0,$F$6+AP94-D93-AQ94))</f>
        <v/>
      </c>
      <c r="AT94">
        <f>IF(E93&lt;=0,0,E93*$E$7/12)</f>
        <v/>
      </c>
      <c r="AU94">
        <f>IF(E93&lt;=0,0,MIN(E93+AT94,$F$7+AS94))</f>
        <v/>
      </c>
      <c r="AV94">
        <f>IF(E93&lt;=0,AS94,MAX(0,$F$7+AS94-E93-AT94))</f>
        <v/>
      </c>
      <c r="AW94">
        <f>IF(F93&lt;=0,0,F93*$E$8/12)</f>
        <v/>
      </c>
      <c r="AX94">
        <f>IF(F93&lt;=0,0,MIN(F93+AW94,$F$8+AV94))</f>
        <v/>
      </c>
      <c r="AY94">
        <f>IF(F93&lt;=0,AV94,MAX(0,$F$8+AV94-F93-AW94))</f>
        <v/>
      </c>
      <c r="AZ94">
        <f>IF(G93&lt;=0,0,G93*$E$9/12)</f>
        <v/>
      </c>
      <c r="BA94">
        <f>IF(G93&lt;=0,0,MIN(G93+AZ94,$F$9+AY94))</f>
        <v/>
      </c>
      <c r="BB94">
        <f>IF(G93&lt;=0,AY94,MAX(0,$F$9+AY94-G93-AZ94))</f>
        <v/>
      </c>
      <c r="BC94">
        <f>IF(H93&lt;=0,0,H93*$E$10/12)</f>
        <v/>
      </c>
      <c r="BD94">
        <f>IF(H93&lt;=0,0,MIN(H93+BC94,$F$10+BB94))</f>
        <v/>
      </c>
      <c r="BE94">
        <f>IF(H93&lt;=0,BB94,MAX(0,$F$10+BB94-H93-BC94))</f>
        <v/>
      </c>
      <c r="BF94">
        <f>IF(I93&lt;=0,0,I93*$E$11/12)</f>
        <v/>
      </c>
      <c r="BG94">
        <f>IF(I93&lt;=0,0,MIN(I93+BF94,$F$11+BE94))</f>
        <v/>
      </c>
      <c r="BH94">
        <f>IF(I93&lt;=0,BE94,MAX(0,$F$11+BE94-I93-BF94))</f>
        <v/>
      </c>
      <c r="BI94">
        <f>IF(J93&lt;=0,0,J93*$E$12/12)</f>
        <v/>
      </c>
      <c r="BJ94">
        <f>IF(J93&lt;=0,0,MIN(J93+BI94,$F$12+BH94))</f>
        <v/>
      </c>
      <c r="BK94">
        <f>IF(J93&lt;=0,BH94,MAX(0,$F$12+BH94-J93-BI94))</f>
        <v/>
      </c>
      <c r="BL94">
        <f>IF(K93&lt;=0,0,K93*$E$13/12)</f>
        <v/>
      </c>
      <c r="BM94">
        <f>IF(K93&lt;=0,0,MIN(K93+BL94,$F$13+BK94))</f>
        <v/>
      </c>
      <c r="BN94">
        <f>IF(K93&lt;=0,BK94,MAX(0,$F$13+BK94-K93-BL94))</f>
        <v/>
      </c>
      <c r="BO94">
        <f>IF(L93&lt;=0,0,L93*$E$14/12)</f>
        <v/>
      </c>
      <c r="BP94">
        <f>IF(L93&lt;=0,0,MIN(L93+BO94,$F$14+BN94))</f>
        <v/>
      </c>
      <c r="BQ94">
        <f>IF(L93&lt;=0,BN94,MAX(0,$F$14+BN94-L93-BO94))</f>
        <v/>
      </c>
      <c r="BR94">
        <f>IF(M93&lt;=0,0,M93*$E$15/12)</f>
        <v/>
      </c>
      <c r="BS94">
        <f>IF(M93&lt;=0,0,MIN(M93+BR94,$F$15+BQ94))</f>
        <v/>
      </c>
      <c r="BT94">
        <f>IF(M93&lt;=0,BQ94,MAX(0,$F$15+BQ94-M93-BR94))</f>
        <v/>
      </c>
      <c r="BU94">
        <f>IF(N93&lt;=0,0,N93*$E$16/12)</f>
        <v/>
      </c>
      <c r="BV94">
        <f>IF(N93&lt;=0,0,MIN(N93+BU94,$F$16+BT94))</f>
        <v/>
      </c>
      <c r="BW94">
        <f>IF(N93&lt;=0,BT94,MAX(0,$F$16+BT94-N93-BU94))</f>
        <v/>
      </c>
      <c r="BX94">
        <f>IF(O93&lt;=0,0,O93*$E$17/12)</f>
        <v/>
      </c>
      <c r="BY94">
        <f>IF(O93&lt;=0,0,MIN(O93+BX94,$F$17+BW94))</f>
        <v/>
      </c>
      <c r="BZ94">
        <f>IF(O93&lt;=0,BW94,MAX(0,$F$17+BW94-O93-BX94))</f>
        <v/>
      </c>
      <c r="CA94">
        <f>IF(P93&lt;=0,0,P93*$E$18/12)</f>
        <v/>
      </c>
      <c r="CB94">
        <f>IF(P93&lt;=0,0,MIN(P93+CA94,$F$18+BZ94))</f>
        <v/>
      </c>
      <c r="CC94">
        <f>IF(P93&lt;=0,BZ94,MAX(0,$F$18+BZ94-P93-CA94))</f>
        <v/>
      </c>
      <c r="CD94">
        <f>IF(Q93&lt;=0,0,Q93*$E$19/12)</f>
        <v/>
      </c>
      <c r="CE94">
        <f>IF(Q93&lt;=0,0,MIN(Q93+CD94,$F$19+CC94))</f>
        <v/>
      </c>
      <c r="CF94">
        <f>IF(Q93&lt;=0,CC94,MAX(0,$F$19+CC94-Q93-CD94))</f>
        <v/>
      </c>
      <c r="CG94">
        <f>IF(R93&lt;=0,0,R93*$E$20/12)</f>
        <v/>
      </c>
      <c r="CH94">
        <f>IF(R93&lt;=0,0,MIN(R93+CG94,$F$20+CF94))</f>
        <v/>
      </c>
      <c r="CI94">
        <f>IF(R93&lt;=0,CF94,MAX(0,$F$20+CF94-R93-CG94))</f>
        <v/>
      </c>
      <c r="CJ94">
        <f>IF(S93&lt;=0,0,S93*$E$21/12)</f>
        <v/>
      </c>
      <c r="CK94">
        <f>IF(S93&lt;=0,0,MIN(S93+CJ94,$F$21+CI94))</f>
        <v/>
      </c>
      <c r="CL94">
        <f>IF(S93&lt;=0,CI94,MAX(0,$F$21+CI94-S93-CJ94))</f>
        <v/>
      </c>
      <c r="CM94">
        <f>IF(T93&lt;=0,0,T93*$E$22/12)</f>
        <v/>
      </c>
      <c r="CN94">
        <f>IF(T93&lt;=0,0,MIN(T93+CM94,$F$22+CL94))</f>
        <v/>
      </c>
      <c r="CO94">
        <f>IF(T93&lt;=0,CL94,MAX(0,$F$22+CL94-T93-CM94))</f>
        <v/>
      </c>
      <c r="CP94">
        <f>IF(U93&lt;=0,0,U93*$E$23/12)</f>
        <v/>
      </c>
      <c r="CQ94">
        <f>IF(U93&lt;=0,0,MIN(U93+CP94,$F$23+CO94))</f>
        <v/>
      </c>
      <c r="CR94">
        <f>IF(U93&lt;=0,CO94,MAX(0,$F$23+CO94-U93-CP94))</f>
        <v/>
      </c>
      <c r="CS94">
        <f>IF(V93&lt;=0,0,V93*$E$24/12)</f>
        <v/>
      </c>
      <c r="CT94">
        <f>IF(V93&lt;=0,0,MIN(V93+CS94,$F$24+CR94))</f>
        <v/>
      </c>
      <c r="CU94">
        <f>IF(V93&lt;=0,CR94,MAX(0,$F$24+CR94-V93-CS94))</f>
        <v/>
      </c>
    </row>
    <row r="95">
      <c r="B95" s="39" t="n">
        <v>69</v>
      </c>
      <c r="C95" s="13">
        <f>IF(C94&lt;=0,0,MAX(0,C94+AN95-AO95))</f>
        <v/>
      </c>
      <c r="D95" s="13">
        <f>IF(D94&lt;=0,0,MAX(0,D94+AQ95-AR95))</f>
        <v/>
      </c>
      <c r="E95" s="13">
        <f>IF(E94&lt;=0,0,MAX(0,E94+AT95-AU95))</f>
        <v/>
      </c>
      <c r="F95" s="13">
        <f>IF(F94&lt;=0,0,MAX(0,F94+AW95-AX95))</f>
        <v/>
      </c>
      <c r="G95" s="13">
        <f>IF(G94&lt;=0,0,MAX(0,G94+AZ95-BA95))</f>
        <v/>
      </c>
      <c r="H95" s="13">
        <f>IF(H94&lt;=0,0,MAX(0,H94+BC95-BD95))</f>
        <v/>
      </c>
      <c r="I95" s="13">
        <f>IF(I94&lt;=0,0,MAX(0,I94+BF95-BG95))</f>
        <v/>
      </c>
      <c r="J95" s="13">
        <f>IF(J94&lt;=0,0,MAX(0,J94+BI95-BJ95))</f>
        <v/>
      </c>
      <c r="K95" s="13">
        <f>IF(K94&lt;=0,0,MAX(0,K94+BL95-BM95))</f>
        <v/>
      </c>
      <c r="L95" s="13">
        <f>IF(L94&lt;=0,0,MAX(0,L94+BO95-BP95))</f>
        <v/>
      </c>
      <c r="M95" s="13">
        <f>IF(M94&lt;=0,0,MAX(0,M94+BR95-BS95))</f>
        <v/>
      </c>
      <c r="N95" s="13">
        <f>IF(N94&lt;=0,0,MAX(0,N94+BU95-BV95))</f>
        <v/>
      </c>
      <c r="O95" s="13">
        <f>IF(O94&lt;=0,0,MAX(0,O94+BX95-BY95))</f>
        <v/>
      </c>
      <c r="P95" s="13">
        <f>IF(P94&lt;=0,0,MAX(0,P94+CA95-CB95))</f>
        <v/>
      </c>
      <c r="Q95" s="13">
        <f>IF(Q94&lt;=0,0,MAX(0,Q94+CD95-CE95))</f>
        <v/>
      </c>
      <c r="R95" s="13">
        <f>IF(R94&lt;=0,0,MAX(0,R94+CG95-CH95))</f>
        <v/>
      </c>
      <c r="S95" s="13">
        <f>IF(S94&lt;=0,0,MAX(0,S94+CJ95-CK95))</f>
        <v/>
      </c>
      <c r="T95" s="13">
        <f>IF(T94&lt;=0,0,MAX(0,T94+CM95-CN95))</f>
        <v/>
      </c>
      <c r="U95" s="13">
        <f>IF(U94&lt;=0,0,MAX(0,U94+CP95-CQ95))</f>
        <v/>
      </c>
      <c r="V95" s="13">
        <f>IF(V94&lt;=0,0,MAX(0,V94+CS95-CT95))</f>
        <v/>
      </c>
      <c r="W95" s="13">
        <f>AO95+AR95+AU95+AX95+BA95+BD95+BG95+BJ95+BM95+BP95+BS95+BV95+BY95+CB95+CE95+CH95+CK95+CN95+CQ95+CT95</f>
        <v/>
      </c>
      <c r="X95" s="13">
        <f>AN95+AQ95+AT95+AW95+AZ95+BC95+BF95+BI95+BL95+BO95+BR95+BU95+BX95+CA95+CD95+CG95+CJ95+CM95+CP95+CS95</f>
        <v/>
      </c>
      <c r="Y95" s="27">
        <f>C95+D95+E95+F95+G95+H95+I95+J95+K95+L95+M95+N95+O95+P95+Q95+R95+S95+T95+U95+V95</f>
        <v/>
      </c>
      <c r="AN95">
        <f>IF(C94&lt;=0,0,C94*$E$5/12)</f>
        <v/>
      </c>
      <c r="AO95">
        <f>IF(C94&lt;=0,0,MIN(C94+AN95,$F$5+(Dashboard!$C$11+IF(C94&lt;=0,$F$5,0)+IF(D94&lt;=0,$F$6,0)+IF(E94&lt;=0,$F$7,0)+IF(F94&lt;=0,$F$8,0)+IF(G94&lt;=0,$F$9,0)+IF(H94&lt;=0,$F$10,0)+IF(I94&lt;=0,$F$11,0)+IF(J94&lt;=0,$F$12,0)+IF(K94&lt;=0,$F$13,0)+IF(L94&lt;=0,$F$14,0)+IF(M94&lt;=0,$F$15,0)+IF(N94&lt;=0,$F$16,0)+IF(O94&lt;=0,$F$17,0)+IF(P94&lt;=0,$F$18,0)+IF(Q94&lt;=0,$F$19,0)+IF(R94&lt;=0,$F$20,0)+IF(S94&lt;=0,$F$21,0)+IF(T94&lt;=0,$F$22,0)+IF(U94&lt;=0,$F$23,0)+IF(V94&lt;=0,$F$24,0))))</f>
        <v/>
      </c>
      <c r="AP95">
        <f>IF(C94&lt;=0,(Dashboard!$C$11+IF(C94&lt;=0,$F$5,0)+IF(D94&lt;=0,$F$6,0)+IF(E94&lt;=0,$F$7,0)+IF(F94&lt;=0,$F$8,0)+IF(G94&lt;=0,$F$9,0)+IF(H94&lt;=0,$F$10,0)+IF(I94&lt;=0,$F$11,0)+IF(J94&lt;=0,$F$12,0)+IF(K94&lt;=0,$F$13,0)+IF(L94&lt;=0,$F$14,0)+IF(M94&lt;=0,$F$15,0)+IF(N94&lt;=0,$F$16,0)+IF(O94&lt;=0,$F$17,0)+IF(P94&lt;=0,$F$18,0)+IF(Q94&lt;=0,$F$19,0)+IF(R94&lt;=0,$F$20,0)+IF(S94&lt;=0,$F$21,0)+IF(T94&lt;=0,$F$22,0)+IF(U94&lt;=0,$F$23,0)+IF(V94&lt;=0,$F$24,0)),MAX(0,$F$5+(Dashboard!$C$11+IF(C94&lt;=0,$F$5,0)+IF(D94&lt;=0,$F$6,0)+IF(E94&lt;=0,$F$7,0)+IF(F94&lt;=0,$F$8,0)+IF(G94&lt;=0,$F$9,0)+IF(H94&lt;=0,$F$10,0)+IF(I94&lt;=0,$F$11,0)+IF(J94&lt;=0,$F$12,0)+IF(K94&lt;=0,$F$13,0)+IF(L94&lt;=0,$F$14,0)+IF(M94&lt;=0,$F$15,0)+IF(N94&lt;=0,$F$16,0)+IF(O94&lt;=0,$F$17,0)+IF(P94&lt;=0,$F$18,0)+IF(Q94&lt;=0,$F$19,0)+IF(R94&lt;=0,$F$20,0)+IF(S94&lt;=0,$F$21,0)+IF(T94&lt;=0,$F$22,0)+IF(U94&lt;=0,$F$23,0)+IF(V94&lt;=0,$F$24,0))-C94-AN95))</f>
        <v/>
      </c>
      <c r="AQ95">
        <f>IF(D94&lt;=0,0,D94*$E$6/12)</f>
        <v/>
      </c>
      <c r="AR95">
        <f>IF(D94&lt;=0,0,MIN(D94+AQ95,$F$6+AP95))</f>
        <v/>
      </c>
      <c r="AS95">
        <f>IF(D94&lt;=0,AP95,MAX(0,$F$6+AP95-D94-AQ95))</f>
        <v/>
      </c>
      <c r="AT95">
        <f>IF(E94&lt;=0,0,E94*$E$7/12)</f>
        <v/>
      </c>
      <c r="AU95">
        <f>IF(E94&lt;=0,0,MIN(E94+AT95,$F$7+AS95))</f>
        <v/>
      </c>
      <c r="AV95">
        <f>IF(E94&lt;=0,AS95,MAX(0,$F$7+AS95-E94-AT95))</f>
        <v/>
      </c>
      <c r="AW95">
        <f>IF(F94&lt;=0,0,F94*$E$8/12)</f>
        <v/>
      </c>
      <c r="AX95">
        <f>IF(F94&lt;=0,0,MIN(F94+AW95,$F$8+AV95))</f>
        <v/>
      </c>
      <c r="AY95">
        <f>IF(F94&lt;=0,AV95,MAX(0,$F$8+AV95-F94-AW95))</f>
        <v/>
      </c>
      <c r="AZ95">
        <f>IF(G94&lt;=0,0,G94*$E$9/12)</f>
        <v/>
      </c>
      <c r="BA95">
        <f>IF(G94&lt;=0,0,MIN(G94+AZ95,$F$9+AY95))</f>
        <v/>
      </c>
      <c r="BB95">
        <f>IF(G94&lt;=0,AY95,MAX(0,$F$9+AY95-G94-AZ95))</f>
        <v/>
      </c>
      <c r="BC95">
        <f>IF(H94&lt;=0,0,H94*$E$10/12)</f>
        <v/>
      </c>
      <c r="BD95">
        <f>IF(H94&lt;=0,0,MIN(H94+BC95,$F$10+BB95))</f>
        <v/>
      </c>
      <c r="BE95">
        <f>IF(H94&lt;=0,BB95,MAX(0,$F$10+BB95-H94-BC95))</f>
        <v/>
      </c>
      <c r="BF95">
        <f>IF(I94&lt;=0,0,I94*$E$11/12)</f>
        <v/>
      </c>
      <c r="BG95">
        <f>IF(I94&lt;=0,0,MIN(I94+BF95,$F$11+BE95))</f>
        <v/>
      </c>
      <c r="BH95">
        <f>IF(I94&lt;=0,BE95,MAX(0,$F$11+BE95-I94-BF95))</f>
        <v/>
      </c>
      <c r="BI95">
        <f>IF(J94&lt;=0,0,J94*$E$12/12)</f>
        <v/>
      </c>
      <c r="BJ95">
        <f>IF(J94&lt;=0,0,MIN(J94+BI95,$F$12+BH95))</f>
        <v/>
      </c>
      <c r="BK95">
        <f>IF(J94&lt;=0,BH95,MAX(0,$F$12+BH95-J94-BI95))</f>
        <v/>
      </c>
      <c r="BL95">
        <f>IF(K94&lt;=0,0,K94*$E$13/12)</f>
        <v/>
      </c>
      <c r="BM95">
        <f>IF(K94&lt;=0,0,MIN(K94+BL95,$F$13+BK95))</f>
        <v/>
      </c>
      <c r="BN95">
        <f>IF(K94&lt;=0,BK95,MAX(0,$F$13+BK95-K94-BL95))</f>
        <v/>
      </c>
      <c r="BO95">
        <f>IF(L94&lt;=0,0,L94*$E$14/12)</f>
        <v/>
      </c>
      <c r="BP95">
        <f>IF(L94&lt;=0,0,MIN(L94+BO95,$F$14+BN95))</f>
        <v/>
      </c>
      <c r="BQ95">
        <f>IF(L94&lt;=0,BN95,MAX(0,$F$14+BN95-L94-BO95))</f>
        <v/>
      </c>
      <c r="BR95">
        <f>IF(M94&lt;=0,0,M94*$E$15/12)</f>
        <v/>
      </c>
      <c r="BS95">
        <f>IF(M94&lt;=0,0,MIN(M94+BR95,$F$15+BQ95))</f>
        <v/>
      </c>
      <c r="BT95">
        <f>IF(M94&lt;=0,BQ95,MAX(0,$F$15+BQ95-M94-BR95))</f>
        <v/>
      </c>
      <c r="BU95">
        <f>IF(N94&lt;=0,0,N94*$E$16/12)</f>
        <v/>
      </c>
      <c r="BV95">
        <f>IF(N94&lt;=0,0,MIN(N94+BU95,$F$16+BT95))</f>
        <v/>
      </c>
      <c r="BW95">
        <f>IF(N94&lt;=0,BT95,MAX(0,$F$16+BT95-N94-BU95))</f>
        <v/>
      </c>
      <c r="BX95">
        <f>IF(O94&lt;=0,0,O94*$E$17/12)</f>
        <v/>
      </c>
      <c r="BY95">
        <f>IF(O94&lt;=0,0,MIN(O94+BX95,$F$17+BW95))</f>
        <v/>
      </c>
      <c r="BZ95">
        <f>IF(O94&lt;=0,BW95,MAX(0,$F$17+BW95-O94-BX95))</f>
        <v/>
      </c>
      <c r="CA95">
        <f>IF(P94&lt;=0,0,P94*$E$18/12)</f>
        <v/>
      </c>
      <c r="CB95">
        <f>IF(P94&lt;=0,0,MIN(P94+CA95,$F$18+BZ95))</f>
        <v/>
      </c>
      <c r="CC95">
        <f>IF(P94&lt;=0,BZ95,MAX(0,$F$18+BZ95-P94-CA95))</f>
        <v/>
      </c>
      <c r="CD95">
        <f>IF(Q94&lt;=0,0,Q94*$E$19/12)</f>
        <v/>
      </c>
      <c r="CE95">
        <f>IF(Q94&lt;=0,0,MIN(Q94+CD95,$F$19+CC95))</f>
        <v/>
      </c>
      <c r="CF95">
        <f>IF(Q94&lt;=0,CC95,MAX(0,$F$19+CC95-Q94-CD95))</f>
        <v/>
      </c>
      <c r="CG95">
        <f>IF(R94&lt;=0,0,R94*$E$20/12)</f>
        <v/>
      </c>
      <c r="CH95">
        <f>IF(R94&lt;=0,0,MIN(R94+CG95,$F$20+CF95))</f>
        <v/>
      </c>
      <c r="CI95">
        <f>IF(R94&lt;=0,CF95,MAX(0,$F$20+CF95-R94-CG95))</f>
        <v/>
      </c>
      <c r="CJ95">
        <f>IF(S94&lt;=0,0,S94*$E$21/12)</f>
        <v/>
      </c>
      <c r="CK95">
        <f>IF(S94&lt;=0,0,MIN(S94+CJ95,$F$21+CI95))</f>
        <v/>
      </c>
      <c r="CL95">
        <f>IF(S94&lt;=0,CI95,MAX(0,$F$21+CI95-S94-CJ95))</f>
        <v/>
      </c>
      <c r="CM95">
        <f>IF(T94&lt;=0,0,T94*$E$22/12)</f>
        <v/>
      </c>
      <c r="CN95">
        <f>IF(T94&lt;=0,0,MIN(T94+CM95,$F$22+CL95))</f>
        <v/>
      </c>
      <c r="CO95">
        <f>IF(T94&lt;=0,CL95,MAX(0,$F$22+CL95-T94-CM95))</f>
        <v/>
      </c>
      <c r="CP95">
        <f>IF(U94&lt;=0,0,U94*$E$23/12)</f>
        <v/>
      </c>
      <c r="CQ95">
        <f>IF(U94&lt;=0,0,MIN(U94+CP95,$F$23+CO95))</f>
        <v/>
      </c>
      <c r="CR95">
        <f>IF(U94&lt;=0,CO95,MAX(0,$F$23+CO95-U94-CP95))</f>
        <v/>
      </c>
      <c r="CS95">
        <f>IF(V94&lt;=0,0,V94*$E$24/12)</f>
        <v/>
      </c>
      <c r="CT95">
        <f>IF(V94&lt;=0,0,MIN(V94+CS95,$F$24+CR95))</f>
        <v/>
      </c>
      <c r="CU95">
        <f>IF(V94&lt;=0,CR95,MAX(0,$F$24+CR95-V94-CS95))</f>
        <v/>
      </c>
    </row>
    <row r="96">
      <c r="B96" s="39" t="n">
        <v>70</v>
      </c>
      <c r="C96" s="13">
        <f>IF(C95&lt;=0,0,MAX(0,C95+AN96-AO96))</f>
        <v/>
      </c>
      <c r="D96" s="13">
        <f>IF(D95&lt;=0,0,MAX(0,D95+AQ96-AR96))</f>
        <v/>
      </c>
      <c r="E96" s="13">
        <f>IF(E95&lt;=0,0,MAX(0,E95+AT96-AU96))</f>
        <v/>
      </c>
      <c r="F96" s="13">
        <f>IF(F95&lt;=0,0,MAX(0,F95+AW96-AX96))</f>
        <v/>
      </c>
      <c r="G96" s="13">
        <f>IF(G95&lt;=0,0,MAX(0,G95+AZ96-BA96))</f>
        <v/>
      </c>
      <c r="H96" s="13">
        <f>IF(H95&lt;=0,0,MAX(0,H95+BC96-BD96))</f>
        <v/>
      </c>
      <c r="I96" s="13">
        <f>IF(I95&lt;=0,0,MAX(0,I95+BF96-BG96))</f>
        <v/>
      </c>
      <c r="J96" s="13">
        <f>IF(J95&lt;=0,0,MAX(0,J95+BI96-BJ96))</f>
        <v/>
      </c>
      <c r="K96" s="13">
        <f>IF(K95&lt;=0,0,MAX(0,K95+BL96-BM96))</f>
        <v/>
      </c>
      <c r="L96" s="13">
        <f>IF(L95&lt;=0,0,MAX(0,L95+BO96-BP96))</f>
        <v/>
      </c>
      <c r="M96" s="13">
        <f>IF(M95&lt;=0,0,MAX(0,M95+BR96-BS96))</f>
        <v/>
      </c>
      <c r="N96" s="13">
        <f>IF(N95&lt;=0,0,MAX(0,N95+BU96-BV96))</f>
        <v/>
      </c>
      <c r="O96" s="13">
        <f>IF(O95&lt;=0,0,MAX(0,O95+BX96-BY96))</f>
        <v/>
      </c>
      <c r="P96" s="13">
        <f>IF(P95&lt;=0,0,MAX(0,P95+CA96-CB96))</f>
        <v/>
      </c>
      <c r="Q96" s="13">
        <f>IF(Q95&lt;=0,0,MAX(0,Q95+CD96-CE96))</f>
        <v/>
      </c>
      <c r="R96" s="13">
        <f>IF(R95&lt;=0,0,MAX(0,R95+CG96-CH96))</f>
        <v/>
      </c>
      <c r="S96" s="13">
        <f>IF(S95&lt;=0,0,MAX(0,S95+CJ96-CK96))</f>
        <v/>
      </c>
      <c r="T96" s="13">
        <f>IF(T95&lt;=0,0,MAX(0,T95+CM96-CN96))</f>
        <v/>
      </c>
      <c r="U96" s="13">
        <f>IF(U95&lt;=0,0,MAX(0,U95+CP96-CQ96))</f>
        <v/>
      </c>
      <c r="V96" s="13">
        <f>IF(V95&lt;=0,0,MAX(0,V95+CS96-CT96))</f>
        <v/>
      </c>
      <c r="W96" s="13">
        <f>AO96+AR96+AU96+AX96+BA96+BD96+BG96+BJ96+BM96+BP96+BS96+BV96+BY96+CB96+CE96+CH96+CK96+CN96+CQ96+CT96</f>
        <v/>
      </c>
      <c r="X96" s="13">
        <f>AN96+AQ96+AT96+AW96+AZ96+BC96+BF96+BI96+BL96+BO96+BR96+BU96+BX96+CA96+CD96+CG96+CJ96+CM96+CP96+CS96</f>
        <v/>
      </c>
      <c r="Y96" s="27">
        <f>C96+D96+E96+F96+G96+H96+I96+J96+K96+L96+M96+N96+O96+P96+Q96+R96+S96+T96+U96+V96</f>
        <v/>
      </c>
      <c r="AN96">
        <f>IF(C95&lt;=0,0,C95*$E$5/12)</f>
        <v/>
      </c>
      <c r="AO96">
        <f>IF(C95&lt;=0,0,MIN(C95+AN96,$F$5+(Dashboard!$C$11+IF(C95&lt;=0,$F$5,0)+IF(D95&lt;=0,$F$6,0)+IF(E95&lt;=0,$F$7,0)+IF(F95&lt;=0,$F$8,0)+IF(G95&lt;=0,$F$9,0)+IF(H95&lt;=0,$F$10,0)+IF(I95&lt;=0,$F$11,0)+IF(J95&lt;=0,$F$12,0)+IF(K95&lt;=0,$F$13,0)+IF(L95&lt;=0,$F$14,0)+IF(M95&lt;=0,$F$15,0)+IF(N95&lt;=0,$F$16,0)+IF(O95&lt;=0,$F$17,0)+IF(P95&lt;=0,$F$18,0)+IF(Q95&lt;=0,$F$19,0)+IF(R95&lt;=0,$F$20,0)+IF(S95&lt;=0,$F$21,0)+IF(T95&lt;=0,$F$22,0)+IF(U95&lt;=0,$F$23,0)+IF(V95&lt;=0,$F$24,0))))</f>
        <v/>
      </c>
      <c r="AP96">
        <f>IF(C95&lt;=0,(Dashboard!$C$11+IF(C95&lt;=0,$F$5,0)+IF(D95&lt;=0,$F$6,0)+IF(E95&lt;=0,$F$7,0)+IF(F95&lt;=0,$F$8,0)+IF(G95&lt;=0,$F$9,0)+IF(H95&lt;=0,$F$10,0)+IF(I95&lt;=0,$F$11,0)+IF(J95&lt;=0,$F$12,0)+IF(K95&lt;=0,$F$13,0)+IF(L95&lt;=0,$F$14,0)+IF(M95&lt;=0,$F$15,0)+IF(N95&lt;=0,$F$16,0)+IF(O95&lt;=0,$F$17,0)+IF(P95&lt;=0,$F$18,0)+IF(Q95&lt;=0,$F$19,0)+IF(R95&lt;=0,$F$20,0)+IF(S95&lt;=0,$F$21,0)+IF(T95&lt;=0,$F$22,0)+IF(U95&lt;=0,$F$23,0)+IF(V95&lt;=0,$F$24,0)),MAX(0,$F$5+(Dashboard!$C$11+IF(C95&lt;=0,$F$5,0)+IF(D95&lt;=0,$F$6,0)+IF(E95&lt;=0,$F$7,0)+IF(F95&lt;=0,$F$8,0)+IF(G95&lt;=0,$F$9,0)+IF(H95&lt;=0,$F$10,0)+IF(I95&lt;=0,$F$11,0)+IF(J95&lt;=0,$F$12,0)+IF(K95&lt;=0,$F$13,0)+IF(L95&lt;=0,$F$14,0)+IF(M95&lt;=0,$F$15,0)+IF(N95&lt;=0,$F$16,0)+IF(O95&lt;=0,$F$17,0)+IF(P95&lt;=0,$F$18,0)+IF(Q95&lt;=0,$F$19,0)+IF(R95&lt;=0,$F$20,0)+IF(S95&lt;=0,$F$21,0)+IF(T95&lt;=0,$F$22,0)+IF(U95&lt;=0,$F$23,0)+IF(V95&lt;=0,$F$24,0))-C95-AN96))</f>
        <v/>
      </c>
      <c r="AQ96">
        <f>IF(D95&lt;=0,0,D95*$E$6/12)</f>
        <v/>
      </c>
      <c r="AR96">
        <f>IF(D95&lt;=0,0,MIN(D95+AQ96,$F$6+AP96))</f>
        <v/>
      </c>
      <c r="AS96">
        <f>IF(D95&lt;=0,AP96,MAX(0,$F$6+AP96-D95-AQ96))</f>
        <v/>
      </c>
      <c r="AT96">
        <f>IF(E95&lt;=0,0,E95*$E$7/12)</f>
        <v/>
      </c>
      <c r="AU96">
        <f>IF(E95&lt;=0,0,MIN(E95+AT96,$F$7+AS96))</f>
        <v/>
      </c>
      <c r="AV96">
        <f>IF(E95&lt;=0,AS96,MAX(0,$F$7+AS96-E95-AT96))</f>
        <v/>
      </c>
      <c r="AW96">
        <f>IF(F95&lt;=0,0,F95*$E$8/12)</f>
        <v/>
      </c>
      <c r="AX96">
        <f>IF(F95&lt;=0,0,MIN(F95+AW96,$F$8+AV96))</f>
        <v/>
      </c>
      <c r="AY96">
        <f>IF(F95&lt;=0,AV96,MAX(0,$F$8+AV96-F95-AW96))</f>
        <v/>
      </c>
      <c r="AZ96">
        <f>IF(G95&lt;=0,0,G95*$E$9/12)</f>
        <v/>
      </c>
      <c r="BA96">
        <f>IF(G95&lt;=0,0,MIN(G95+AZ96,$F$9+AY96))</f>
        <v/>
      </c>
      <c r="BB96">
        <f>IF(G95&lt;=0,AY96,MAX(0,$F$9+AY96-G95-AZ96))</f>
        <v/>
      </c>
      <c r="BC96">
        <f>IF(H95&lt;=0,0,H95*$E$10/12)</f>
        <v/>
      </c>
      <c r="BD96">
        <f>IF(H95&lt;=0,0,MIN(H95+BC96,$F$10+BB96))</f>
        <v/>
      </c>
      <c r="BE96">
        <f>IF(H95&lt;=0,BB96,MAX(0,$F$10+BB96-H95-BC96))</f>
        <v/>
      </c>
      <c r="BF96">
        <f>IF(I95&lt;=0,0,I95*$E$11/12)</f>
        <v/>
      </c>
      <c r="BG96">
        <f>IF(I95&lt;=0,0,MIN(I95+BF96,$F$11+BE96))</f>
        <v/>
      </c>
      <c r="BH96">
        <f>IF(I95&lt;=0,BE96,MAX(0,$F$11+BE96-I95-BF96))</f>
        <v/>
      </c>
      <c r="BI96">
        <f>IF(J95&lt;=0,0,J95*$E$12/12)</f>
        <v/>
      </c>
      <c r="BJ96">
        <f>IF(J95&lt;=0,0,MIN(J95+BI96,$F$12+BH96))</f>
        <v/>
      </c>
      <c r="BK96">
        <f>IF(J95&lt;=0,BH96,MAX(0,$F$12+BH96-J95-BI96))</f>
        <v/>
      </c>
      <c r="BL96">
        <f>IF(K95&lt;=0,0,K95*$E$13/12)</f>
        <v/>
      </c>
      <c r="BM96">
        <f>IF(K95&lt;=0,0,MIN(K95+BL96,$F$13+BK96))</f>
        <v/>
      </c>
      <c r="BN96">
        <f>IF(K95&lt;=0,BK96,MAX(0,$F$13+BK96-K95-BL96))</f>
        <v/>
      </c>
      <c r="BO96">
        <f>IF(L95&lt;=0,0,L95*$E$14/12)</f>
        <v/>
      </c>
      <c r="BP96">
        <f>IF(L95&lt;=0,0,MIN(L95+BO96,$F$14+BN96))</f>
        <v/>
      </c>
      <c r="BQ96">
        <f>IF(L95&lt;=0,BN96,MAX(0,$F$14+BN96-L95-BO96))</f>
        <v/>
      </c>
      <c r="BR96">
        <f>IF(M95&lt;=0,0,M95*$E$15/12)</f>
        <v/>
      </c>
      <c r="BS96">
        <f>IF(M95&lt;=0,0,MIN(M95+BR96,$F$15+BQ96))</f>
        <v/>
      </c>
      <c r="BT96">
        <f>IF(M95&lt;=0,BQ96,MAX(0,$F$15+BQ96-M95-BR96))</f>
        <v/>
      </c>
      <c r="BU96">
        <f>IF(N95&lt;=0,0,N95*$E$16/12)</f>
        <v/>
      </c>
      <c r="BV96">
        <f>IF(N95&lt;=0,0,MIN(N95+BU96,$F$16+BT96))</f>
        <v/>
      </c>
      <c r="BW96">
        <f>IF(N95&lt;=0,BT96,MAX(0,$F$16+BT96-N95-BU96))</f>
        <v/>
      </c>
      <c r="BX96">
        <f>IF(O95&lt;=0,0,O95*$E$17/12)</f>
        <v/>
      </c>
      <c r="BY96">
        <f>IF(O95&lt;=0,0,MIN(O95+BX96,$F$17+BW96))</f>
        <v/>
      </c>
      <c r="BZ96">
        <f>IF(O95&lt;=0,BW96,MAX(0,$F$17+BW96-O95-BX96))</f>
        <v/>
      </c>
      <c r="CA96">
        <f>IF(P95&lt;=0,0,P95*$E$18/12)</f>
        <v/>
      </c>
      <c r="CB96">
        <f>IF(P95&lt;=0,0,MIN(P95+CA96,$F$18+BZ96))</f>
        <v/>
      </c>
      <c r="CC96">
        <f>IF(P95&lt;=0,BZ96,MAX(0,$F$18+BZ96-P95-CA96))</f>
        <v/>
      </c>
      <c r="CD96">
        <f>IF(Q95&lt;=0,0,Q95*$E$19/12)</f>
        <v/>
      </c>
      <c r="CE96">
        <f>IF(Q95&lt;=0,0,MIN(Q95+CD96,$F$19+CC96))</f>
        <v/>
      </c>
      <c r="CF96">
        <f>IF(Q95&lt;=0,CC96,MAX(0,$F$19+CC96-Q95-CD96))</f>
        <v/>
      </c>
      <c r="CG96">
        <f>IF(R95&lt;=0,0,R95*$E$20/12)</f>
        <v/>
      </c>
      <c r="CH96">
        <f>IF(R95&lt;=0,0,MIN(R95+CG96,$F$20+CF96))</f>
        <v/>
      </c>
      <c r="CI96">
        <f>IF(R95&lt;=0,CF96,MAX(0,$F$20+CF96-R95-CG96))</f>
        <v/>
      </c>
      <c r="CJ96">
        <f>IF(S95&lt;=0,0,S95*$E$21/12)</f>
        <v/>
      </c>
      <c r="CK96">
        <f>IF(S95&lt;=0,0,MIN(S95+CJ96,$F$21+CI96))</f>
        <v/>
      </c>
      <c r="CL96">
        <f>IF(S95&lt;=0,CI96,MAX(0,$F$21+CI96-S95-CJ96))</f>
        <v/>
      </c>
      <c r="CM96">
        <f>IF(T95&lt;=0,0,T95*$E$22/12)</f>
        <v/>
      </c>
      <c r="CN96">
        <f>IF(T95&lt;=0,0,MIN(T95+CM96,$F$22+CL96))</f>
        <v/>
      </c>
      <c r="CO96">
        <f>IF(T95&lt;=0,CL96,MAX(0,$F$22+CL96-T95-CM96))</f>
        <v/>
      </c>
      <c r="CP96">
        <f>IF(U95&lt;=0,0,U95*$E$23/12)</f>
        <v/>
      </c>
      <c r="CQ96">
        <f>IF(U95&lt;=0,0,MIN(U95+CP96,$F$23+CO96))</f>
        <v/>
      </c>
      <c r="CR96">
        <f>IF(U95&lt;=0,CO96,MAX(0,$F$23+CO96-U95-CP96))</f>
        <v/>
      </c>
      <c r="CS96">
        <f>IF(V95&lt;=0,0,V95*$E$24/12)</f>
        <v/>
      </c>
      <c r="CT96">
        <f>IF(V95&lt;=0,0,MIN(V95+CS96,$F$24+CR96))</f>
        <v/>
      </c>
      <c r="CU96">
        <f>IF(V95&lt;=0,CR96,MAX(0,$F$24+CR96-V95-CS96))</f>
        <v/>
      </c>
    </row>
    <row r="97">
      <c r="B97" s="39" t="n">
        <v>71</v>
      </c>
      <c r="C97" s="13">
        <f>IF(C96&lt;=0,0,MAX(0,C96+AN97-AO97))</f>
        <v/>
      </c>
      <c r="D97" s="13">
        <f>IF(D96&lt;=0,0,MAX(0,D96+AQ97-AR97))</f>
        <v/>
      </c>
      <c r="E97" s="13">
        <f>IF(E96&lt;=0,0,MAX(0,E96+AT97-AU97))</f>
        <v/>
      </c>
      <c r="F97" s="13">
        <f>IF(F96&lt;=0,0,MAX(0,F96+AW97-AX97))</f>
        <v/>
      </c>
      <c r="G97" s="13">
        <f>IF(G96&lt;=0,0,MAX(0,G96+AZ97-BA97))</f>
        <v/>
      </c>
      <c r="H97" s="13">
        <f>IF(H96&lt;=0,0,MAX(0,H96+BC97-BD97))</f>
        <v/>
      </c>
      <c r="I97" s="13">
        <f>IF(I96&lt;=0,0,MAX(0,I96+BF97-BG97))</f>
        <v/>
      </c>
      <c r="J97" s="13">
        <f>IF(J96&lt;=0,0,MAX(0,J96+BI97-BJ97))</f>
        <v/>
      </c>
      <c r="K97" s="13">
        <f>IF(K96&lt;=0,0,MAX(0,K96+BL97-BM97))</f>
        <v/>
      </c>
      <c r="L97" s="13">
        <f>IF(L96&lt;=0,0,MAX(0,L96+BO97-BP97))</f>
        <v/>
      </c>
      <c r="M97" s="13">
        <f>IF(M96&lt;=0,0,MAX(0,M96+BR97-BS97))</f>
        <v/>
      </c>
      <c r="N97" s="13">
        <f>IF(N96&lt;=0,0,MAX(0,N96+BU97-BV97))</f>
        <v/>
      </c>
      <c r="O97" s="13">
        <f>IF(O96&lt;=0,0,MAX(0,O96+BX97-BY97))</f>
        <v/>
      </c>
      <c r="P97" s="13">
        <f>IF(P96&lt;=0,0,MAX(0,P96+CA97-CB97))</f>
        <v/>
      </c>
      <c r="Q97" s="13">
        <f>IF(Q96&lt;=0,0,MAX(0,Q96+CD97-CE97))</f>
        <v/>
      </c>
      <c r="R97" s="13">
        <f>IF(R96&lt;=0,0,MAX(0,R96+CG97-CH97))</f>
        <v/>
      </c>
      <c r="S97" s="13">
        <f>IF(S96&lt;=0,0,MAX(0,S96+CJ97-CK97))</f>
        <v/>
      </c>
      <c r="T97" s="13">
        <f>IF(T96&lt;=0,0,MAX(0,T96+CM97-CN97))</f>
        <v/>
      </c>
      <c r="U97" s="13">
        <f>IF(U96&lt;=0,0,MAX(0,U96+CP97-CQ97))</f>
        <v/>
      </c>
      <c r="V97" s="13">
        <f>IF(V96&lt;=0,0,MAX(0,V96+CS97-CT97))</f>
        <v/>
      </c>
      <c r="W97" s="13">
        <f>AO97+AR97+AU97+AX97+BA97+BD97+BG97+BJ97+BM97+BP97+BS97+BV97+BY97+CB97+CE97+CH97+CK97+CN97+CQ97+CT97</f>
        <v/>
      </c>
      <c r="X97" s="13">
        <f>AN97+AQ97+AT97+AW97+AZ97+BC97+BF97+BI97+BL97+BO97+BR97+BU97+BX97+CA97+CD97+CG97+CJ97+CM97+CP97+CS97</f>
        <v/>
      </c>
      <c r="Y97" s="27">
        <f>C97+D97+E97+F97+G97+H97+I97+J97+K97+L97+M97+N97+O97+P97+Q97+R97+S97+T97+U97+V97</f>
        <v/>
      </c>
      <c r="AN97">
        <f>IF(C96&lt;=0,0,C96*$E$5/12)</f>
        <v/>
      </c>
      <c r="AO97">
        <f>IF(C96&lt;=0,0,MIN(C96+AN97,$F$5+(Dashboard!$C$11+IF(C96&lt;=0,$F$5,0)+IF(D96&lt;=0,$F$6,0)+IF(E96&lt;=0,$F$7,0)+IF(F96&lt;=0,$F$8,0)+IF(G96&lt;=0,$F$9,0)+IF(H96&lt;=0,$F$10,0)+IF(I96&lt;=0,$F$11,0)+IF(J96&lt;=0,$F$12,0)+IF(K96&lt;=0,$F$13,0)+IF(L96&lt;=0,$F$14,0)+IF(M96&lt;=0,$F$15,0)+IF(N96&lt;=0,$F$16,0)+IF(O96&lt;=0,$F$17,0)+IF(P96&lt;=0,$F$18,0)+IF(Q96&lt;=0,$F$19,0)+IF(R96&lt;=0,$F$20,0)+IF(S96&lt;=0,$F$21,0)+IF(T96&lt;=0,$F$22,0)+IF(U96&lt;=0,$F$23,0)+IF(V96&lt;=0,$F$24,0))))</f>
        <v/>
      </c>
      <c r="AP97">
        <f>IF(C96&lt;=0,(Dashboard!$C$11+IF(C96&lt;=0,$F$5,0)+IF(D96&lt;=0,$F$6,0)+IF(E96&lt;=0,$F$7,0)+IF(F96&lt;=0,$F$8,0)+IF(G96&lt;=0,$F$9,0)+IF(H96&lt;=0,$F$10,0)+IF(I96&lt;=0,$F$11,0)+IF(J96&lt;=0,$F$12,0)+IF(K96&lt;=0,$F$13,0)+IF(L96&lt;=0,$F$14,0)+IF(M96&lt;=0,$F$15,0)+IF(N96&lt;=0,$F$16,0)+IF(O96&lt;=0,$F$17,0)+IF(P96&lt;=0,$F$18,0)+IF(Q96&lt;=0,$F$19,0)+IF(R96&lt;=0,$F$20,0)+IF(S96&lt;=0,$F$21,0)+IF(T96&lt;=0,$F$22,0)+IF(U96&lt;=0,$F$23,0)+IF(V96&lt;=0,$F$24,0)),MAX(0,$F$5+(Dashboard!$C$11+IF(C96&lt;=0,$F$5,0)+IF(D96&lt;=0,$F$6,0)+IF(E96&lt;=0,$F$7,0)+IF(F96&lt;=0,$F$8,0)+IF(G96&lt;=0,$F$9,0)+IF(H96&lt;=0,$F$10,0)+IF(I96&lt;=0,$F$11,0)+IF(J96&lt;=0,$F$12,0)+IF(K96&lt;=0,$F$13,0)+IF(L96&lt;=0,$F$14,0)+IF(M96&lt;=0,$F$15,0)+IF(N96&lt;=0,$F$16,0)+IF(O96&lt;=0,$F$17,0)+IF(P96&lt;=0,$F$18,0)+IF(Q96&lt;=0,$F$19,0)+IF(R96&lt;=0,$F$20,0)+IF(S96&lt;=0,$F$21,0)+IF(T96&lt;=0,$F$22,0)+IF(U96&lt;=0,$F$23,0)+IF(V96&lt;=0,$F$24,0))-C96-AN97))</f>
        <v/>
      </c>
      <c r="AQ97">
        <f>IF(D96&lt;=0,0,D96*$E$6/12)</f>
        <v/>
      </c>
      <c r="AR97">
        <f>IF(D96&lt;=0,0,MIN(D96+AQ97,$F$6+AP97))</f>
        <v/>
      </c>
      <c r="AS97">
        <f>IF(D96&lt;=0,AP97,MAX(0,$F$6+AP97-D96-AQ97))</f>
        <v/>
      </c>
      <c r="AT97">
        <f>IF(E96&lt;=0,0,E96*$E$7/12)</f>
        <v/>
      </c>
      <c r="AU97">
        <f>IF(E96&lt;=0,0,MIN(E96+AT97,$F$7+AS97))</f>
        <v/>
      </c>
      <c r="AV97">
        <f>IF(E96&lt;=0,AS97,MAX(0,$F$7+AS97-E96-AT97))</f>
        <v/>
      </c>
      <c r="AW97">
        <f>IF(F96&lt;=0,0,F96*$E$8/12)</f>
        <v/>
      </c>
      <c r="AX97">
        <f>IF(F96&lt;=0,0,MIN(F96+AW97,$F$8+AV97))</f>
        <v/>
      </c>
      <c r="AY97">
        <f>IF(F96&lt;=0,AV97,MAX(0,$F$8+AV97-F96-AW97))</f>
        <v/>
      </c>
      <c r="AZ97">
        <f>IF(G96&lt;=0,0,G96*$E$9/12)</f>
        <v/>
      </c>
      <c r="BA97">
        <f>IF(G96&lt;=0,0,MIN(G96+AZ97,$F$9+AY97))</f>
        <v/>
      </c>
      <c r="BB97">
        <f>IF(G96&lt;=0,AY97,MAX(0,$F$9+AY97-G96-AZ97))</f>
        <v/>
      </c>
      <c r="BC97">
        <f>IF(H96&lt;=0,0,H96*$E$10/12)</f>
        <v/>
      </c>
      <c r="BD97">
        <f>IF(H96&lt;=0,0,MIN(H96+BC97,$F$10+BB97))</f>
        <v/>
      </c>
      <c r="BE97">
        <f>IF(H96&lt;=0,BB97,MAX(0,$F$10+BB97-H96-BC97))</f>
        <v/>
      </c>
      <c r="BF97">
        <f>IF(I96&lt;=0,0,I96*$E$11/12)</f>
        <v/>
      </c>
      <c r="BG97">
        <f>IF(I96&lt;=0,0,MIN(I96+BF97,$F$11+BE97))</f>
        <v/>
      </c>
      <c r="BH97">
        <f>IF(I96&lt;=0,BE97,MAX(0,$F$11+BE97-I96-BF97))</f>
        <v/>
      </c>
      <c r="BI97">
        <f>IF(J96&lt;=0,0,J96*$E$12/12)</f>
        <v/>
      </c>
      <c r="BJ97">
        <f>IF(J96&lt;=0,0,MIN(J96+BI97,$F$12+BH97))</f>
        <v/>
      </c>
      <c r="BK97">
        <f>IF(J96&lt;=0,BH97,MAX(0,$F$12+BH97-J96-BI97))</f>
        <v/>
      </c>
      <c r="BL97">
        <f>IF(K96&lt;=0,0,K96*$E$13/12)</f>
        <v/>
      </c>
      <c r="BM97">
        <f>IF(K96&lt;=0,0,MIN(K96+BL97,$F$13+BK97))</f>
        <v/>
      </c>
      <c r="BN97">
        <f>IF(K96&lt;=0,BK97,MAX(0,$F$13+BK97-K96-BL97))</f>
        <v/>
      </c>
      <c r="BO97">
        <f>IF(L96&lt;=0,0,L96*$E$14/12)</f>
        <v/>
      </c>
      <c r="BP97">
        <f>IF(L96&lt;=0,0,MIN(L96+BO97,$F$14+BN97))</f>
        <v/>
      </c>
      <c r="BQ97">
        <f>IF(L96&lt;=0,BN97,MAX(0,$F$14+BN97-L96-BO97))</f>
        <v/>
      </c>
      <c r="BR97">
        <f>IF(M96&lt;=0,0,M96*$E$15/12)</f>
        <v/>
      </c>
      <c r="BS97">
        <f>IF(M96&lt;=0,0,MIN(M96+BR97,$F$15+BQ97))</f>
        <v/>
      </c>
      <c r="BT97">
        <f>IF(M96&lt;=0,BQ97,MAX(0,$F$15+BQ97-M96-BR97))</f>
        <v/>
      </c>
      <c r="BU97">
        <f>IF(N96&lt;=0,0,N96*$E$16/12)</f>
        <v/>
      </c>
      <c r="BV97">
        <f>IF(N96&lt;=0,0,MIN(N96+BU97,$F$16+BT97))</f>
        <v/>
      </c>
      <c r="BW97">
        <f>IF(N96&lt;=0,BT97,MAX(0,$F$16+BT97-N96-BU97))</f>
        <v/>
      </c>
      <c r="BX97">
        <f>IF(O96&lt;=0,0,O96*$E$17/12)</f>
        <v/>
      </c>
      <c r="BY97">
        <f>IF(O96&lt;=0,0,MIN(O96+BX97,$F$17+BW97))</f>
        <v/>
      </c>
      <c r="BZ97">
        <f>IF(O96&lt;=0,BW97,MAX(0,$F$17+BW97-O96-BX97))</f>
        <v/>
      </c>
      <c r="CA97">
        <f>IF(P96&lt;=0,0,P96*$E$18/12)</f>
        <v/>
      </c>
      <c r="CB97">
        <f>IF(P96&lt;=0,0,MIN(P96+CA97,$F$18+BZ97))</f>
        <v/>
      </c>
      <c r="CC97">
        <f>IF(P96&lt;=0,BZ97,MAX(0,$F$18+BZ97-P96-CA97))</f>
        <v/>
      </c>
      <c r="CD97">
        <f>IF(Q96&lt;=0,0,Q96*$E$19/12)</f>
        <v/>
      </c>
      <c r="CE97">
        <f>IF(Q96&lt;=0,0,MIN(Q96+CD97,$F$19+CC97))</f>
        <v/>
      </c>
      <c r="CF97">
        <f>IF(Q96&lt;=0,CC97,MAX(0,$F$19+CC97-Q96-CD97))</f>
        <v/>
      </c>
      <c r="CG97">
        <f>IF(R96&lt;=0,0,R96*$E$20/12)</f>
        <v/>
      </c>
      <c r="CH97">
        <f>IF(R96&lt;=0,0,MIN(R96+CG97,$F$20+CF97))</f>
        <v/>
      </c>
      <c r="CI97">
        <f>IF(R96&lt;=0,CF97,MAX(0,$F$20+CF97-R96-CG97))</f>
        <v/>
      </c>
      <c r="CJ97">
        <f>IF(S96&lt;=0,0,S96*$E$21/12)</f>
        <v/>
      </c>
      <c r="CK97">
        <f>IF(S96&lt;=0,0,MIN(S96+CJ97,$F$21+CI97))</f>
        <v/>
      </c>
      <c r="CL97">
        <f>IF(S96&lt;=0,CI97,MAX(0,$F$21+CI97-S96-CJ97))</f>
        <v/>
      </c>
      <c r="CM97">
        <f>IF(T96&lt;=0,0,T96*$E$22/12)</f>
        <v/>
      </c>
      <c r="CN97">
        <f>IF(T96&lt;=0,0,MIN(T96+CM97,$F$22+CL97))</f>
        <v/>
      </c>
      <c r="CO97">
        <f>IF(T96&lt;=0,CL97,MAX(0,$F$22+CL97-T96-CM97))</f>
        <v/>
      </c>
      <c r="CP97">
        <f>IF(U96&lt;=0,0,U96*$E$23/12)</f>
        <v/>
      </c>
      <c r="CQ97">
        <f>IF(U96&lt;=0,0,MIN(U96+CP97,$F$23+CO97))</f>
        <v/>
      </c>
      <c r="CR97">
        <f>IF(U96&lt;=0,CO97,MAX(0,$F$23+CO97-U96-CP97))</f>
        <v/>
      </c>
      <c r="CS97">
        <f>IF(V96&lt;=0,0,V96*$E$24/12)</f>
        <v/>
      </c>
      <c r="CT97">
        <f>IF(V96&lt;=0,0,MIN(V96+CS97,$F$24+CR97))</f>
        <v/>
      </c>
      <c r="CU97">
        <f>IF(V96&lt;=0,CR97,MAX(0,$F$24+CR97-V96-CS97))</f>
        <v/>
      </c>
    </row>
    <row r="98">
      <c r="B98" s="39" t="n">
        <v>72</v>
      </c>
      <c r="C98" s="13">
        <f>IF(C97&lt;=0,0,MAX(0,C97+AN98-AO98))</f>
        <v/>
      </c>
      <c r="D98" s="13">
        <f>IF(D97&lt;=0,0,MAX(0,D97+AQ98-AR98))</f>
        <v/>
      </c>
      <c r="E98" s="13">
        <f>IF(E97&lt;=0,0,MAX(0,E97+AT98-AU98))</f>
        <v/>
      </c>
      <c r="F98" s="13">
        <f>IF(F97&lt;=0,0,MAX(0,F97+AW98-AX98))</f>
        <v/>
      </c>
      <c r="G98" s="13">
        <f>IF(G97&lt;=0,0,MAX(0,G97+AZ98-BA98))</f>
        <v/>
      </c>
      <c r="H98" s="13">
        <f>IF(H97&lt;=0,0,MAX(0,H97+BC98-BD98))</f>
        <v/>
      </c>
      <c r="I98" s="13">
        <f>IF(I97&lt;=0,0,MAX(0,I97+BF98-BG98))</f>
        <v/>
      </c>
      <c r="J98" s="13">
        <f>IF(J97&lt;=0,0,MAX(0,J97+BI98-BJ98))</f>
        <v/>
      </c>
      <c r="K98" s="13">
        <f>IF(K97&lt;=0,0,MAX(0,K97+BL98-BM98))</f>
        <v/>
      </c>
      <c r="L98" s="13">
        <f>IF(L97&lt;=0,0,MAX(0,L97+BO98-BP98))</f>
        <v/>
      </c>
      <c r="M98" s="13">
        <f>IF(M97&lt;=0,0,MAX(0,M97+BR98-BS98))</f>
        <v/>
      </c>
      <c r="N98" s="13">
        <f>IF(N97&lt;=0,0,MAX(0,N97+BU98-BV98))</f>
        <v/>
      </c>
      <c r="O98" s="13">
        <f>IF(O97&lt;=0,0,MAX(0,O97+BX98-BY98))</f>
        <v/>
      </c>
      <c r="P98" s="13">
        <f>IF(P97&lt;=0,0,MAX(0,P97+CA98-CB98))</f>
        <v/>
      </c>
      <c r="Q98" s="13">
        <f>IF(Q97&lt;=0,0,MAX(0,Q97+CD98-CE98))</f>
        <v/>
      </c>
      <c r="R98" s="13">
        <f>IF(R97&lt;=0,0,MAX(0,R97+CG98-CH98))</f>
        <v/>
      </c>
      <c r="S98" s="13">
        <f>IF(S97&lt;=0,0,MAX(0,S97+CJ98-CK98))</f>
        <v/>
      </c>
      <c r="T98" s="13">
        <f>IF(T97&lt;=0,0,MAX(0,T97+CM98-CN98))</f>
        <v/>
      </c>
      <c r="U98" s="13">
        <f>IF(U97&lt;=0,0,MAX(0,U97+CP98-CQ98))</f>
        <v/>
      </c>
      <c r="V98" s="13">
        <f>IF(V97&lt;=0,0,MAX(0,V97+CS98-CT98))</f>
        <v/>
      </c>
      <c r="W98" s="13">
        <f>AO98+AR98+AU98+AX98+BA98+BD98+BG98+BJ98+BM98+BP98+BS98+BV98+BY98+CB98+CE98+CH98+CK98+CN98+CQ98+CT98</f>
        <v/>
      </c>
      <c r="X98" s="13">
        <f>AN98+AQ98+AT98+AW98+AZ98+BC98+BF98+BI98+BL98+BO98+BR98+BU98+BX98+CA98+CD98+CG98+CJ98+CM98+CP98+CS98</f>
        <v/>
      </c>
      <c r="Y98" s="27">
        <f>C98+D98+E98+F98+G98+H98+I98+J98+K98+L98+M98+N98+O98+P98+Q98+R98+S98+T98+U98+V98</f>
        <v/>
      </c>
      <c r="AN98">
        <f>IF(C97&lt;=0,0,C97*$E$5/12)</f>
        <v/>
      </c>
      <c r="AO98">
        <f>IF(C97&lt;=0,0,MIN(C97+AN98,$F$5+(Dashboard!$C$11+IF(C97&lt;=0,$F$5,0)+IF(D97&lt;=0,$F$6,0)+IF(E97&lt;=0,$F$7,0)+IF(F97&lt;=0,$F$8,0)+IF(G97&lt;=0,$F$9,0)+IF(H97&lt;=0,$F$10,0)+IF(I97&lt;=0,$F$11,0)+IF(J97&lt;=0,$F$12,0)+IF(K97&lt;=0,$F$13,0)+IF(L97&lt;=0,$F$14,0)+IF(M97&lt;=0,$F$15,0)+IF(N97&lt;=0,$F$16,0)+IF(O97&lt;=0,$F$17,0)+IF(P97&lt;=0,$F$18,0)+IF(Q97&lt;=0,$F$19,0)+IF(R97&lt;=0,$F$20,0)+IF(S97&lt;=0,$F$21,0)+IF(T97&lt;=0,$F$22,0)+IF(U97&lt;=0,$F$23,0)+IF(V97&lt;=0,$F$24,0))))</f>
        <v/>
      </c>
      <c r="AP98">
        <f>IF(C97&lt;=0,(Dashboard!$C$11+IF(C97&lt;=0,$F$5,0)+IF(D97&lt;=0,$F$6,0)+IF(E97&lt;=0,$F$7,0)+IF(F97&lt;=0,$F$8,0)+IF(G97&lt;=0,$F$9,0)+IF(H97&lt;=0,$F$10,0)+IF(I97&lt;=0,$F$11,0)+IF(J97&lt;=0,$F$12,0)+IF(K97&lt;=0,$F$13,0)+IF(L97&lt;=0,$F$14,0)+IF(M97&lt;=0,$F$15,0)+IF(N97&lt;=0,$F$16,0)+IF(O97&lt;=0,$F$17,0)+IF(P97&lt;=0,$F$18,0)+IF(Q97&lt;=0,$F$19,0)+IF(R97&lt;=0,$F$20,0)+IF(S97&lt;=0,$F$21,0)+IF(T97&lt;=0,$F$22,0)+IF(U97&lt;=0,$F$23,0)+IF(V97&lt;=0,$F$24,0)),MAX(0,$F$5+(Dashboard!$C$11+IF(C97&lt;=0,$F$5,0)+IF(D97&lt;=0,$F$6,0)+IF(E97&lt;=0,$F$7,0)+IF(F97&lt;=0,$F$8,0)+IF(G97&lt;=0,$F$9,0)+IF(H97&lt;=0,$F$10,0)+IF(I97&lt;=0,$F$11,0)+IF(J97&lt;=0,$F$12,0)+IF(K97&lt;=0,$F$13,0)+IF(L97&lt;=0,$F$14,0)+IF(M97&lt;=0,$F$15,0)+IF(N97&lt;=0,$F$16,0)+IF(O97&lt;=0,$F$17,0)+IF(P97&lt;=0,$F$18,0)+IF(Q97&lt;=0,$F$19,0)+IF(R97&lt;=0,$F$20,0)+IF(S97&lt;=0,$F$21,0)+IF(T97&lt;=0,$F$22,0)+IF(U97&lt;=0,$F$23,0)+IF(V97&lt;=0,$F$24,0))-C97-AN98))</f>
        <v/>
      </c>
      <c r="AQ98">
        <f>IF(D97&lt;=0,0,D97*$E$6/12)</f>
        <v/>
      </c>
      <c r="AR98">
        <f>IF(D97&lt;=0,0,MIN(D97+AQ98,$F$6+AP98))</f>
        <v/>
      </c>
      <c r="AS98">
        <f>IF(D97&lt;=0,AP98,MAX(0,$F$6+AP98-D97-AQ98))</f>
        <v/>
      </c>
      <c r="AT98">
        <f>IF(E97&lt;=0,0,E97*$E$7/12)</f>
        <v/>
      </c>
      <c r="AU98">
        <f>IF(E97&lt;=0,0,MIN(E97+AT98,$F$7+AS98))</f>
        <v/>
      </c>
      <c r="AV98">
        <f>IF(E97&lt;=0,AS98,MAX(0,$F$7+AS98-E97-AT98))</f>
        <v/>
      </c>
      <c r="AW98">
        <f>IF(F97&lt;=0,0,F97*$E$8/12)</f>
        <v/>
      </c>
      <c r="AX98">
        <f>IF(F97&lt;=0,0,MIN(F97+AW98,$F$8+AV98))</f>
        <v/>
      </c>
      <c r="AY98">
        <f>IF(F97&lt;=0,AV98,MAX(0,$F$8+AV98-F97-AW98))</f>
        <v/>
      </c>
      <c r="AZ98">
        <f>IF(G97&lt;=0,0,G97*$E$9/12)</f>
        <v/>
      </c>
      <c r="BA98">
        <f>IF(G97&lt;=0,0,MIN(G97+AZ98,$F$9+AY98))</f>
        <v/>
      </c>
      <c r="BB98">
        <f>IF(G97&lt;=0,AY98,MAX(0,$F$9+AY98-G97-AZ98))</f>
        <v/>
      </c>
      <c r="BC98">
        <f>IF(H97&lt;=0,0,H97*$E$10/12)</f>
        <v/>
      </c>
      <c r="BD98">
        <f>IF(H97&lt;=0,0,MIN(H97+BC98,$F$10+BB98))</f>
        <v/>
      </c>
      <c r="BE98">
        <f>IF(H97&lt;=0,BB98,MAX(0,$F$10+BB98-H97-BC98))</f>
        <v/>
      </c>
      <c r="BF98">
        <f>IF(I97&lt;=0,0,I97*$E$11/12)</f>
        <v/>
      </c>
      <c r="BG98">
        <f>IF(I97&lt;=0,0,MIN(I97+BF98,$F$11+BE98))</f>
        <v/>
      </c>
      <c r="BH98">
        <f>IF(I97&lt;=0,BE98,MAX(0,$F$11+BE98-I97-BF98))</f>
        <v/>
      </c>
      <c r="BI98">
        <f>IF(J97&lt;=0,0,J97*$E$12/12)</f>
        <v/>
      </c>
      <c r="BJ98">
        <f>IF(J97&lt;=0,0,MIN(J97+BI98,$F$12+BH98))</f>
        <v/>
      </c>
      <c r="BK98">
        <f>IF(J97&lt;=0,BH98,MAX(0,$F$12+BH98-J97-BI98))</f>
        <v/>
      </c>
      <c r="BL98">
        <f>IF(K97&lt;=0,0,K97*$E$13/12)</f>
        <v/>
      </c>
      <c r="BM98">
        <f>IF(K97&lt;=0,0,MIN(K97+BL98,$F$13+BK98))</f>
        <v/>
      </c>
      <c r="BN98">
        <f>IF(K97&lt;=0,BK98,MAX(0,$F$13+BK98-K97-BL98))</f>
        <v/>
      </c>
      <c r="BO98">
        <f>IF(L97&lt;=0,0,L97*$E$14/12)</f>
        <v/>
      </c>
      <c r="BP98">
        <f>IF(L97&lt;=0,0,MIN(L97+BO98,$F$14+BN98))</f>
        <v/>
      </c>
      <c r="BQ98">
        <f>IF(L97&lt;=0,BN98,MAX(0,$F$14+BN98-L97-BO98))</f>
        <v/>
      </c>
      <c r="BR98">
        <f>IF(M97&lt;=0,0,M97*$E$15/12)</f>
        <v/>
      </c>
      <c r="BS98">
        <f>IF(M97&lt;=0,0,MIN(M97+BR98,$F$15+BQ98))</f>
        <v/>
      </c>
      <c r="BT98">
        <f>IF(M97&lt;=0,BQ98,MAX(0,$F$15+BQ98-M97-BR98))</f>
        <v/>
      </c>
      <c r="BU98">
        <f>IF(N97&lt;=0,0,N97*$E$16/12)</f>
        <v/>
      </c>
      <c r="BV98">
        <f>IF(N97&lt;=0,0,MIN(N97+BU98,$F$16+BT98))</f>
        <v/>
      </c>
      <c r="BW98">
        <f>IF(N97&lt;=0,BT98,MAX(0,$F$16+BT98-N97-BU98))</f>
        <v/>
      </c>
      <c r="BX98">
        <f>IF(O97&lt;=0,0,O97*$E$17/12)</f>
        <v/>
      </c>
      <c r="BY98">
        <f>IF(O97&lt;=0,0,MIN(O97+BX98,$F$17+BW98))</f>
        <v/>
      </c>
      <c r="BZ98">
        <f>IF(O97&lt;=0,BW98,MAX(0,$F$17+BW98-O97-BX98))</f>
        <v/>
      </c>
      <c r="CA98">
        <f>IF(P97&lt;=0,0,P97*$E$18/12)</f>
        <v/>
      </c>
      <c r="CB98">
        <f>IF(P97&lt;=0,0,MIN(P97+CA98,$F$18+BZ98))</f>
        <v/>
      </c>
      <c r="CC98">
        <f>IF(P97&lt;=0,BZ98,MAX(0,$F$18+BZ98-P97-CA98))</f>
        <v/>
      </c>
      <c r="CD98">
        <f>IF(Q97&lt;=0,0,Q97*$E$19/12)</f>
        <v/>
      </c>
      <c r="CE98">
        <f>IF(Q97&lt;=0,0,MIN(Q97+CD98,$F$19+CC98))</f>
        <v/>
      </c>
      <c r="CF98">
        <f>IF(Q97&lt;=0,CC98,MAX(0,$F$19+CC98-Q97-CD98))</f>
        <v/>
      </c>
      <c r="CG98">
        <f>IF(R97&lt;=0,0,R97*$E$20/12)</f>
        <v/>
      </c>
      <c r="CH98">
        <f>IF(R97&lt;=0,0,MIN(R97+CG98,$F$20+CF98))</f>
        <v/>
      </c>
      <c r="CI98">
        <f>IF(R97&lt;=0,CF98,MAX(0,$F$20+CF98-R97-CG98))</f>
        <v/>
      </c>
      <c r="CJ98">
        <f>IF(S97&lt;=0,0,S97*$E$21/12)</f>
        <v/>
      </c>
      <c r="CK98">
        <f>IF(S97&lt;=0,0,MIN(S97+CJ98,$F$21+CI98))</f>
        <v/>
      </c>
      <c r="CL98">
        <f>IF(S97&lt;=0,CI98,MAX(0,$F$21+CI98-S97-CJ98))</f>
        <v/>
      </c>
      <c r="CM98">
        <f>IF(T97&lt;=0,0,T97*$E$22/12)</f>
        <v/>
      </c>
      <c r="CN98">
        <f>IF(T97&lt;=0,0,MIN(T97+CM98,$F$22+CL98))</f>
        <v/>
      </c>
      <c r="CO98">
        <f>IF(T97&lt;=0,CL98,MAX(0,$F$22+CL98-T97-CM98))</f>
        <v/>
      </c>
      <c r="CP98">
        <f>IF(U97&lt;=0,0,U97*$E$23/12)</f>
        <v/>
      </c>
      <c r="CQ98">
        <f>IF(U97&lt;=0,0,MIN(U97+CP98,$F$23+CO98))</f>
        <v/>
      </c>
      <c r="CR98">
        <f>IF(U97&lt;=0,CO98,MAX(0,$F$23+CO98-U97-CP98))</f>
        <v/>
      </c>
      <c r="CS98">
        <f>IF(V97&lt;=0,0,V97*$E$24/12)</f>
        <v/>
      </c>
      <c r="CT98">
        <f>IF(V97&lt;=0,0,MIN(V97+CS98,$F$24+CR98))</f>
        <v/>
      </c>
      <c r="CU98">
        <f>IF(V97&lt;=0,CR98,MAX(0,$F$24+CR98-V97-CS98))</f>
        <v/>
      </c>
    </row>
    <row r="99">
      <c r="B99" s="39" t="n">
        <v>73</v>
      </c>
      <c r="C99" s="13">
        <f>IF(C98&lt;=0,0,MAX(0,C98+AN99-AO99))</f>
        <v/>
      </c>
      <c r="D99" s="13">
        <f>IF(D98&lt;=0,0,MAX(0,D98+AQ99-AR99))</f>
        <v/>
      </c>
      <c r="E99" s="13">
        <f>IF(E98&lt;=0,0,MAX(0,E98+AT99-AU99))</f>
        <v/>
      </c>
      <c r="F99" s="13">
        <f>IF(F98&lt;=0,0,MAX(0,F98+AW99-AX99))</f>
        <v/>
      </c>
      <c r="G99" s="13">
        <f>IF(G98&lt;=0,0,MAX(0,G98+AZ99-BA99))</f>
        <v/>
      </c>
      <c r="H99" s="13">
        <f>IF(H98&lt;=0,0,MAX(0,H98+BC99-BD99))</f>
        <v/>
      </c>
      <c r="I99" s="13">
        <f>IF(I98&lt;=0,0,MAX(0,I98+BF99-BG99))</f>
        <v/>
      </c>
      <c r="J99" s="13">
        <f>IF(J98&lt;=0,0,MAX(0,J98+BI99-BJ99))</f>
        <v/>
      </c>
      <c r="K99" s="13">
        <f>IF(K98&lt;=0,0,MAX(0,K98+BL99-BM99))</f>
        <v/>
      </c>
      <c r="L99" s="13">
        <f>IF(L98&lt;=0,0,MAX(0,L98+BO99-BP99))</f>
        <v/>
      </c>
      <c r="M99" s="13">
        <f>IF(M98&lt;=0,0,MAX(0,M98+BR99-BS99))</f>
        <v/>
      </c>
      <c r="N99" s="13">
        <f>IF(N98&lt;=0,0,MAX(0,N98+BU99-BV99))</f>
        <v/>
      </c>
      <c r="O99" s="13">
        <f>IF(O98&lt;=0,0,MAX(0,O98+BX99-BY99))</f>
        <v/>
      </c>
      <c r="P99" s="13">
        <f>IF(P98&lt;=0,0,MAX(0,P98+CA99-CB99))</f>
        <v/>
      </c>
      <c r="Q99" s="13">
        <f>IF(Q98&lt;=0,0,MAX(0,Q98+CD99-CE99))</f>
        <v/>
      </c>
      <c r="R99" s="13">
        <f>IF(R98&lt;=0,0,MAX(0,R98+CG99-CH99))</f>
        <v/>
      </c>
      <c r="S99" s="13">
        <f>IF(S98&lt;=0,0,MAX(0,S98+CJ99-CK99))</f>
        <v/>
      </c>
      <c r="T99" s="13">
        <f>IF(T98&lt;=0,0,MAX(0,T98+CM99-CN99))</f>
        <v/>
      </c>
      <c r="U99" s="13">
        <f>IF(U98&lt;=0,0,MAX(0,U98+CP99-CQ99))</f>
        <v/>
      </c>
      <c r="V99" s="13">
        <f>IF(V98&lt;=0,0,MAX(0,V98+CS99-CT99))</f>
        <v/>
      </c>
      <c r="W99" s="13">
        <f>AO99+AR99+AU99+AX99+BA99+BD99+BG99+BJ99+BM99+BP99+BS99+BV99+BY99+CB99+CE99+CH99+CK99+CN99+CQ99+CT99</f>
        <v/>
      </c>
      <c r="X99" s="13">
        <f>AN99+AQ99+AT99+AW99+AZ99+BC99+BF99+BI99+BL99+BO99+BR99+BU99+BX99+CA99+CD99+CG99+CJ99+CM99+CP99+CS99</f>
        <v/>
      </c>
      <c r="Y99" s="27">
        <f>C99+D99+E99+F99+G99+H99+I99+J99+K99+L99+M99+N99+O99+P99+Q99+R99+S99+T99+U99+V99</f>
        <v/>
      </c>
      <c r="AN99">
        <f>IF(C98&lt;=0,0,C98*$E$5/12)</f>
        <v/>
      </c>
      <c r="AO99">
        <f>IF(C98&lt;=0,0,MIN(C98+AN99,$F$5+(Dashboard!$C$11+IF(C98&lt;=0,$F$5,0)+IF(D98&lt;=0,$F$6,0)+IF(E98&lt;=0,$F$7,0)+IF(F98&lt;=0,$F$8,0)+IF(G98&lt;=0,$F$9,0)+IF(H98&lt;=0,$F$10,0)+IF(I98&lt;=0,$F$11,0)+IF(J98&lt;=0,$F$12,0)+IF(K98&lt;=0,$F$13,0)+IF(L98&lt;=0,$F$14,0)+IF(M98&lt;=0,$F$15,0)+IF(N98&lt;=0,$F$16,0)+IF(O98&lt;=0,$F$17,0)+IF(P98&lt;=0,$F$18,0)+IF(Q98&lt;=0,$F$19,0)+IF(R98&lt;=0,$F$20,0)+IF(S98&lt;=0,$F$21,0)+IF(T98&lt;=0,$F$22,0)+IF(U98&lt;=0,$F$23,0)+IF(V98&lt;=0,$F$24,0))))</f>
        <v/>
      </c>
      <c r="AP99">
        <f>IF(C98&lt;=0,(Dashboard!$C$11+IF(C98&lt;=0,$F$5,0)+IF(D98&lt;=0,$F$6,0)+IF(E98&lt;=0,$F$7,0)+IF(F98&lt;=0,$F$8,0)+IF(G98&lt;=0,$F$9,0)+IF(H98&lt;=0,$F$10,0)+IF(I98&lt;=0,$F$11,0)+IF(J98&lt;=0,$F$12,0)+IF(K98&lt;=0,$F$13,0)+IF(L98&lt;=0,$F$14,0)+IF(M98&lt;=0,$F$15,0)+IF(N98&lt;=0,$F$16,0)+IF(O98&lt;=0,$F$17,0)+IF(P98&lt;=0,$F$18,0)+IF(Q98&lt;=0,$F$19,0)+IF(R98&lt;=0,$F$20,0)+IF(S98&lt;=0,$F$21,0)+IF(T98&lt;=0,$F$22,0)+IF(U98&lt;=0,$F$23,0)+IF(V98&lt;=0,$F$24,0)),MAX(0,$F$5+(Dashboard!$C$11+IF(C98&lt;=0,$F$5,0)+IF(D98&lt;=0,$F$6,0)+IF(E98&lt;=0,$F$7,0)+IF(F98&lt;=0,$F$8,0)+IF(G98&lt;=0,$F$9,0)+IF(H98&lt;=0,$F$10,0)+IF(I98&lt;=0,$F$11,0)+IF(J98&lt;=0,$F$12,0)+IF(K98&lt;=0,$F$13,0)+IF(L98&lt;=0,$F$14,0)+IF(M98&lt;=0,$F$15,0)+IF(N98&lt;=0,$F$16,0)+IF(O98&lt;=0,$F$17,0)+IF(P98&lt;=0,$F$18,0)+IF(Q98&lt;=0,$F$19,0)+IF(R98&lt;=0,$F$20,0)+IF(S98&lt;=0,$F$21,0)+IF(T98&lt;=0,$F$22,0)+IF(U98&lt;=0,$F$23,0)+IF(V98&lt;=0,$F$24,0))-C98-AN99))</f>
        <v/>
      </c>
      <c r="AQ99">
        <f>IF(D98&lt;=0,0,D98*$E$6/12)</f>
        <v/>
      </c>
      <c r="AR99">
        <f>IF(D98&lt;=0,0,MIN(D98+AQ99,$F$6+AP99))</f>
        <v/>
      </c>
      <c r="AS99">
        <f>IF(D98&lt;=0,AP99,MAX(0,$F$6+AP99-D98-AQ99))</f>
        <v/>
      </c>
      <c r="AT99">
        <f>IF(E98&lt;=0,0,E98*$E$7/12)</f>
        <v/>
      </c>
      <c r="AU99">
        <f>IF(E98&lt;=0,0,MIN(E98+AT99,$F$7+AS99))</f>
        <v/>
      </c>
      <c r="AV99">
        <f>IF(E98&lt;=0,AS99,MAX(0,$F$7+AS99-E98-AT99))</f>
        <v/>
      </c>
      <c r="AW99">
        <f>IF(F98&lt;=0,0,F98*$E$8/12)</f>
        <v/>
      </c>
      <c r="AX99">
        <f>IF(F98&lt;=0,0,MIN(F98+AW99,$F$8+AV99))</f>
        <v/>
      </c>
      <c r="AY99">
        <f>IF(F98&lt;=0,AV99,MAX(0,$F$8+AV99-F98-AW99))</f>
        <v/>
      </c>
      <c r="AZ99">
        <f>IF(G98&lt;=0,0,G98*$E$9/12)</f>
        <v/>
      </c>
      <c r="BA99">
        <f>IF(G98&lt;=0,0,MIN(G98+AZ99,$F$9+AY99))</f>
        <v/>
      </c>
      <c r="BB99">
        <f>IF(G98&lt;=0,AY99,MAX(0,$F$9+AY99-G98-AZ99))</f>
        <v/>
      </c>
      <c r="BC99">
        <f>IF(H98&lt;=0,0,H98*$E$10/12)</f>
        <v/>
      </c>
      <c r="BD99">
        <f>IF(H98&lt;=0,0,MIN(H98+BC99,$F$10+BB99))</f>
        <v/>
      </c>
      <c r="BE99">
        <f>IF(H98&lt;=0,BB99,MAX(0,$F$10+BB99-H98-BC99))</f>
        <v/>
      </c>
      <c r="BF99">
        <f>IF(I98&lt;=0,0,I98*$E$11/12)</f>
        <v/>
      </c>
      <c r="BG99">
        <f>IF(I98&lt;=0,0,MIN(I98+BF99,$F$11+BE99))</f>
        <v/>
      </c>
      <c r="BH99">
        <f>IF(I98&lt;=0,BE99,MAX(0,$F$11+BE99-I98-BF99))</f>
        <v/>
      </c>
      <c r="BI99">
        <f>IF(J98&lt;=0,0,J98*$E$12/12)</f>
        <v/>
      </c>
      <c r="BJ99">
        <f>IF(J98&lt;=0,0,MIN(J98+BI99,$F$12+BH99))</f>
        <v/>
      </c>
      <c r="BK99">
        <f>IF(J98&lt;=0,BH99,MAX(0,$F$12+BH99-J98-BI99))</f>
        <v/>
      </c>
      <c r="BL99">
        <f>IF(K98&lt;=0,0,K98*$E$13/12)</f>
        <v/>
      </c>
      <c r="BM99">
        <f>IF(K98&lt;=0,0,MIN(K98+BL99,$F$13+BK99))</f>
        <v/>
      </c>
      <c r="BN99">
        <f>IF(K98&lt;=0,BK99,MAX(0,$F$13+BK99-K98-BL99))</f>
        <v/>
      </c>
      <c r="BO99">
        <f>IF(L98&lt;=0,0,L98*$E$14/12)</f>
        <v/>
      </c>
      <c r="BP99">
        <f>IF(L98&lt;=0,0,MIN(L98+BO99,$F$14+BN99))</f>
        <v/>
      </c>
      <c r="BQ99">
        <f>IF(L98&lt;=0,BN99,MAX(0,$F$14+BN99-L98-BO99))</f>
        <v/>
      </c>
      <c r="BR99">
        <f>IF(M98&lt;=0,0,M98*$E$15/12)</f>
        <v/>
      </c>
      <c r="BS99">
        <f>IF(M98&lt;=0,0,MIN(M98+BR99,$F$15+BQ99))</f>
        <v/>
      </c>
      <c r="BT99">
        <f>IF(M98&lt;=0,BQ99,MAX(0,$F$15+BQ99-M98-BR99))</f>
        <v/>
      </c>
      <c r="BU99">
        <f>IF(N98&lt;=0,0,N98*$E$16/12)</f>
        <v/>
      </c>
      <c r="BV99">
        <f>IF(N98&lt;=0,0,MIN(N98+BU99,$F$16+BT99))</f>
        <v/>
      </c>
      <c r="BW99">
        <f>IF(N98&lt;=0,BT99,MAX(0,$F$16+BT99-N98-BU99))</f>
        <v/>
      </c>
      <c r="BX99">
        <f>IF(O98&lt;=0,0,O98*$E$17/12)</f>
        <v/>
      </c>
      <c r="BY99">
        <f>IF(O98&lt;=0,0,MIN(O98+BX99,$F$17+BW99))</f>
        <v/>
      </c>
      <c r="BZ99">
        <f>IF(O98&lt;=0,BW99,MAX(0,$F$17+BW99-O98-BX99))</f>
        <v/>
      </c>
      <c r="CA99">
        <f>IF(P98&lt;=0,0,P98*$E$18/12)</f>
        <v/>
      </c>
      <c r="CB99">
        <f>IF(P98&lt;=0,0,MIN(P98+CA99,$F$18+BZ99))</f>
        <v/>
      </c>
      <c r="CC99">
        <f>IF(P98&lt;=0,BZ99,MAX(0,$F$18+BZ99-P98-CA99))</f>
        <v/>
      </c>
      <c r="CD99">
        <f>IF(Q98&lt;=0,0,Q98*$E$19/12)</f>
        <v/>
      </c>
      <c r="CE99">
        <f>IF(Q98&lt;=0,0,MIN(Q98+CD99,$F$19+CC99))</f>
        <v/>
      </c>
      <c r="CF99">
        <f>IF(Q98&lt;=0,CC99,MAX(0,$F$19+CC99-Q98-CD99))</f>
        <v/>
      </c>
      <c r="CG99">
        <f>IF(R98&lt;=0,0,R98*$E$20/12)</f>
        <v/>
      </c>
      <c r="CH99">
        <f>IF(R98&lt;=0,0,MIN(R98+CG99,$F$20+CF99))</f>
        <v/>
      </c>
      <c r="CI99">
        <f>IF(R98&lt;=0,CF99,MAX(0,$F$20+CF99-R98-CG99))</f>
        <v/>
      </c>
      <c r="CJ99">
        <f>IF(S98&lt;=0,0,S98*$E$21/12)</f>
        <v/>
      </c>
      <c r="CK99">
        <f>IF(S98&lt;=0,0,MIN(S98+CJ99,$F$21+CI99))</f>
        <v/>
      </c>
      <c r="CL99">
        <f>IF(S98&lt;=0,CI99,MAX(0,$F$21+CI99-S98-CJ99))</f>
        <v/>
      </c>
      <c r="CM99">
        <f>IF(T98&lt;=0,0,T98*$E$22/12)</f>
        <v/>
      </c>
      <c r="CN99">
        <f>IF(T98&lt;=0,0,MIN(T98+CM99,$F$22+CL99))</f>
        <v/>
      </c>
      <c r="CO99">
        <f>IF(T98&lt;=0,CL99,MAX(0,$F$22+CL99-T98-CM99))</f>
        <v/>
      </c>
      <c r="CP99">
        <f>IF(U98&lt;=0,0,U98*$E$23/12)</f>
        <v/>
      </c>
      <c r="CQ99">
        <f>IF(U98&lt;=0,0,MIN(U98+CP99,$F$23+CO99))</f>
        <v/>
      </c>
      <c r="CR99">
        <f>IF(U98&lt;=0,CO99,MAX(0,$F$23+CO99-U98-CP99))</f>
        <v/>
      </c>
      <c r="CS99">
        <f>IF(V98&lt;=0,0,V98*$E$24/12)</f>
        <v/>
      </c>
      <c r="CT99">
        <f>IF(V98&lt;=0,0,MIN(V98+CS99,$F$24+CR99))</f>
        <v/>
      </c>
      <c r="CU99">
        <f>IF(V98&lt;=0,CR99,MAX(0,$F$24+CR99-V98-CS99))</f>
        <v/>
      </c>
    </row>
    <row r="100">
      <c r="B100" s="39" t="n">
        <v>74</v>
      </c>
      <c r="C100" s="13">
        <f>IF(C99&lt;=0,0,MAX(0,C99+AN100-AO100))</f>
        <v/>
      </c>
      <c r="D100" s="13">
        <f>IF(D99&lt;=0,0,MAX(0,D99+AQ100-AR100))</f>
        <v/>
      </c>
      <c r="E100" s="13">
        <f>IF(E99&lt;=0,0,MAX(0,E99+AT100-AU100))</f>
        <v/>
      </c>
      <c r="F100" s="13">
        <f>IF(F99&lt;=0,0,MAX(0,F99+AW100-AX100))</f>
        <v/>
      </c>
      <c r="G100" s="13">
        <f>IF(G99&lt;=0,0,MAX(0,G99+AZ100-BA100))</f>
        <v/>
      </c>
      <c r="H100" s="13">
        <f>IF(H99&lt;=0,0,MAX(0,H99+BC100-BD100))</f>
        <v/>
      </c>
      <c r="I100" s="13">
        <f>IF(I99&lt;=0,0,MAX(0,I99+BF100-BG100))</f>
        <v/>
      </c>
      <c r="J100" s="13">
        <f>IF(J99&lt;=0,0,MAX(0,J99+BI100-BJ100))</f>
        <v/>
      </c>
      <c r="K100" s="13">
        <f>IF(K99&lt;=0,0,MAX(0,K99+BL100-BM100))</f>
        <v/>
      </c>
      <c r="L100" s="13">
        <f>IF(L99&lt;=0,0,MAX(0,L99+BO100-BP100))</f>
        <v/>
      </c>
      <c r="M100" s="13">
        <f>IF(M99&lt;=0,0,MAX(0,M99+BR100-BS100))</f>
        <v/>
      </c>
      <c r="N100" s="13">
        <f>IF(N99&lt;=0,0,MAX(0,N99+BU100-BV100))</f>
        <v/>
      </c>
      <c r="O100" s="13">
        <f>IF(O99&lt;=0,0,MAX(0,O99+BX100-BY100))</f>
        <v/>
      </c>
      <c r="P100" s="13">
        <f>IF(P99&lt;=0,0,MAX(0,P99+CA100-CB100))</f>
        <v/>
      </c>
      <c r="Q100" s="13">
        <f>IF(Q99&lt;=0,0,MAX(0,Q99+CD100-CE100))</f>
        <v/>
      </c>
      <c r="R100" s="13">
        <f>IF(R99&lt;=0,0,MAX(0,R99+CG100-CH100))</f>
        <v/>
      </c>
      <c r="S100" s="13">
        <f>IF(S99&lt;=0,0,MAX(0,S99+CJ100-CK100))</f>
        <v/>
      </c>
      <c r="T100" s="13">
        <f>IF(T99&lt;=0,0,MAX(0,T99+CM100-CN100))</f>
        <v/>
      </c>
      <c r="U100" s="13">
        <f>IF(U99&lt;=0,0,MAX(0,U99+CP100-CQ100))</f>
        <v/>
      </c>
      <c r="V100" s="13">
        <f>IF(V99&lt;=0,0,MAX(0,V99+CS100-CT100))</f>
        <v/>
      </c>
      <c r="W100" s="13">
        <f>AO100+AR100+AU100+AX100+BA100+BD100+BG100+BJ100+BM100+BP100+BS100+BV100+BY100+CB100+CE100+CH100+CK100+CN100+CQ100+CT100</f>
        <v/>
      </c>
      <c r="X100" s="13">
        <f>AN100+AQ100+AT100+AW100+AZ100+BC100+BF100+BI100+BL100+BO100+BR100+BU100+BX100+CA100+CD100+CG100+CJ100+CM100+CP100+CS100</f>
        <v/>
      </c>
      <c r="Y100" s="27">
        <f>C100+D100+E100+F100+G100+H100+I100+J100+K100+L100+M100+N100+O100+P100+Q100+R100+S100+T100+U100+V100</f>
        <v/>
      </c>
      <c r="AN100">
        <f>IF(C99&lt;=0,0,C99*$E$5/12)</f>
        <v/>
      </c>
      <c r="AO100">
        <f>IF(C99&lt;=0,0,MIN(C99+AN100,$F$5+(Dashboard!$C$11+IF(C99&lt;=0,$F$5,0)+IF(D99&lt;=0,$F$6,0)+IF(E99&lt;=0,$F$7,0)+IF(F99&lt;=0,$F$8,0)+IF(G99&lt;=0,$F$9,0)+IF(H99&lt;=0,$F$10,0)+IF(I99&lt;=0,$F$11,0)+IF(J99&lt;=0,$F$12,0)+IF(K99&lt;=0,$F$13,0)+IF(L99&lt;=0,$F$14,0)+IF(M99&lt;=0,$F$15,0)+IF(N99&lt;=0,$F$16,0)+IF(O99&lt;=0,$F$17,0)+IF(P99&lt;=0,$F$18,0)+IF(Q99&lt;=0,$F$19,0)+IF(R99&lt;=0,$F$20,0)+IF(S99&lt;=0,$F$21,0)+IF(T99&lt;=0,$F$22,0)+IF(U99&lt;=0,$F$23,0)+IF(V99&lt;=0,$F$24,0))))</f>
        <v/>
      </c>
      <c r="AP100">
        <f>IF(C99&lt;=0,(Dashboard!$C$11+IF(C99&lt;=0,$F$5,0)+IF(D99&lt;=0,$F$6,0)+IF(E99&lt;=0,$F$7,0)+IF(F99&lt;=0,$F$8,0)+IF(G99&lt;=0,$F$9,0)+IF(H99&lt;=0,$F$10,0)+IF(I99&lt;=0,$F$11,0)+IF(J99&lt;=0,$F$12,0)+IF(K99&lt;=0,$F$13,0)+IF(L99&lt;=0,$F$14,0)+IF(M99&lt;=0,$F$15,0)+IF(N99&lt;=0,$F$16,0)+IF(O99&lt;=0,$F$17,0)+IF(P99&lt;=0,$F$18,0)+IF(Q99&lt;=0,$F$19,0)+IF(R99&lt;=0,$F$20,0)+IF(S99&lt;=0,$F$21,0)+IF(T99&lt;=0,$F$22,0)+IF(U99&lt;=0,$F$23,0)+IF(V99&lt;=0,$F$24,0)),MAX(0,$F$5+(Dashboard!$C$11+IF(C99&lt;=0,$F$5,0)+IF(D99&lt;=0,$F$6,0)+IF(E99&lt;=0,$F$7,0)+IF(F99&lt;=0,$F$8,0)+IF(G99&lt;=0,$F$9,0)+IF(H99&lt;=0,$F$10,0)+IF(I99&lt;=0,$F$11,0)+IF(J99&lt;=0,$F$12,0)+IF(K99&lt;=0,$F$13,0)+IF(L99&lt;=0,$F$14,0)+IF(M99&lt;=0,$F$15,0)+IF(N99&lt;=0,$F$16,0)+IF(O99&lt;=0,$F$17,0)+IF(P99&lt;=0,$F$18,0)+IF(Q99&lt;=0,$F$19,0)+IF(R99&lt;=0,$F$20,0)+IF(S99&lt;=0,$F$21,0)+IF(T99&lt;=0,$F$22,0)+IF(U99&lt;=0,$F$23,0)+IF(V99&lt;=0,$F$24,0))-C99-AN100))</f>
        <v/>
      </c>
      <c r="AQ100">
        <f>IF(D99&lt;=0,0,D99*$E$6/12)</f>
        <v/>
      </c>
      <c r="AR100">
        <f>IF(D99&lt;=0,0,MIN(D99+AQ100,$F$6+AP100))</f>
        <v/>
      </c>
      <c r="AS100">
        <f>IF(D99&lt;=0,AP100,MAX(0,$F$6+AP100-D99-AQ100))</f>
        <v/>
      </c>
      <c r="AT100">
        <f>IF(E99&lt;=0,0,E99*$E$7/12)</f>
        <v/>
      </c>
      <c r="AU100">
        <f>IF(E99&lt;=0,0,MIN(E99+AT100,$F$7+AS100))</f>
        <v/>
      </c>
      <c r="AV100">
        <f>IF(E99&lt;=0,AS100,MAX(0,$F$7+AS100-E99-AT100))</f>
        <v/>
      </c>
      <c r="AW100">
        <f>IF(F99&lt;=0,0,F99*$E$8/12)</f>
        <v/>
      </c>
      <c r="AX100">
        <f>IF(F99&lt;=0,0,MIN(F99+AW100,$F$8+AV100))</f>
        <v/>
      </c>
      <c r="AY100">
        <f>IF(F99&lt;=0,AV100,MAX(0,$F$8+AV100-F99-AW100))</f>
        <v/>
      </c>
      <c r="AZ100">
        <f>IF(G99&lt;=0,0,G99*$E$9/12)</f>
        <v/>
      </c>
      <c r="BA100">
        <f>IF(G99&lt;=0,0,MIN(G99+AZ100,$F$9+AY100))</f>
        <v/>
      </c>
      <c r="BB100">
        <f>IF(G99&lt;=0,AY100,MAX(0,$F$9+AY100-G99-AZ100))</f>
        <v/>
      </c>
      <c r="BC100">
        <f>IF(H99&lt;=0,0,H99*$E$10/12)</f>
        <v/>
      </c>
      <c r="BD100">
        <f>IF(H99&lt;=0,0,MIN(H99+BC100,$F$10+BB100))</f>
        <v/>
      </c>
      <c r="BE100">
        <f>IF(H99&lt;=0,BB100,MAX(0,$F$10+BB100-H99-BC100))</f>
        <v/>
      </c>
      <c r="BF100">
        <f>IF(I99&lt;=0,0,I99*$E$11/12)</f>
        <v/>
      </c>
      <c r="BG100">
        <f>IF(I99&lt;=0,0,MIN(I99+BF100,$F$11+BE100))</f>
        <v/>
      </c>
      <c r="BH100">
        <f>IF(I99&lt;=0,BE100,MAX(0,$F$11+BE100-I99-BF100))</f>
        <v/>
      </c>
      <c r="BI100">
        <f>IF(J99&lt;=0,0,J99*$E$12/12)</f>
        <v/>
      </c>
      <c r="BJ100">
        <f>IF(J99&lt;=0,0,MIN(J99+BI100,$F$12+BH100))</f>
        <v/>
      </c>
      <c r="BK100">
        <f>IF(J99&lt;=0,BH100,MAX(0,$F$12+BH100-J99-BI100))</f>
        <v/>
      </c>
      <c r="BL100">
        <f>IF(K99&lt;=0,0,K99*$E$13/12)</f>
        <v/>
      </c>
      <c r="BM100">
        <f>IF(K99&lt;=0,0,MIN(K99+BL100,$F$13+BK100))</f>
        <v/>
      </c>
      <c r="BN100">
        <f>IF(K99&lt;=0,BK100,MAX(0,$F$13+BK100-K99-BL100))</f>
        <v/>
      </c>
      <c r="BO100">
        <f>IF(L99&lt;=0,0,L99*$E$14/12)</f>
        <v/>
      </c>
      <c r="BP100">
        <f>IF(L99&lt;=0,0,MIN(L99+BO100,$F$14+BN100))</f>
        <v/>
      </c>
      <c r="BQ100">
        <f>IF(L99&lt;=0,BN100,MAX(0,$F$14+BN100-L99-BO100))</f>
        <v/>
      </c>
      <c r="BR100">
        <f>IF(M99&lt;=0,0,M99*$E$15/12)</f>
        <v/>
      </c>
      <c r="BS100">
        <f>IF(M99&lt;=0,0,MIN(M99+BR100,$F$15+BQ100))</f>
        <v/>
      </c>
      <c r="BT100">
        <f>IF(M99&lt;=0,BQ100,MAX(0,$F$15+BQ100-M99-BR100))</f>
        <v/>
      </c>
      <c r="BU100">
        <f>IF(N99&lt;=0,0,N99*$E$16/12)</f>
        <v/>
      </c>
      <c r="BV100">
        <f>IF(N99&lt;=0,0,MIN(N99+BU100,$F$16+BT100))</f>
        <v/>
      </c>
      <c r="BW100">
        <f>IF(N99&lt;=0,BT100,MAX(0,$F$16+BT100-N99-BU100))</f>
        <v/>
      </c>
      <c r="BX100">
        <f>IF(O99&lt;=0,0,O99*$E$17/12)</f>
        <v/>
      </c>
      <c r="BY100">
        <f>IF(O99&lt;=0,0,MIN(O99+BX100,$F$17+BW100))</f>
        <v/>
      </c>
      <c r="BZ100">
        <f>IF(O99&lt;=0,BW100,MAX(0,$F$17+BW100-O99-BX100))</f>
        <v/>
      </c>
      <c r="CA100">
        <f>IF(P99&lt;=0,0,P99*$E$18/12)</f>
        <v/>
      </c>
      <c r="CB100">
        <f>IF(P99&lt;=0,0,MIN(P99+CA100,$F$18+BZ100))</f>
        <v/>
      </c>
      <c r="CC100">
        <f>IF(P99&lt;=0,BZ100,MAX(0,$F$18+BZ100-P99-CA100))</f>
        <v/>
      </c>
      <c r="CD100">
        <f>IF(Q99&lt;=0,0,Q99*$E$19/12)</f>
        <v/>
      </c>
      <c r="CE100">
        <f>IF(Q99&lt;=0,0,MIN(Q99+CD100,$F$19+CC100))</f>
        <v/>
      </c>
      <c r="CF100">
        <f>IF(Q99&lt;=0,CC100,MAX(0,$F$19+CC100-Q99-CD100))</f>
        <v/>
      </c>
      <c r="CG100">
        <f>IF(R99&lt;=0,0,R99*$E$20/12)</f>
        <v/>
      </c>
      <c r="CH100">
        <f>IF(R99&lt;=0,0,MIN(R99+CG100,$F$20+CF100))</f>
        <v/>
      </c>
      <c r="CI100">
        <f>IF(R99&lt;=0,CF100,MAX(0,$F$20+CF100-R99-CG100))</f>
        <v/>
      </c>
      <c r="CJ100">
        <f>IF(S99&lt;=0,0,S99*$E$21/12)</f>
        <v/>
      </c>
      <c r="CK100">
        <f>IF(S99&lt;=0,0,MIN(S99+CJ100,$F$21+CI100))</f>
        <v/>
      </c>
      <c r="CL100">
        <f>IF(S99&lt;=0,CI100,MAX(0,$F$21+CI100-S99-CJ100))</f>
        <v/>
      </c>
      <c r="CM100">
        <f>IF(T99&lt;=0,0,T99*$E$22/12)</f>
        <v/>
      </c>
      <c r="CN100">
        <f>IF(T99&lt;=0,0,MIN(T99+CM100,$F$22+CL100))</f>
        <v/>
      </c>
      <c r="CO100">
        <f>IF(T99&lt;=0,CL100,MAX(0,$F$22+CL100-T99-CM100))</f>
        <v/>
      </c>
      <c r="CP100">
        <f>IF(U99&lt;=0,0,U99*$E$23/12)</f>
        <v/>
      </c>
      <c r="CQ100">
        <f>IF(U99&lt;=0,0,MIN(U99+CP100,$F$23+CO100))</f>
        <v/>
      </c>
      <c r="CR100">
        <f>IF(U99&lt;=0,CO100,MAX(0,$F$23+CO100-U99-CP100))</f>
        <v/>
      </c>
      <c r="CS100">
        <f>IF(V99&lt;=0,0,V99*$E$24/12)</f>
        <v/>
      </c>
      <c r="CT100">
        <f>IF(V99&lt;=0,0,MIN(V99+CS100,$F$24+CR100))</f>
        <v/>
      </c>
      <c r="CU100">
        <f>IF(V99&lt;=0,CR100,MAX(0,$F$24+CR100-V99-CS100))</f>
        <v/>
      </c>
    </row>
    <row r="101">
      <c r="B101" s="39" t="n">
        <v>75</v>
      </c>
      <c r="C101" s="13">
        <f>IF(C100&lt;=0,0,MAX(0,C100+AN101-AO101))</f>
        <v/>
      </c>
      <c r="D101" s="13">
        <f>IF(D100&lt;=0,0,MAX(0,D100+AQ101-AR101))</f>
        <v/>
      </c>
      <c r="E101" s="13">
        <f>IF(E100&lt;=0,0,MAX(0,E100+AT101-AU101))</f>
        <v/>
      </c>
      <c r="F101" s="13">
        <f>IF(F100&lt;=0,0,MAX(0,F100+AW101-AX101))</f>
        <v/>
      </c>
      <c r="G101" s="13">
        <f>IF(G100&lt;=0,0,MAX(0,G100+AZ101-BA101))</f>
        <v/>
      </c>
      <c r="H101" s="13">
        <f>IF(H100&lt;=0,0,MAX(0,H100+BC101-BD101))</f>
        <v/>
      </c>
      <c r="I101" s="13">
        <f>IF(I100&lt;=0,0,MAX(0,I100+BF101-BG101))</f>
        <v/>
      </c>
      <c r="J101" s="13">
        <f>IF(J100&lt;=0,0,MAX(0,J100+BI101-BJ101))</f>
        <v/>
      </c>
      <c r="K101" s="13">
        <f>IF(K100&lt;=0,0,MAX(0,K100+BL101-BM101))</f>
        <v/>
      </c>
      <c r="L101" s="13">
        <f>IF(L100&lt;=0,0,MAX(0,L100+BO101-BP101))</f>
        <v/>
      </c>
      <c r="M101" s="13">
        <f>IF(M100&lt;=0,0,MAX(0,M100+BR101-BS101))</f>
        <v/>
      </c>
      <c r="N101" s="13">
        <f>IF(N100&lt;=0,0,MAX(0,N100+BU101-BV101))</f>
        <v/>
      </c>
      <c r="O101" s="13">
        <f>IF(O100&lt;=0,0,MAX(0,O100+BX101-BY101))</f>
        <v/>
      </c>
      <c r="P101" s="13">
        <f>IF(P100&lt;=0,0,MAX(0,P100+CA101-CB101))</f>
        <v/>
      </c>
      <c r="Q101" s="13">
        <f>IF(Q100&lt;=0,0,MAX(0,Q100+CD101-CE101))</f>
        <v/>
      </c>
      <c r="R101" s="13">
        <f>IF(R100&lt;=0,0,MAX(0,R100+CG101-CH101))</f>
        <v/>
      </c>
      <c r="S101" s="13">
        <f>IF(S100&lt;=0,0,MAX(0,S100+CJ101-CK101))</f>
        <v/>
      </c>
      <c r="T101" s="13">
        <f>IF(T100&lt;=0,0,MAX(0,T100+CM101-CN101))</f>
        <v/>
      </c>
      <c r="U101" s="13">
        <f>IF(U100&lt;=0,0,MAX(0,U100+CP101-CQ101))</f>
        <v/>
      </c>
      <c r="V101" s="13">
        <f>IF(V100&lt;=0,0,MAX(0,V100+CS101-CT101))</f>
        <v/>
      </c>
      <c r="W101" s="13">
        <f>AO101+AR101+AU101+AX101+BA101+BD101+BG101+BJ101+BM101+BP101+BS101+BV101+BY101+CB101+CE101+CH101+CK101+CN101+CQ101+CT101</f>
        <v/>
      </c>
      <c r="X101" s="13">
        <f>AN101+AQ101+AT101+AW101+AZ101+BC101+BF101+BI101+BL101+BO101+BR101+BU101+BX101+CA101+CD101+CG101+CJ101+CM101+CP101+CS101</f>
        <v/>
      </c>
      <c r="Y101" s="27">
        <f>C101+D101+E101+F101+G101+H101+I101+J101+K101+L101+M101+N101+O101+P101+Q101+R101+S101+T101+U101+V101</f>
        <v/>
      </c>
      <c r="AN101">
        <f>IF(C100&lt;=0,0,C100*$E$5/12)</f>
        <v/>
      </c>
      <c r="AO101">
        <f>IF(C100&lt;=0,0,MIN(C100+AN101,$F$5+(Dashboard!$C$11+IF(C100&lt;=0,$F$5,0)+IF(D100&lt;=0,$F$6,0)+IF(E100&lt;=0,$F$7,0)+IF(F100&lt;=0,$F$8,0)+IF(G100&lt;=0,$F$9,0)+IF(H100&lt;=0,$F$10,0)+IF(I100&lt;=0,$F$11,0)+IF(J100&lt;=0,$F$12,0)+IF(K100&lt;=0,$F$13,0)+IF(L100&lt;=0,$F$14,0)+IF(M100&lt;=0,$F$15,0)+IF(N100&lt;=0,$F$16,0)+IF(O100&lt;=0,$F$17,0)+IF(P100&lt;=0,$F$18,0)+IF(Q100&lt;=0,$F$19,0)+IF(R100&lt;=0,$F$20,0)+IF(S100&lt;=0,$F$21,0)+IF(T100&lt;=0,$F$22,0)+IF(U100&lt;=0,$F$23,0)+IF(V100&lt;=0,$F$24,0))))</f>
        <v/>
      </c>
      <c r="AP101">
        <f>IF(C100&lt;=0,(Dashboard!$C$11+IF(C100&lt;=0,$F$5,0)+IF(D100&lt;=0,$F$6,0)+IF(E100&lt;=0,$F$7,0)+IF(F100&lt;=0,$F$8,0)+IF(G100&lt;=0,$F$9,0)+IF(H100&lt;=0,$F$10,0)+IF(I100&lt;=0,$F$11,0)+IF(J100&lt;=0,$F$12,0)+IF(K100&lt;=0,$F$13,0)+IF(L100&lt;=0,$F$14,0)+IF(M100&lt;=0,$F$15,0)+IF(N100&lt;=0,$F$16,0)+IF(O100&lt;=0,$F$17,0)+IF(P100&lt;=0,$F$18,0)+IF(Q100&lt;=0,$F$19,0)+IF(R100&lt;=0,$F$20,0)+IF(S100&lt;=0,$F$21,0)+IF(T100&lt;=0,$F$22,0)+IF(U100&lt;=0,$F$23,0)+IF(V100&lt;=0,$F$24,0)),MAX(0,$F$5+(Dashboard!$C$11+IF(C100&lt;=0,$F$5,0)+IF(D100&lt;=0,$F$6,0)+IF(E100&lt;=0,$F$7,0)+IF(F100&lt;=0,$F$8,0)+IF(G100&lt;=0,$F$9,0)+IF(H100&lt;=0,$F$10,0)+IF(I100&lt;=0,$F$11,0)+IF(J100&lt;=0,$F$12,0)+IF(K100&lt;=0,$F$13,0)+IF(L100&lt;=0,$F$14,0)+IF(M100&lt;=0,$F$15,0)+IF(N100&lt;=0,$F$16,0)+IF(O100&lt;=0,$F$17,0)+IF(P100&lt;=0,$F$18,0)+IF(Q100&lt;=0,$F$19,0)+IF(R100&lt;=0,$F$20,0)+IF(S100&lt;=0,$F$21,0)+IF(T100&lt;=0,$F$22,0)+IF(U100&lt;=0,$F$23,0)+IF(V100&lt;=0,$F$24,0))-C100-AN101))</f>
        <v/>
      </c>
      <c r="AQ101">
        <f>IF(D100&lt;=0,0,D100*$E$6/12)</f>
        <v/>
      </c>
      <c r="AR101">
        <f>IF(D100&lt;=0,0,MIN(D100+AQ101,$F$6+AP101))</f>
        <v/>
      </c>
      <c r="AS101">
        <f>IF(D100&lt;=0,AP101,MAX(0,$F$6+AP101-D100-AQ101))</f>
        <v/>
      </c>
      <c r="AT101">
        <f>IF(E100&lt;=0,0,E100*$E$7/12)</f>
        <v/>
      </c>
      <c r="AU101">
        <f>IF(E100&lt;=0,0,MIN(E100+AT101,$F$7+AS101))</f>
        <v/>
      </c>
      <c r="AV101">
        <f>IF(E100&lt;=0,AS101,MAX(0,$F$7+AS101-E100-AT101))</f>
        <v/>
      </c>
      <c r="AW101">
        <f>IF(F100&lt;=0,0,F100*$E$8/12)</f>
        <v/>
      </c>
      <c r="AX101">
        <f>IF(F100&lt;=0,0,MIN(F100+AW101,$F$8+AV101))</f>
        <v/>
      </c>
      <c r="AY101">
        <f>IF(F100&lt;=0,AV101,MAX(0,$F$8+AV101-F100-AW101))</f>
        <v/>
      </c>
      <c r="AZ101">
        <f>IF(G100&lt;=0,0,G100*$E$9/12)</f>
        <v/>
      </c>
      <c r="BA101">
        <f>IF(G100&lt;=0,0,MIN(G100+AZ101,$F$9+AY101))</f>
        <v/>
      </c>
      <c r="BB101">
        <f>IF(G100&lt;=0,AY101,MAX(0,$F$9+AY101-G100-AZ101))</f>
        <v/>
      </c>
      <c r="BC101">
        <f>IF(H100&lt;=0,0,H100*$E$10/12)</f>
        <v/>
      </c>
      <c r="BD101">
        <f>IF(H100&lt;=0,0,MIN(H100+BC101,$F$10+BB101))</f>
        <v/>
      </c>
      <c r="BE101">
        <f>IF(H100&lt;=0,BB101,MAX(0,$F$10+BB101-H100-BC101))</f>
        <v/>
      </c>
      <c r="BF101">
        <f>IF(I100&lt;=0,0,I100*$E$11/12)</f>
        <v/>
      </c>
      <c r="BG101">
        <f>IF(I100&lt;=0,0,MIN(I100+BF101,$F$11+BE101))</f>
        <v/>
      </c>
      <c r="BH101">
        <f>IF(I100&lt;=0,BE101,MAX(0,$F$11+BE101-I100-BF101))</f>
        <v/>
      </c>
      <c r="BI101">
        <f>IF(J100&lt;=0,0,J100*$E$12/12)</f>
        <v/>
      </c>
      <c r="BJ101">
        <f>IF(J100&lt;=0,0,MIN(J100+BI101,$F$12+BH101))</f>
        <v/>
      </c>
      <c r="BK101">
        <f>IF(J100&lt;=0,BH101,MAX(0,$F$12+BH101-J100-BI101))</f>
        <v/>
      </c>
      <c r="BL101">
        <f>IF(K100&lt;=0,0,K100*$E$13/12)</f>
        <v/>
      </c>
      <c r="BM101">
        <f>IF(K100&lt;=0,0,MIN(K100+BL101,$F$13+BK101))</f>
        <v/>
      </c>
      <c r="BN101">
        <f>IF(K100&lt;=0,BK101,MAX(0,$F$13+BK101-K100-BL101))</f>
        <v/>
      </c>
      <c r="BO101">
        <f>IF(L100&lt;=0,0,L100*$E$14/12)</f>
        <v/>
      </c>
      <c r="BP101">
        <f>IF(L100&lt;=0,0,MIN(L100+BO101,$F$14+BN101))</f>
        <v/>
      </c>
      <c r="BQ101">
        <f>IF(L100&lt;=0,BN101,MAX(0,$F$14+BN101-L100-BO101))</f>
        <v/>
      </c>
      <c r="BR101">
        <f>IF(M100&lt;=0,0,M100*$E$15/12)</f>
        <v/>
      </c>
      <c r="BS101">
        <f>IF(M100&lt;=0,0,MIN(M100+BR101,$F$15+BQ101))</f>
        <v/>
      </c>
      <c r="BT101">
        <f>IF(M100&lt;=0,BQ101,MAX(0,$F$15+BQ101-M100-BR101))</f>
        <v/>
      </c>
      <c r="BU101">
        <f>IF(N100&lt;=0,0,N100*$E$16/12)</f>
        <v/>
      </c>
      <c r="BV101">
        <f>IF(N100&lt;=0,0,MIN(N100+BU101,$F$16+BT101))</f>
        <v/>
      </c>
      <c r="BW101">
        <f>IF(N100&lt;=0,BT101,MAX(0,$F$16+BT101-N100-BU101))</f>
        <v/>
      </c>
      <c r="BX101">
        <f>IF(O100&lt;=0,0,O100*$E$17/12)</f>
        <v/>
      </c>
      <c r="BY101">
        <f>IF(O100&lt;=0,0,MIN(O100+BX101,$F$17+BW101))</f>
        <v/>
      </c>
      <c r="BZ101">
        <f>IF(O100&lt;=0,BW101,MAX(0,$F$17+BW101-O100-BX101))</f>
        <v/>
      </c>
      <c r="CA101">
        <f>IF(P100&lt;=0,0,P100*$E$18/12)</f>
        <v/>
      </c>
      <c r="CB101">
        <f>IF(P100&lt;=0,0,MIN(P100+CA101,$F$18+BZ101))</f>
        <v/>
      </c>
      <c r="CC101">
        <f>IF(P100&lt;=0,BZ101,MAX(0,$F$18+BZ101-P100-CA101))</f>
        <v/>
      </c>
      <c r="CD101">
        <f>IF(Q100&lt;=0,0,Q100*$E$19/12)</f>
        <v/>
      </c>
      <c r="CE101">
        <f>IF(Q100&lt;=0,0,MIN(Q100+CD101,$F$19+CC101))</f>
        <v/>
      </c>
      <c r="CF101">
        <f>IF(Q100&lt;=0,CC101,MAX(0,$F$19+CC101-Q100-CD101))</f>
        <v/>
      </c>
      <c r="CG101">
        <f>IF(R100&lt;=0,0,R100*$E$20/12)</f>
        <v/>
      </c>
      <c r="CH101">
        <f>IF(R100&lt;=0,0,MIN(R100+CG101,$F$20+CF101))</f>
        <v/>
      </c>
      <c r="CI101">
        <f>IF(R100&lt;=0,CF101,MAX(0,$F$20+CF101-R100-CG101))</f>
        <v/>
      </c>
      <c r="CJ101">
        <f>IF(S100&lt;=0,0,S100*$E$21/12)</f>
        <v/>
      </c>
      <c r="CK101">
        <f>IF(S100&lt;=0,0,MIN(S100+CJ101,$F$21+CI101))</f>
        <v/>
      </c>
      <c r="CL101">
        <f>IF(S100&lt;=0,CI101,MAX(0,$F$21+CI101-S100-CJ101))</f>
        <v/>
      </c>
      <c r="CM101">
        <f>IF(T100&lt;=0,0,T100*$E$22/12)</f>
        <v/>
      </c>
      <c r="CN101">
        <f>IF(T100&lt;=0,0,MIN(T100+CM101,$F$22+CL101))</f>
        <v/>
      </c>
      <c r="CO101">
        <f>IF(T100&lt;=0,CL101,MAX(0,$F$22+CL101-T100-CM101))</f>
        <v/>
      </c>
      <c r="CP101">
        <f>IF(U100&lt;=0,0,U100*$E$23/12)</f>
        <v/>
      </c>
      <c r="CQ101">
        <f>IF(U100&lt;=0,0,MIN(U100+CP101,$F$23+CO101))</f>
        <v/>
      </c>
      <c r="CR101">
        <f>IF(U100&lt;=0,CO101,MAX(0,$F$23+CO101-U100-CP101))</f>
        <v/>
      </c>
      <c r="CS101">
        <f>IF(V100&lt;=0,0,V100*$E$24/12)</f>
        <v/>
      </c>
      <c r="CT101">
        <f>IF(V100&lt;=0,0,MIN(V100+CS101,$F$24+CR101))</f>
        <v/>
      </c>
      <c r="CU101">
        <f>IF(V100&lt;=0,CR101,MAX(0,$F$24+CR101-V100-CS101))</f>
        <v/>
      </c>
    </row>
    <row r="102">
      <c r="B102" s="39" t="n">
        <v>76</v>
      </c>
      <c r="C102" s="13">
        <f>IF(C101&lt;=0,0,MAX(0,C101+AN102-AO102))</f>
        <v/>
      </c>
      <c r="D102" s="13">
        <f>IF(D101&lt;=0,0,MAX(0,D101+AQ102-AR102))</f>
        <v/>
      </c>
      <c r="E102" s="13">
        <f>IF(E101&lt;=0,0,MAX(0,E101+AT102-AU102))</f>
        <v/>
      </c>
      <c r="F102" s="13">
        <f>IF(F101&lt;=0,0,MAX(0,F101+AW102-AX102))</f>
        <v/>
      </c>
      <c r="G102" s="13">
        <f>IF(G101&lt;=0,0,MAX(0,G101+AZ102-BA102))</f>
        <v/>
      </c>
      <c r="H102" s="13">
        <f>IF(H101&lt;=0,0,MAX(0,H101+BC102-BD102))</f>
        <v/>
      </c>
      <c r="I102" s="13">
        <f>IF(I101&lt;=0,0,MAX(0,I101+BF102-BG102))</f>
        <v/>
      </c>
      <c r="J102" s="13">
        <f>IF(J101&lt;=0,0,MAX(0,J101+BI102-BJ102))</f>
        <v/>
      </c>
      <c r="K102" s="13">
        <f>IF(K101&lt;=0,0,MAX(0,K101+BL102-BM102))</f>
        <v/>
      </c>
      <c r="L102" s="13">
        <f>IF(L101&lt;=0,0,MAX(0,L101+BO102-BP102))</f>
        <v/>
      </c>
      <c r="M102" s="13">
        <f>IF(M101&lt;=0,0,MAX(0,M101+BR102-BS102))</f>
        <v/>
      </c>
      <c r="N102" s="13">
        <f>IF(N101&lt;=0,0,MAX(0,N101+BU102-BV102))</f>
        <v/>
      </c>
      <c r="O102" s="13">
        <f>IF(O101&lt;=0,0,MAX(0,O101+BX102-BY102))</f>
        <v/>
      </c>
      <c r="P102" s="13">
        <f>IF(P101&lt;=0,0,MAX(0,P101+CA102-CB102))</f>
        <v/>
      </c>
      <c r="Q102" s="13">
        <f>IF(Q101&lt;=0,0,MAX(0,Q101+CD102-CE102))</f>
        <v/>
      </c>
      <c r="R102" s="13">
        <f>IF(R101&lt;=0,0,MAX(0,R101+CG102-CH102))</f>
        <v/>
      </c>
      <c r="S102" s="13">
        <f>IF(S101&lt;=0,0,MAX(0,S101+CJ102-CK102))</f>
        <v/>
      </c>
      <c r="T102" s="13">
        <f>IF(T101&lt;=0,0,MAX(0,T101+CM102-CN102))</f>
        <v/>
      </c>
      <c r="U102" s="13">
        <f>IF(U101&lt;=0,0,MAX(0,U101+CP102-CQ102))</f>
        <v/>
      </c>
      <c r="V102" s="13">
        <f>IF(V101&lt;=0,0,MAX(0,V101+CS102-CT102))</f>
        <v/>
      </c>
      <c r="W102" s="13">
        <f>AO102+AR102+AU102+AX102+BA102+BD102+BG102+BJ102+BM102+BP102+BS102+BV102+BY102+CB102+CE102+CH102+CK102+CN102+CQ102+CT102</f>
        <v/>
      </c>
      <c r="X102" s="13">
        <f>AN102+AQ102+AT102+AW102+AZ102+BC102+BF102+BI102+BL102+BO102+BR102+BU102+BX102+CA102+CD102+CG102+CJ102+CM102+CP102+CS102</f>
        <v/>
      </c>
      <c r="Y102" s="27">
        <f>C102+D102+E102+F102+G102+H102+I102+J102+K102+L102+M102+N102+O102+P102+Q102+R102+S102+T102+U102+V102</f>
        <v/>
      </c>
      <c r="AN102">
        <f>IF(C101&lt;=0,0,C101*$E$5/12)</f>
        <v/>
      </c>
      <c r="AO102">
        <f>IF(C101&lt;=0,0,MIN(C101+AN102,$F$5+(Dashboard!$C$11+IF(C101&lt;=0,$F$5,0)+IF(D101&lt;=0,$F$6,0)+IF(E101&lt;=0,$F$7,0)+IF(F101&lt;=0,$F$8,0)+IF(G101&lt;=0,$F$9,0)+IF(H101&lt;=0,$F$10,0)+IF(I101&lt;=0,$F$11,0)+IF(J101&lt;=0,$F$12,0)+IF(K101&lt;=0,$F$13,0)+IF(L101&lt;=0,$F$14,0)+IF(M101&lt;=0,$F$15,0)+IF(N101&lt;=0,$F$16,0)+IF(O101&lt;=0,$F$17,0)+IF(P101&lt;=0,$F$18,0)+IF(Q101&lt;=0,$F$19,0)+IF(R101&lt;=0,$F$20,0)+IF(S101&lt;=0,$F$21,0)+IF(T101&lt;=0,$F$22,0)+IF(U101&lt;=0,$F$23,0)+IF(V101&lt;=0,$F$24,0))))</f>
        <v/>
      </c>
      <c r="AP102">
        <f>IF(C101&lt;=0,(Dashboard!$C$11+IF(C101&lt;=0,$F$5,0)+IF(D101&lt;=0,$F$6,0)+IF(E101&lt;=0,$F$7,0)+IF(F101&lt;=0,$F$8,0)+IF(G101&lt;=0,$F$9,0)+IF(H101&lt;=0,$F$10,0)+IF(I101&lt;=0,$F$11,0)+IF(J101&lt;=0,$F$12,0)+IF(K101&lt;=0,$F$13,0)+IF(L101&lt;=0,$F$14,0)+IF(M101&lt;=0,$F$15,0)+IF(N101&lt;=0,$F$16,0)+IF(O101&lt;=0,$F$17,0)+IF(P101&lt;=0,$F$18,0)+IF(Q101&lt;=0,$F$19,0)+IF(R101&lt;=0,$F$20,0)+IF(S101&lt;=0,$F$21,0)+IF(T101&lt;=0,$F$22,0)+IF(U101&lt;=0,$F$23,0)+IF(V101&lt;=0,$F$24,0)),MAX(0,$F$5+(Dashboard!$C$11+IF(C101&lt;=0,$F$5,0)+IF(D101&lt;=0,$F$6,0)+IF(E101&lt;=0,$F$7,0)+IF(F101&lt;=0,$F$8,0)+IF(G101&lt;=0,$F$9,0)+IF(H101&lt;=0,$F$10,0)+IF(I101&lt;=0,$F$11,0)+IF(J101&lt;=0,$F$12,0)+IF(K101&lt;=0,$F$13,0)+IF(L101&lt;=0,$F$14,0)+IF(M101&lt;=0,$F$15,0)+IF(N101&lt;=0,$F$16,0)+IF(O101&lt;=0,$F$17,0)+IF(P101&lt;=0,$F$18,0)+IF(Q101&lt;=0,$F$19,0)+IF(R101&lt;=0,$F$20,0)+IF(S101&lt;=0,$F$21,0)+IF(T101&lt;=0,$F$22,0)+IF(U101&lt;=0,$F$23,0)+IF(V101&lt;=0,$F$24,0))-C101-AN102))</f>
        <v/>
      </c>
      <c r="AQ102">
        <f>IF(D101&lt;=0,0,D101*$E$6/12)</f>
        <v/>
      </c>
      <c r="AR102">
        <f>IF(D101&lt;=0,0,MIN(D101+AQ102,$F$6+AP102))</f>
        <v/>
      </c>
      <c r="AS102">
        <f>IF(D101&lt;=0,AP102,MAX(0,$F$6+AP102-D101-AQ102))</f>
        <v/>
      </c>
      <c r="AT102">
        <f>IF(E101&lt;=0,0,E101*$E$7/12)</f>
        <v/>
      </c>
      <c r="AU102">
        <f>IF(E101&lt;=0,0,MIN(E101+AT102,$F$7+AS102))</f>
        <v/>
      </c>
      <c r="AV102">
        <f>IF(E101&lt;=0,AS102,MAX(0,$F$7+AS102-E101-AT102))</f>
        <v/>
      </c>
      <c r="AW102">
        <f>IF(F101&lt;=0,0,F101*$E$8/12)</f>
        <v/>
      </c>
      <c r="AX102">
        <f>IF(F101&lt;=0,0,MIN(F101+AW102,$F$8+AV102))</f>
        <v/>
      </c>
      <c r="AY102">
        <f>IF(F101&lt;=0,AV102,MAX(0,$F$8+AV102-F101-AW102))</f>
        <v/>
      </c>
      <c r="AZ102">
        <f>IF(G101&lt;=0,0,G101*$E$9/12)</f>
        <v/>
      </c>
      <c r="BA102">
        <f>IF(G101&lt;=0,0,MIN(G101+AZ102,$F$9+AY102))</f>
        <v/>
      </c>
      <c r="BB102">
        <f>IF(G101&lt;=0,AY102,MAX(0,$F$9+AY102-G101-AZ102))</f>
        <v/>
      </c>
      <c r="BC102">
        <f>IF(H101&lt;=0,0,H101*$E$10/12)</f>
        <v/>
      </c>
      <c r="BD102">
        <f>IF(H101&lt;=0,0,MIN(H101+BC102,$F$10+BB102))</f>
        <v/>
      </c>
      <c r="BE102">
        <f>IF(H101&lt;=0,BB102,MAX(0,$F$10+BB102-H101-BC102))</f>
        <v/>
      </c>
      <c r="BF102">
        <f>IF(I101&lt;=0,0,I101*$E$11/12)</f>
        <v/>
      </c>
      <c r="BG102">
        <f>IF(I101&lt;=0,0,MIN(I101+BF102,$F$11+BE102))</f>
        <v/>
      </c>
      <c r="BH102">
        <f>IF(I101&lt;=0,BE102,MAX(0,$F$11+BE102-I101-BF102))</f>
        <v/>
      </c>
      <c r="BI102">
        <f>IF(J101&lt;=0,0,J101*$E$12/12)</f>
        <v/>
      </c>
      <c r="BJ102">
        <f>IF(J101&lt;=0,0,MIN(J101+BI102,$F$12+BH102))</f>
        <v/>
      </c>
      <c r="BK102">
        <f>IF(J101&lt;=0,BH102,MAX(0,$F$12+BH102-J101-BI102))</f>
        <v/>
      </c>
      <c r="BL102">
        <f>IF(K101&lt;=0,0,K101*$E$13/12)</f>
        <v/>
      </c>
      <c r="BM102">
        <f>IF(K101&lt;=0,0,MIN(K101+BL102,$F$13+BK102))</f>
        <v/>
      </c>
      <c r="BN102">
        <f>IF(K101&lt;=0,BK102,MAX(0,$F$13+BK102-K101-BL102))</f>
        <v/>
      </c>
      <c r="BO102">
        <f>IF(L101&lt;=0,0,L101*$E$14/12)</f>
        <v/>
      </c>
      <c r="BP102">
        <f>IF(L101&lt;=0,0,MIN(L101+BO102,$F$14+BN102))</f>
        <v/>
      </c>
      <c r="BQ102">
        <f>IF(L101&lt;=0,BN102,MAX(0,$F$14+BN102-L101-BO102))</f>
        <v/>
      </c>
      <c r="BR102">
        <f>IF(M101&lt;=0,0,M101*$E$15/12)</f>
        <v/>
      </c>
      <c r="BS102">
        <f>IF(M101&lt;=0,0,MIN(M101+BR102,$F$15+BQ102))</f>
        <v/>
      </c>
      <c r="BT102">
        <f>IF(M101&lt;=0,BQ102,MAX(0,$F$15+BQ102-M101-BR102))</f>
        <v/>
      </c>
      <c r="BU102">
        <f>IF(N101&lt;=0,0,N101*$E$16/12)</f>
        <v/>
      </c>
      <c r="BV102">
        <f>IF(N101&lt;=0,0,MIN(N101+BU102,$F$16+BT102))</f>
        <v/>
      </c>
      <c r="BW102">
        <f>IF(N101&lt;=0,BT102,MAX(0,$F$16+BT102-N101-BU102))</f>
        <v/>
      </c>
      <c r="BX102">
        <f>IF(O101&lt;=0,0,O101*$E$17/12)</f>
        <v/>
      </c>
      <c r="BY102">
        <f>IF(O101&lt;=0,0,MIN(O101+BX102,$F$17+BW102))</f>
        <v/>
      </c>
      <c r="BZ102">
        <f>IF(O101&lt;=0,BW102,MAX(0,$F$17+BW102-O101-BX102))</f>
        <v/>
      </c>
      <c r="CA102">
        <f>IF(P101&lt;=0,0,P101*$E$18/12)</f>
        <v/>
      </c>
      <c r="CB102">
        <f>IF(P101&lt;=0,0,MIN(P101+CA102,$F$18+BZ102))</f>
        <v/>
      </c>
      <c r="CC102">
        <f>IF(P101&lt;=0,BZ102,MAX(0,$F$18+BZ102-P101-CA102))</f>
        <v/>
      </c>
      <c r="CD102">
        <f>IF(Q101&lt;=0,0,Q101*$E$19/12)</f>
        <v/>
      </c>
      <c r="CE102">
        <f>IF(Q101&lt;=0,0,MIN(Q101+CD102,$F$19+CC102))</f>
        <v/>
      </c>
      <c r="CF102">
        <f>IF(Q101&lt;=0,CC102,MAX(0,$F$19+CC102-Q101-CD102))</f>
        <v/>
      </c>
      <c r="CG102">
        <f>IF(R101&lt;=0,0,R101*$E$20/12)</f>
        <v/>
      </c>
      <c r="CH102">
        <f>IF(R101&lt;=0,0,MIN(R101+CG102,$F$20+CF102))</f>
        <v/>
      </c>
      <c r="CI102">
        <f>IF(R101&lt;=0,CF102,MAX(0,$F$20+CF102-R101-CG102))</f>
        <v/>
      </c>
      <c r="CJ102">
        <f>IF(S101&lt;=0,0,S101*$E$21/12)</f>
        <v/>
      </c>
      <c r="CK102">
        <f>IF(S101&lt;=0,0,MIN(S101+CJ102,$F$21+CI102))</f>
        <v/>
      </c>
      <c r="CL102">
        <f>IF(S101&lt;=0,CI102,MAX(0,$F$21+CI102-S101-CJ102))</f>
        <v/>
      </c>
      <c r="CM102">
        <f>IF(T101&lt;=0,0,T101*$E$22/12)</f>
        <v/>
      </c>
      <c r="CN102">
        <f>IF(T101&lt;=0,0,MIN(T101+CM102,$F$22+CL102))</f>
        <v/>
      </c>
      <c r="CO102">
        <f>IF(T101&lt;=0,CL102,MAX(0,$F$22+CL102-T101-CM102))</f>
        <v/>
      </c>
      <c r="CP102">
        <f>IF(U101&lt;=0,0,U101*$E$23/12)</f>
        <v/>
      </c>
      <c r="CQ102">
        <f>IF(U101&lt;=0,0,MIN(U101+CP102,$F$23+CO102))</f>
        <v/>
      </c>
      <c r="CR102">
        <f>IF(U101&lt;=0,CO102,MAX(0,$F$23+CO102-U101-CP102))</f>
        <v/>
      </c>
      <c r="CS102">
        <f>IF(V101&lt;=0,0,V101*$E$24/12)</f>
        <v/>
      </c>
      <c r="CT102">
        <f>IF(V101&lt;=0,0,MIN(V101+CS102,$F$24+CR102))</f>
        <v/>
      </c>
      <c r="CU102">
        <f>IF(V101&lt;=0,CR102,MAX(0,$F$24+CR102-V101-CS102))</f>
        <v/>
      </c>
    </row>
    <row r="103">
      <c r="B103" s="39" t="n">
        <v>77</v>
      </c>
      <c r="C103" s="13">
        <f>IF(C102&lt;=0,0,MAX(0,C102+AN103-AO103))</f>
        <v/>
      </c>
      <c r="D103" s="13">
        <f>IF(D102&lt;=0,0,MAX(0,D102+AQ103-AR103))</f>
        <v/>
      </c>
      <c r="E103" s="13">
        <f>IF(E102&lt;=0,0,MAX(0,E102+AT103-AU103))</f>
        <v/>
      </c>
      <c r="F103" s="13">
        <f>IF(F102&lt;=0,0,MAX(0,F102+AW103-AX103))</f>
        <v/>
      </c>
      <c r="G103" s="13">
        <f>IF(G102&lt;=0,0,MAX(0,G102+AZ103-BA103))</f>
        <v/>
      </c>
      <c r="H103" s="13">
        <f>IF(H102&lt;=0,0,MAX(0,H102+BC103-BD103))</f>
        <v/>
      </c>
      <c r="I103" s="13">
        <f>IF(I102&lt;=0,0,MAX(0,I102+BF103-BG103))</f>
        <v/>
      </c>
      <c r="J103" s="13">
        <f>IF(J102&lt;=0,0,MAX(0,J102+BI103-BJ103))</f>
        <v/>
      </c>
      <c r="K103" s="13">
        <f>IF(K102&lt;=0,0,MAX(0,K102+BL103-BM103))</f>
        <v/>
      </c>
      <c r="L103" s="13">
        <f>IF(L102&lt;=0,0,MAX(0,L102+BO103-BP103))</f>
        <v/>
      </c>
      <c r="M103" s="13">
        <f>IF(M102&lt;=0,0,MAX(0,M102+BR103-BS103))</f>
        <v/>
      </c>
      <c r="N103" s="13">
        <f>IF(N102&lt;=0,0,MAX(0,N102+BU103-BV103))</f>
        <v/>
      </c>
      <c r="O103" s="13">
        <f>IF(O102&lt;=0,0,MAX(0,O102+BX103-BY103))</f>
        <v/>
      </c>
      <c r="P103" s="13">
        <f>IF(P102&lt;=0,0,MAX(0,P102+CA103-CB103))</f>
        <v/>
      </c>
      <c r="Q103" s="13">
        <f>IF(Q102&lt;=0,0,MAX(0,Q102+CD103-CE103))</f>
        <v/>
      </c>
      <c r="R103" s="13">
        <f>IF(R102&lt;=0,0,MAX(0,R102+CG103-CH103))</f>
        <v/>
      </c>
      <c r="S103" s="13">
        <f>IF(S102&lt;=0,0,MAX(0,S102+CJ103-CK103))</f>
        <v/>
      </c>
      <c r="T103" s="13">
        <f>IF(T102&lt;=0,0,MAX(0,T102+CM103-CN103))</f>
        <v/>
      </c>
      <c r="U103" s="13">
        <f>IF(U102&lt;=0,0,MAX(0,U102+CP103-CQ103))</f>
        <v/>
      </c>
      <c r="V103" s="13">
        <f>IF(V102&lt;=0,0,MAX(0,V102+CS103-CT103))</f>
        <v/>
      </c>
      <c r="W103" s="13">
        <f>AO103+AR103+AU103+AX103+BA103+BD103+BG103+BJ103+BM103+BP103+BS103+BV103+BY103+CB103+CE103+CH103+CK103+CN103+CQ103+CT103</f>
        <v/>
      </c>
      <c r="X103" s="13">
        <f>AN103+AQ103+AT103+AW103+AZ103+BC103+BF103+BI103+BL103+BO103+BR103+BU103+BX103+CA103+CD103+CG103+CJ103+CM103+CP103+CS103</f>
        <v/>
      </c>
      <c r="Y103" s="27">
        <f>C103+D103+E103+F103+G103+H103+I103+J103+K103+L103+M103+N103+O103+P103+Q103+R103+S103+T103+U103+V103</f>
        <v/>
      </c>
      <c r="AN103">
        <f>IF(C102&lt;=0,0,C102*$E$5/12)</f>
        <v/>
      </c>
      <c r="AO103">
        <f>IF(C102&lt;=0,0,MIN(C102+AN103,$F$5+(Dashboard!$C$11+IF(C102&lt;=0,$F$5,0)+IF(D102&lt;=0,$F$6,0)+IF(E102&lt;=0,$F$7,0)+IF(F102&lt;=0,$F$8,0)+IF(G102&lt;=0,$F$9,0)+IF(H102&lt;=0,$F$10,0)+IF(I102&lt;=0,$F$11,0)+IF(J102&lt;=0,$F$12,0)+IF(K102&lt;=0,$F$13,0)+IF(L102&lt;=0,$F$14,0)+IF(M102&lt;=0,$F$15,0)+IF(N102&lt;=0,$F$16,0)+IF(O102&lt;=0,$F$17,0)+IF(P102&lt;=0,$F$18,0)+IF(Q102&lt;=0,$F$19,0)+IF(R102&lt;=0,$F$20,0)+IF(S102&lt;=0,$F$21,0)+IF(T102&lt;=0,$F$22,0)+IF(U102&lt;=0,$F$23,0)+IF(V102&lt;=0,$F$24,0))))</f>
        <v/>
      </c>
      <c r="AP103">
        <f>IF(C102&lt;=0,(Dashboard!$C$11+IF(C102&lt;=0,$F$5,0)+IF(D102&lt;=0,$F$6,0)+IF(E102&lt;=0,$F$7,0)+IF(F102&lt;=0,$F$8,0)+IF(G102&lt;=0,$F$9,0)+IF(H102&lt;=0,$F$10,0)+IF(I102&lt;=0,$F$11,0)+IF(J102&lt;=0,$F$12,0)+IF(K102&lt;=0,$F$13,0)+IF(L102&lt;=0,$F$14,0)+IF(M102&lt;=0,$F$15,0)+IF(N102&lt;=0,$F$16,0)+IF(O102&lt;=0,$F$17,0)+IF(P102&lt;=0,$F$18,0)+IF(Q102&lt;=0,$F$19,0)+IF(R102&lt;=0,$F$20,0)+IF(S102&lt;=0,$F$21,0)+IF(T102&lt;=0,$F$22,0)+IF(U102&lt;=0,$F$23,0)+IF(V102&lt;=0,$F$24,0)),MAX(0,$F$5+(Dashboard!$C$11+IF(C102&lt;=0,$F$5,0)+IF(D102&lt;=0,$F$6,0)+IF(E102&lt;=0,$F$7,0)+IF(F102&lt;=0,$F$8,0)+IF(G102&lt;=0,$F$9,0)+IF(H102&lt;=0,$F$10,0)+IF(I102&lt;=0,$F$11,0)+IF(J102&lt;=0,$F$12,0)+IF(K102&lt;=0,$F$13,0)+IF(L102&lt;=0,$F$14,0)+IF(M102&lt;=0,$F$15,0)+IF(N102&lt;=0,$F$16,0)+IF(O102&lt;=0,$F$17,0)+IF(P102&lt;=0,$F$18,0)+IF(Q102&lt;=0,$F$19,0)+IF(R102&lt;=0,$F$20,0)+IF(S102&lt;=0,$F$21,0)+IF(T102&lt;=0,$F$22,0)+IF(U102&lt;=0,$F$23,0)+IF(V102&lt;=0,$F$24,0))-C102-AN103))</f>
        <v/>
      </c>
      <c r="AQ103">
        <f>IF(D102&lt;=0,0,D102*$E$6/12)</f>
        <v/>
      </c>
      <c r="AR103">
        <f>IF(D102&lt;=0,0,MIN(D102+AQ103,$F$6+AP103))</f>
        <v/>
      </c>
      <c r="AS103">
        <f>IF(D102&lt;=0,AP103,MAX(0,$F$6+AP103-D102-AQ103))</f>
        <v/>
      </c>
      <c r="AT103">
        <f>IF(E102&lt;=0,0,E102*$E$7/12)</f>
        <v/>
      </c>
      <c r="AU103">
        <f>IF(E102&lt;=0,0,MIN(E102+AT103,$F$7+AS103))</f>
        <v/>
      </c>
      <c r="AV103">
        <f>IF(E102&lt;=0,AS103,MAX(0,$F$7+AS103-E102-AT103))</f>
        <v/>
      </c>
      <c r="AW103">
        <f>IF(F102&lt;=0,0,F102*$E$8/12)</f>
        <v/>
      </c>
      <c r="AX103">
        <f>IF(F102&lt;=0,0,MIN(F102+AW103,$F$8+AV103))</f>
        <v/>
      </c>
      <c r="AY103">
        <f>IF(F102&lt;=0,AV103,MAX(0,$F$8+AV103-F102-AW103))</f>
        <v/>
      </c>
      <c r="AZ103">
        <f>IF(G102&lt;=0,0,G102*$E$9/12)</f>
        <v/>
      </c>
      <c r="BA103">
        <f>IF(G102&lt;=0,0,MIN(G102+AZ103,$F$9+AY103))</f>
        <v/>
      </c>
      <c r="BB103">
        <f>IF(G102&lt;=0,AY103,MAX(0,$F$9+AY103-G102-AZ103))</f>
        <v/>
      </c>
      <c r="BC103">
        <f>IF(H102&lt;=0,0,H102*$E$10/12)</f>
        <v/>
      </c>
      <c r="BD103">
        <f>IF(H102&lt;=0,0,MIN(H102+BC103,$F$10+BB103))</f>
        <v/>
      </c>
      <c r="BE103">
        <f>IF(H102&lt;=0,BB103,MAX(0,$F$10+BB103-H102-BC103))</f>
        <v/>
      </c>
      <c r="BF103">
        <f>IF(I102&lt;=0,0,I102*$E$11/12)</f>
        <v/>
      </c>
      <c r="BG103">
        <f>IF(I102&lt;=0,0,MIN(I102+BF103,$F$11+BE103))</f>
        <v/>
      </c>
      <c r="BH103">
        <f>IF(I102&lt;=0,BE103,MAX(0,$F$11+BE103-I102-BF103))</f>
        <v/>
      </c>
      <c r="BI103">
        <f>IF(J102&lt;=0,0,J102*$E$12/12)</f>
        <v/>
      </c>
      <c r="BJ103">
        <f>IF(J102&lt;=0,0,MIN(J102+BI103,$F$12+BH103))</f>
        <v/>
      </c>
      <c r="BK103">
        <f>IF(J102&lt;=0,BH103,MAX(0,$F$12+BH103-J102-BI103))</f>
        <v/>
      </c>
      <c r="BL103">
        <f>IF(K102&lt;=0,0,K102*$E$13/12)</f>
        <v/>
      </c>
      <c r="BM103">
        <f>IF(K102&lt;=0,0,MIN(K102+BL103,$F$13+BK103))</f>
        <v/>
      </c>
      <c r="BN103">
        <f>IF(K102&lt;=0,BK103,MAX(0,$F$13+BK103-K102-BL103))</f>
        <v/>
      </c>
      <c r="BO103">
        <f>IF(L102&lt;=0,0,L102*$E$14/12)</f>
        <v/>
      </c>
      <c r="BP103">
        <f>IF(L102&lt;=0,0,MIN(L102+BO103,$F$14+BN103))</f>
        <v/>
      </c>
      <c r="BQ103">
        <f>IF(L102&lt;=0,BN103,MAX(0,$F$14+BN103-L102-BO103))</f>
        <v/>
      </c>
      <c r="BR103">
        <f>IF(M102&lt;=0,0,M102*$E$15/12)</f>
        <v/>
      </c>
      <c r="BS103">
        <f>IF(M102&lt;=0,0,MIN(M102+BR103,$F$15+BQ103))</f>
        <v/>
      </c>
      <c r="BT103">
        <f>IF(M102&lt;=0,BQ103,MAX(0,$F$15+BQ103-M102-BR103))</f>
        <v/>
      </c>
      <c r="BU103">
        <f>IF(N102&lt;=0,0,N102*$E$16/12)</f>
        <v/>
      </c>
      <c r="BV103">
        <f>IF(N102&lt;=0,0,MIN(N102+BU103,$F$16+BT103))</f>
        <v/>
      </c>
      <c r="BW103">
        <f>IF(N102&lt;=0,BT103,MAX(0,$F$16+BT103-N102-BU103))</f>
        <v/>
      </c>
      <c r="BX103">
        <f>IF(O102&lt;=0,0,O102*$E$17/12)</f>
        <v/>
      </c>
      <c r="BY103">
        <f>IF(O102&lt;=0,0,MIN(O102+BX103,$F$17+BW103))</f>
        <v/>
      </c>
      <c r="BZ103">
        <f>IF(O102&lt;=0,BW103,MAX(0,$F$17+BW103-O102-BX103))</f>
        <v/>
      </c>
      <c r="CA103">
        <f>IF(P102&lt;=0,0,P102*$E$18/12)</f>
        <v/>
      </c>
      <c r="CB103">
        <f>IF(P102&lt;=0,0,MIN(P102+CA103,$F$18+BZ103))</f>
        <v/>
      </c>
      <c r="CC103">
        <f>IF(P102&lt;=0,BZ103,MAX(0,$F$18+BZ103-P102-CA103))</f>
        <v/>
      </c>
      <c r="CD103">
        <f>IF(Q102&lt;=0,0,Q102*$E$19/12)</f>
        <v/>
      </c>
      <c r="CE103">
        <f>IF(Q102&lt;=0,0,MIN(Q102+CD103,$F$19+CC103))</f>
        <v/>
      </c>
      <c r="CF103">
        <f>IF(Q102&lt;=0,CC103,MAX(0,$F$19+CC103-Q102-CD103))</f>
        <v/>
      </c>
      <c r="CG103">
        <f>IF(R102&lt;=0,0,R102*$E$20/12)</f>
        <v/>
      </c>
      <c r="CH103">
        <f>IF(R102&lt;=0,0,MIN(R102+CG103,$F$20+CF103))</f>
        <v/>
      </c>
      <c r="CI103">
        <f>IF(R102&lt;=0,CF103,MAX(0,$F$20+CF103-R102-CG103))</f>
        <v/>
      </c>
      <c r="CJ103">
        <f>IF(S102&lt;=0,0,S102*$E$21/12)</f>
        <v/>
      </c>
      <c r="CK103">
        <f>IF(S102&lt;=0,0,MIN(S102+CJ103,$F$21+CI103))</f>
        <v/>
      </c>
      <c r="CL103">
        <f>IF(S102&lt;=0,CI103,MAX(0,$F$21+CI103-S102-CJ103))</f>
        <v/>
      </c>
      <c r="CM103">
        <f>IF(T102&lt;=0,0,T102*$E$22/12)</f>
        <v/>
      </c>
      <c r="CN103">
        <f>IF(T102&lt;=0,0,MIN(T102+CM103,$F$22+CL103))</f>
        <v/>
      </c>
      <c r="CO103">
        <f>IF(T102&lt;=0,CL103,MAX(0,$F$22+CL103-T102-CM103))</f>
        <v/>
      </c>
      <c r="CP103">
        <f>IF(U102&lt;=0,0,U102*$E$23/12)</f>
        <v/>
      </c>
      <c r="CQ103">
        <f>IF(U102&lt;=0,0,MIN(U102+CP103,$F$23+CO103))</f>
        <v/>
      </c>
      <c r="CR103">
        <f>IF(U102&lt;=0,CO103,MAX(0,$F$23+CO103-U102-CP103))</f>
        <v/>
      </c>
      <c r="CS103">
        <f>IF(V102&lt;=0,0,V102*$E$24/12)</f>
        <v/>
      </c>
      <c r="CT103">
        <f>IF(V102&lt;=0,0,MIN(V102+CS103,$F$24+CR103))</f>
        <v/>
      </c>
      <c r="CU103">
        <f>IF(V102&lt;=0,CR103,MAX(0,$F$24+CR103-V102-CS103))</f>
        <v/>
      </c>
    </row>
    <row r="104">
      <c r="B104" s="39" t="n">
        <v>78</v>
      </c>
      <c r="C104" s="13">
        <f>IF(C103&lt;=0,0,MAX(0,C103+AN104-AO104))</f>
        <v/>
      </c>
      <c r="D104" s="13">
        <f>IF(D103&lt;=0,0,MAX(0,D103+AQ104-AR104))</f>
        <v/>
      </c>
      <c r="E104" s="13">
        <f>IF(E103&lt;=0,0,MAX(0,E103+AT104-AU104))</f>
        <v/>
      </c>
      <c r="F104" s="13">
        <f>IF(F103&lt;=0,0,MAX(0,F103+AW104-AX104))</f>
        <v/>
      </c>
      <c r="G104" s="13">
        <f>IF(G103&lt;=0,0,MAX(0,G103+AZ104-BA104))</f>
        <v/>
      </c>
      <c r="H104" s="13">
        <f>IF(H103&lt;=0,0,MAX(0,H103+BC104-BD104))</f>
        <v/>
      </c>
      <c r="I104" s="13">
        <f>IF(I103&lt;=0,0,MAX(0,I103+BF104-BG104))</f>
        <v/>
      </c>
      <c r="J104" s="13">
        <f>IF(J103&lt;=0,0,MAX(0,J103+BI104-BJ104))</f>
        <v/>
      </c>
      <c r="K104" s="13">
        <f>IF(K103&lt;=0,0,MAX(0,K103+BL104-BM104))</f>
        <v/>
      </c>
      <c r="L104" s="13">
        <f>IF(L103&lt;=0,0,MAX(0,L103+BO104-BP104))</f>
        <v/>
      </c>
      <c r="M104" s="13">
        <f>IF(M103&lt;=0,0,MAX(0,M103+BR104-BS104))</f>
        <v/>
      </c>
      <c r="N104" s="13">
        <f>IF(N103&lt;=0,0,MAX(0,N103+BU104-BV104))</f>
        <v/>
      </c>
      <c r="O104" s="13">
        <f>IF(O103&lt;=0,0,MAX(0,O103+BX104-BY104))</f>
        <v/>
      </c>
      <c r="P104" s="13">
        <f>IF(P103&lt;=0,0,MAX(0,P103+CA104-CB104))</f>
        <v/>
      </c>
      <c r="Q104" s="13">
        <f>IF(Q103&lt;=0,0,MAX(0,Q103+CD104-CE104))</f>
        <v/>
      </c>
      <c r="R104" s="13">
        <f>IF(R103&lt;=0,0,MAX(0,R103+CG104-CH104))</f>
        <v/>
      </c>
      <c r="S104" s="13">
        <f>IF(S103&lt;=0,0,MAX(0,S103+CJ104-CK104))</f>
        <v/>
      </c>
      <c r="T104" s="13">
        <f>IF(T103&lt;=0,0,MAX(0,T103+CM104-CN104))</f>
        <v/>
      </c>
      <c r="U104" s="13">
        <f>IF(U103&lt;=0,0,MAX(0,U103+CP104-CQ104))</f>
        <v/>
      </c>
      <c r="V104" s="13">
        <f>IF(V103&lt;=0,0,MAX(0,V103+CS104-CT104))</f>
        <v/>
      </c>
      <c r="W104" s="13">
        <f>AO104+AR104+AU104+AX104+BA104+BD104+BG104+BJ104+BM104+BP104+BS104+BV104+BY104+CB104+CE104+CH104+CK104+CN104+CQ104+CT104</f>
        <v/>
      </c>
      <c r="X104" s="13">
        <f>AN104+AQ104+AT104+AW104+AZ104+BC104+BF104+BI104+BL104+BO104+BR104+BU104+BX104+CA104+CD104+CG104+CJ104+CM104+CP104+CS104</f>
        <v/>
      </c>
      <c r="Y104" s="27">
        <f>C104+D104+E104+F104+G104+H104+I104+J104+K104+L104+M104+N104+O104+P104+Q104+R104+S104+T104+U104+V104</f>
        <v/>
      </c>
      <c r="AN104">
        <f>IF(C103&lt;=0,0,C103*$E$5/12)</f>
        <v/>
      </c>
      <c r="AO104">
        <f>IF(C103&lt;=0,0,MIN(C103+AN104,$F$5+(Dashboard!$C$11+IF(C103&lt;=0,$F$5,0)+IF(D103&lt;=0,$F$6,0)+IF(E103&lt;=0,$F$7,0)+IF(F103&lt;=0,$F$8,0)+IF(G103&lt;=0,$F$9,0)+IF(H103&lt;=0,$F$10,0)+IF(I103&lt;=0,$F$11,0)+IF(J103&lt;=0,$F$12,0)+IF(K103&lt;=0,$F$13,0)+IF(L103&lt;=0,$F$14,0)+IF(M103&lt;=0,$F$15,0)+IF(N103&lt;=0,$F$16,0)+IF(O103&lt;=0,$F$17,0)+IF(P103&lt;=0,$F$18,0)+IF(Q103&lt;=0,$F$19,0)+IF(R103&lt;=0,$F$20,0)+IF(S103&lt;=0,$F$21,0)+IF(T103&lt;=0,$F$22,0)+IF(U103&lt;=0,$F$23,0)+IF(V103&lt;=0,$F$24,0))))</f>
        <v/>
      </c>
      <c r="AP104">
        <f>IF(C103&lt;=0,(Dashboard!$C$11+IF(C103&lt;=0,$F$5,0)+IF(D103&lt;=0,$F$6,0)+IF(E103&lt;=0,$F$7,0)+IF(F103&lt;=0,$F$8,0)+IF(G103&lt;=0,$F$9,0)+IF(H103&lt;=0,$F$10,0)+IF(I103&lt;=0,$F$11,0)+IF(J103&lt;=0,$F$12,0)+IF(K103&lt;=0,$F$13,0)+IF(L103&lt;=0,$F$14,0)+IF(M103&lt;=0,$F$15,0)+IF(N103&lt;=0,$F$16,0)+IF(O103&lt;=0,$F$17,0)+IF(P103&lt;=0,$F$18,0)+IF(Q103&lt;=0,$F$19,0)+IF(R103&lt;=0,$F$20,0)+IF(S103&lt;=0,$F$21,0)+IF(T103&lt;=0,$F$22,0)+IF(U103&lt;=0,$F$23,0)+IF(V103&lt;=0,$F$24,0)),MAX(0,$F$5+(Dashboard!$C$11+IF(C103&lt;=0,$F$5,0)+IF(D103&lt;=0,$F$6,0)+IF(E103&lt;=0,$F$7,0)+IF(F103&lt;=0,$F$8,0)+IF(G103&lt;=0,$F$9,0)+IF(H103&lt;=0,$F$10,0)+IF(I103&lt;=0,$F$11,0)+IF(J103&lt;=0,$F$12,0)+IF(K103&lt;=0,$F$13,0)+IF(L103&lt;=0,$F$14,0)+IF(M103&lt;=0,$F$15,0)+IF(N103&lt;=0,$F$16,0)+IF(O103&lt;=0,$F$17,0)+IF(P103&lt;=0,$F$18,0)+IF(Q103&lt;=0,$F$19,0)+IF(R103&lt;=0,$F$20,0)+IF(S103&lt;=0,$F$21,0)+IF(T103&lt;=0,$F$22,0)+IF(U103&lt;=0,$F$23,0)+IF(V103&lt;=0,$F$24,0))-C103-AN104))</f>
        <v/>
      </c>
      <c r="AQ104">
        <f>IF(D103&lt;=0,0,D103*$E$6/12)</f>
        <v/>
      </c>
      <c r="AR104">
        <f>IF(D103&lt;=0,0,MIN(D103+AQ104,$F$6+AP104))</f>
        <v/>
      </c>
      <c r="AS104">
        <f>IF(D103&lt;=0,AP104,MAX(0,$F$6+AP104-D103-AQ104))</f>
        <v/>
      </c>
      <c r="AT104">
        <f>IF(E103&lt;=0,0,E103*$E$7/12)</f>
        <v/>
      </c>
      <c r="AU104">
        <f>IF(E103&lt;=0,0,MIN(E103+AT104,$F$7+AS104))</f>
        <v/>
      </c>
      <c r="AV104">
        <f>IF(E103&lt;=0,AS104,MAX(0,$F$7+AS104-E103-AT104))</f>
        <v/>
      </c>
      <c r="AW104">
        <f>IF(F103&lt;=0,0,F103*$E$8/12)</f>
        <v/>
      </c>
      <c r="AX104">
        <f>IF(F103&lt;=0,0,MIN(F103+AW104,$F$8+AV104))</f>
        <v/>
      </c>
      <c r="AY104">
        <f>IF(F103&lt;=0,AV104,MAX(0,$F$8+AV104-F103-AW104))</f>
        <v/>
      </c>
      <c r="AZ104">
        <f>IF(G103&lt;=0,0,G103*$E$9/12)</f>
        <v/>
      </c>
      <c r="BA104">
        <f>IF(G103&lt;=0,0,MIN(G103+AZ104,$F$9+AY104))</f>
        <v/>
      </c>
      <c r="BB104">
        <f>IF(G103&lt;=0,AY104,MAX(0,$F$9+AY104-G103-AZ104))</f>
        <v/>
      </c>
      <c r="BC104">
        <f>IF(H103&lt;=0,0,H103*$E$10/12)</f>
        <v/>
      </c>
      <c r="BD104">
        <f>IF(H103&lt;=0,0,MIN(H103+BC104,$F$10+BB104))</f>
        <v/>
      </c>
      <c r="BE104">
        <f>IF(H103&lt;=0,BB104,MAX(0,$F$10+BB104-H103-BC104))</f>
        <v/>
      </c>
      <c r="BF104">
        <f>IF(I103&lt;=0,0,I103*$E$11/12)</f>
        <v/>
      </c>
      <c r="BG104">
        <f>IF(I103&lt;=0,0,MIN(I103+BF104,$F$11+BE104))</f>
        <v/>
      </c>
      <c r="BH104">
        <f>IF(I103&lt;=0,BE104,MAX(0,$F$11+BE104-I103-BF104))</f>
        <v/>
      </c>
      <c r="BI104">
        <f>IF(J103&lt;=0,0,J103*$E$12/12)</f>
        <v/>
      </c>
      <c r="BJ104">
        <f>IF(J103&lt;=0,0,MIN(J103+BI104,$F$12+BH104))</f>
        <v/>
      </c>
      <c r="BK104">
        <f>IF(J103&lt;=0,BH104,MAX(0,$F$12+BH104-J103-BI104))</f>
        <v/>
      </c>
      <c r="BL104">
        <f>IF(K103&lt;=0,0,K103*$E$13/12)</f>
        <v/>
      </c>
      <c r="BM104">
        <f>IF(K103&lt;=0,0,MIN(K103+BL104,$F$13+BK104))</f>
        <v/>
      </c>
      <c r="BN104">
        <f>IF(K103&lt;=0,BK104,MAX(0,$F$13+BK104-K103-BL104))</f>
        <v/>
      </c>
      <c r="BO104">
        <f>IF(L103&lt;=0,0,L103*$E$14/12)</f>
        <v/>
      </c>
      <c r="BP104">
        <f>IF(L103&lt;=0,0,MIN(L103+BO104,$F$14+BN104))</f>
        <v/>
      </c>
      <c r="BQ104">
        <f>IF(L103&lt;=0,BN104,MAX(0,$F$14+BN104-L103-BO104))</f>
        <v/>
      </c>
      <c r="BR104">
        <f>IF(M103&lt;=0,0,M103*$E$15/12)</f>
        <v/>
      </c>
      <c r="BS104">
        <f>IF(M103&lt;=0,0,MIN(M103+BR104,$F$15+BQ104))</f>
        <v/>
      </c>
      <c r="BT104">
        <f>IF(M103&lt;=0,BQ104,MAX(0,$F$15+BQ104-M103-BR104))</f>
        <v/>
      </c>
      <c r="BU104">
        <f>IF(N103&lt;=0,0,N103*$E$16/12)</f>
        <v/>
      </c>
      <c r="BV104">
        <f>IF(N103&lt;=0,0,MIN(N103+BU104,$F$16+BT104))</f>
        <v/>
      </c>
      <c r="BW104">
        <f>IF(N103&lt;=0,BT104,MAX(0,$F$16+BT104-N103-BU104))</f>
        <v/>
      </c>
      <c r="BX104">
        <f>IF(O103&lt;=0,0,O103*$E$17/12)</f>
        <v/>
      </c>
      <c r="BY104">
        <f>IF(O103&lt;=0,0,MIN(O103+BX104,$F$17+BW104))</f>
        <v/>
      </c>
      <c r="BZ104">
        <f>IF(O103&lt;=0,BW104,MAX(0,$F$17+BW104-O103-BX104))</f>
        <v/>
      </c>
      <c r="CA104">
        <f>IF(P103&lt;=0,0,P103*$E$18/12)</f>
        <v/>
      </c>
      <c r="CB104">
        <f>IF(P103&lt;=0,0,MIN(P103+CA104,$F$18+BZ104))</f>
        <v/>
      </c>
      <c r="CC104">
        <f>IF(P103&lt;=0,BZ104,MAX(0,$F$18+BZ104-P103-CA104))</f>
        <v/>
      </c>
      <c r="CD104">
        <f>IF(Q103&lt;=0,0,Q103*$E$19/12)</f>
        <v/>
      </c>
      <c r="CE104">
        <f>IF(Q103&lt;=0,0,MIN(Q103+CD104,$F$19+CC104))</f>
        <v/>
      </c>
      <c r="CF104">
        <f>IF(Q103&lt;=0,CC104,MAX(0,$F$19+CC104-Q103-CD104))</f>
        <v/>
      </c>
      <c r="CG104">
        <f>IF(R103&lt;=0,0,R103*$E$20/12)</f>
        <v/>
      </c>
      <c r="CH104">
        <f>IF(R103&lt;=0,0,MIN(R103+CG104,$F$20+CF104))</f>
        <v/>
      </c>
      <c r="CI104">
        <f>IF(R103&lt;=0,CF104,MAX(0,$F$20+CF104-R103-CG104))</f>
        <v/>
      </c>
      <c r="CJ104">
        <f>IF(S103&lt;=0,0,S103*$E$21/12)</f>
        <v/>
      </c>
      <c r="CK104">
        <f>IF(S103&lt;=0,0,MIN(S103+CJ104,$F$21+CI104))</f>
        <v/>
      </c>
      <c r="CL104">
        <f>IF(S103&lt;=0,CI104,MAX(0,$F$21+CI104-S103-CJ104))</f>
        <v/>
      </c>
      <c r="CM104">
        <f>IF(T103&lt;=0,0,T103*$E$22/12)</f>
        <v/>
      </c>
      <c r="CN104">
        <f>IF(T103&lt;=0,0,MIN(T103+CM104,$F$22+CL104))</f>
        <v/>
      </c>
      <c r="CO104">
        <f>IF(T103&lt;=0,CL104,MAX(0,$F$22+CL104-T103-CM104))</f>
        <v/>
      </c>
      <c r="CP104">
        <f>IF(U103&lt;=0,0,U103*$E$23/12)</f>
        <v/>
      </c>
      <c r="CQ104">
        <f>IF(U103&lt;=0,0,MIN(U103+CP104,$F$23+CO104))</f>
        <v/>
      </c>
      <c r="CR104">
        <f>IF(U103&lt;=0,CO104,MAX(0,$F$23+CO104-U103-CP104))</f>
        <v/>
      </c>
      <c r="CS104">
        <f>IF(V103&lt;=0,0,V103*$E$24/12)</f>
        <v/>
      </c>
      <c r="CT104">
        <f>IF(V103&lt;=0,0,MIN(V103+CS104,$F$24+CR104))</f>
        <v/>
      </c>
      <c r="CU104">
        <f>IF(V103&lt;=0,CR104,MAX(0,$F$24+CR104-V103-CS104))</f>
        <v/>
      </c>
    </row>
    <row r="105">
      <c r="B105" s="39" t="n">
        <v>79</v>
      </c>
      <c r="C105" s="13">
        <f>IF(C104&lt;=0,0,MAX(0,C104+AN105-AO105))</f>
        <v/>
      </c>
      <c r="D105" s="13">
        <f>IF(D104&lt;=0,0,MAX(0,D104+AQ105-AR105))</f>
        <v/>
      </c>
      <c r="E105" s="13">
        <f>IF(E104&lt;=0,0,MAX(0,E104+AT105-AU105))</f>
        <v/>
      </c>
      <c r="F105" s="13">
        <f>IF(F104&lt;=0,0,MAX(0,F104+AW105-AX105))</f>
        <v/>
      </c>
      <c r="G105" s="13">
        <f>IF(G104&lt;=0,0,MAX(0,G104+AZ105-BA105))</f>
        <v/>
      </c>
      <c r="H105" s="13">
        <f>IF(H104&lt;=0,0,MAX(0,H104+BC105-BD105))</f>
        <v/>
      </c>
      <c r="I105" s="13">
        <f>IF(I104&lt;=0,0,MAX(0,I104+BF105-BG105))</f>
        <v/>
      </c>
      <c r="J105" s="13">
        <f>IF(J104&lt;=0,0,MAX(0,J104+BI105-BJ105))</f>
        <v/>
      </c>
      <c r="K105" s="13">
        <f>IF(K104&lt;=0,0,MAX(0,K104+BL105-BM105))</f>
        <v/>
      </c>
      <c r="L105" s="13">
        <f>IF(L104&lt;=0,0,MAX(0,L104+BO105-BP105))</f>
        <v/>
      </c>
      <c r="M105" s="13">
        <f>IF(M104&lt;=0,0,MAX(0,M104+BR105-BS105))</f>
        <v/>
      </c>
      <c r="N105" s="13">
        <f>IF(N104&lt;=0,0,MAX(0,N104+BU105-BV105))</f>
        <v/>
      </c>
      <c r="O105" s="13">
        <f>IF(O104&lt;=0,0,MAX(0,O104+BX105-BY105))</f>
        <v/>
      </c>
      <c r="P105" s="13">
        <f>IF(P104&lt;=0,0,MAX(0,P104+CA105-CB105))</f>
        <v/>
      </c>
      <c r="Q105" s="13">
        <f>IF(Q104&lt;=0,0,MAX(0,Q104+CD105-CE105))</f>
        <v/>
      </c>
      <c r="R105" s="13">
        <f>IF(R104&lt;=0,0,MAX(0,R104+CG105-CH105))</f>
        <v/>
      </c>
      <c r="S105" s="13">
        <f>IF(S104&lt;=0,0,MAX(0,S104+CJ105-CK105))</f>
        <v/>
      </c>
      <c r="T105" s="13">
        <f>IF(T104&lt;=0,0,MAX(0,T104+CM105-CN105))</f>
        <v/>
      </c>
      <c r="U105" s="13">
        <f>IF(U104&lt;=0,0,MAX(0,U104+CP105-CQ105))</f>
        <v/>
      </c>
      <c r="V105" s="13">
        <f>IF(V104&lt;=0,0,MAX(0,V104+CS105-CT105))</f>
        <v/>
      </c>
      <c r="W105" s="13">
        <f>AO105+AR105+AU105+AX105+BA105+BD105+BG105+BJ105+BM105+BP105+BS105+BV105+BY105+CB105+CE105+CH105+CK105+CN105+CQ105+CT105</f>
        <v/>
      </c>
      <c r="X105" s="13">
        <f>AN105+AQ105+AT105+AW105+AZ105+BC105+BF105+BI105+BL105+BO105+BR105+BU105+BX105+CA105+CD105+CG105+CJ105+CM105+CP105+CS105</f>
        <v/>
      </c>
      <c r="Y105" s="27">
        <f>C105+D105+E105+F105+G105+H105+I105+J105+K105+L105+M105+N105+O105+P105+Q105+R105+S105+T105+U105+V105</f>
        <v/>
      </c>
      <c r="AN105">
        <f>IF(C104&lt;=0,0,C104*$E$5/12)</f>
        <v/>
      </c>
      <c r="AO105">
        <f>IF(C104&lt;=0,0,MIN(C104+AN105,$F$5+(Dashboard!$C$11+IF(C104&lt;=0,$F$5,0)+IF(D104&lt;=0,$F$6,0)+IF(E104&lt;=0,$F$7,0)+IF(F104&lt;=0,$F$8,0)+IF(G104&lt;=0,$F$9,0)+IF(H104&lt;=0,$F$10,0)+IF(I104&lt;=0,$F$11,0)+IF(J104&lt;=0,$F$12,0)+IF(K104&lt;=0,$F$13,0)+IF(L104&lt;=0,$F$14,0)+IF(M104&lt;=0,$F$15,0)+IF(N104&lt;=0,$F$16,0)+IF(O104&lt;=0,$F$17,0)+IF(P104&lt;=0,$F$18,0)+IF(Q104&lt;=0,$F$19,0)+IF(R104&lt;=0,$F$20,0)+IF(S104&lt;=0,$F$21,0)+IF(T104&lt;=0,$F$22,0)+IF(U104&lt;=0,$F$23,0)+IF(V104&lt;=0,$F$24,0))))</f>
        <v/>
      </c>
      <c r="AP105">
        <f>IF(C104&lt;=0,(Dashboard!$C$11+IF(C104&lt;=0,$F$5,0)+IF(D104&lt;=0,$F$6,0)+IF(E104&lt;=0,$F$7,0)+IF(F104&lt;=0,$F$8,0)+IF(G104&lt;=0,$F$9,0)+IF(H104&lt;=0,$F$10,0)+IF(I104&lt;=0,$F$11,0)+IF(J104&lt;=0,$F$12,0)+IF(K104&lt;=0,$F$13,0)+IF(L104&lt;=0,$F$14,0)+IF(M104&lt;=0,$F$15,0)+IF(N104&lt;=0,$F$16,0)+IF(O104&lt;=0,$F$17,0)+IF(P104&lt;=0,$F$18,0)+IF(Q104&lt;=0,$F$19,0)+IF(R104&lt;=0,$F$20,0)+IF(S104&lt;=0,$F$21,0)+IF(T104&lt;=0,$F$22,0)+IF(U104&lt;=0,$F$23,0)+IF(V104&lt;=0,$F$24,0)),MAX(0,$F$5+(Dashboard!$C$11+IF(C104&lt;=0,$F$5,0)+IF(D104&lt;=0,$F$6,0)+IF(E104&lt;=0,$F$7,0)+IF(F104&lt;=0,$F$8,0)+IF(G104&lt;=0,$F$9,0)+IF(H104&lt;=0,$F$10,0)+IF(I104&lt;=0,$F$11,0)+IF(J104&lt;=0,$F$12,0)+IF(K104&lt;=0,$F$13,0)+IF(L104&lt;=0,$F$14,0)+IF(M104&lt;=0,$F$15,0)+IF(N104&lt;=0,$F$16,0)+IF(O104&lt;=0,$F$17,0)+IF(P104&lt;=0,$F$18,0)+IF(Q104&lt;=0,$F$19,0)+IF(R104&lt;=0,$F$20,0)+IF(S104&lt;=0,$F$21,0)+IF(T104&lt;=0,$F$22,0)+IF(U104&lt;=0,$F$23,0)+IF(V104&lt;=0,$F$24,0))-C104-AN105))</f>
        <v/>
      </c>
      <c r="AQ105">
        <f>IF(D104&lt;=0,0,D104*$E$6/12)</f>
        <v/>
      </c>
      <c r="AR105">
        <f>IF(D104&lt;=0,0,MIN(D104+AQ105,$F$6+AP105))</f>
        <v/>
      </c>
      <c r="AS105">
        <f>IF(D104&lt;=0,AP105,MAX(0,$F$6+AP105-D104-AQ105))</f>
        <v/>
      </c>
      <c r="AT105">
        <f>IF(E104&lt;=0,0,E104*$E$7/12)</f>
        <v/>
      </c>
      <c r="AU105">
        <f>IF(E104&lt;=0,0,MIN(E104+AT105,$F$7+AS105))</f>
        <v/>
      </c>
      <c r="AV105">
        <f>IF(E104&lt;=0,AS105,MAX(0,$F$7+AS105-E104-AT105))</f>
        <v/>
      </c>
      <c r="AW105">
        <f>IF(F104&lt;=0,0,F104*$E$8/12)</f>
        <v/>
      </c>
      <c r="AX105">
        <f>IF(F104&lt;=0,0,MIN(F104+AW105,$F$8+AV105))</f>
        <v/>
      </c>
      <c r="AY105">
        <f>IF(F104&lt;=0,AV105,MAX(0,$F$8+AV105-F104-AW105))</f>
        <v/>
      </c>
      <c r="AZ105">
        <f>IF(G104&lt;=0,0,G104*$E$9/12)</f>
        <v/>
      </c>
      <c r="BA105">
        <f>IF(G104&lt;=0,0,MIN(G104+AZ105,$F$9+AY105))</f>
        <v/>
      </c>
      <c r="BB105">
        <f>IF(G104&lt;=0,AY105,MAX(0,$F$9+AY105-G104-AZ105))</f>
        <v/>
      </c>
      <c r="BC105">
        <f>IF(H104&lt;=0,0,H104*$E$10/12)</f>
        <v/>
      </c>
      <c r="BD105">
        <f>IF(H104&lt;=0,0,MIN(H104+BC105,$F$10+BB105))</f>
        <v/>
      </c>
      <c r="BE105">
        <f>IF(H104&lt;=0,BB105,MAX(0,$F$10+BB105-H104-BC105))</f>
        <v/>
      </c>
      <c r="BF105">
        <f>IF(I104&lt;=0,0,I104*$E$11/12)</f>
        <v/>
      </c>
      <c r="BG105">
        <f>IF(I104&lt;=0,0,MIN(I104+BF105,$F$11+BE105))</f>
        <v/>
      </c>
      <c r="BH105">
        <f>IF(I104&lt;=0,BE105,MAX(0,$F$11+BE105-I104-BF105))</f>
        <v/>
      </c>
      <c r="BI105">
        <f>IF(J104&lt;=0,0,J104*$E$12/12)</f>
        <v/>
      </c>
      <c r="BJ105">
        <f>IF(J104&lt;=0,0,MIN(J104+BI105,$F$12+BH105))</f>
        <v/>
      </c>
      <c r="BK105">
        <f>IF(J104&lt;=0,BH105,MAX(0,$F$12+BH105-J104-BI105))</f>
        <v/>
      </c>
      <c r="BL105">
        <f>IF(K104&lt;=0,0,K104*$E$13/12)</f>
        <v/>
      </c>
      <c r="BM105">
        <f>IF(K104&lt;=0,0,MIN(K104+BL105,$F$13+BK105))</f>
        <v/>
      </c>
      <c r="BN105">
        <f>IF(K104&lt;=0,BK105,MAX(0,$F$13+BK105-K104-BL105))</f>
        <v/>
      </c>
      <c r="BO105">
        <f>IF(L104&lt;=0,0,L104*$E$14/12)</f>
        <v/>
      </c>
      <c r="BP105">
        <f>IF(L104&lt;=0,0,MIN(L104+BO105,$F$14+BN105))</f>
        <v/>
      </c>
      <c r="BQ105">
        <f>IF(L104&lt;=0,BN105,MAX(0,$F$14+BN105-L104-BO105))</f>
        <v/>
      </c>
      <c r="BR105">
        <f>IF(M104&lt;=0,0,M104*$E$15/12)</f>
        <v/>
      </c>
      <c r="BS105">
        <f>IF(M104&lt;=0,0,MIN(M104+BR105,$F$15+BQ105))</f>
        <v/>
      </c>
      <c r="BT105">
        <f>IF(M104&lt;=0,BQ105,MAX(0,$F$15+BQ105-M104-BR105))</f>
        <v/>
      </c>
      <c r="BU105">
        <f>IF(N104&lt;=0,0,N104*$E$16/12)</f>
        <v/>
      </c>
      <c r="BV105">
        <f>IF(N104&lt;=0,0,MIN(N104+BU105,$F$16+BT105))</f>
        <v/>
      </c>
      <c r="BW105">
        <f>IF(N104&lt;=0,BT105,MAX(0,$F$16+BT105-N104-BU105))</f>
        <v/>
      </c>
      <c r="BX105">
        <f>IF(O104&lt;=0,0,O104*$E$17/12)</f>
        <v/>
      </c>
      <c r="BY105">
        <f>IF(O104&lt;=0,0,MIN(O104+BX105,$F$17+BW105))</f>
        <v/>
      </c>
      <c r="BZ105">
        <f>IF(O104&lt;=0,BW105,MAX(0,$F$17+BW105-O104-BX105))</f>
        <v/>
      </c>
      <c r="CA105">
        <f>IF(P104&lt;=0,0,P104*$E$18/12)</f>
        <v/>
      </c>
      <c r="CB105">
        <f>IF(P104&lt;=0,0,MIN(P104+CA105,$F$18+BZ105))</f>
        <v/>
      </c>
      <c r="CC105">
        <f>IF(P104&lt;=0,BZ105,MAX(0,$F$18+BZ105-P104-CA105))</f>
        <v/>
      </c>
      <c r="CD105">
        <f>IF(Q104&lt;=0,0,Q104*$E$19/12)</f>
        <v/>
      </c>
      <c r="CE105">
        <f>IF(Q104&lt;=0,0,MIN(Q104+CD105,$F$19+CC105))</f>
        <v/>
      </c>
      <c r="CF105">
        <f>IF(Q104&lt;=0,CC105,MAX(0,$F$19+CC105-Q104-CD105))</f>
        <v/>
      </c>
      <c r="CG105">
        <f>IF(R104&lt;=0,0,R104*$E$20/12)</f>
        <v/>
      </c>
      <c r="CH105">
        <f>IF(R104&lt;=0,0,MIN(R104+CG105,$F$20+CF105))</f>
        <v/>
      </c>
      <c r="CI105">
        <f>IF(R104&lt;=0,CF105,MAX(0,$F$20+CF105-R104-CG105))</f>
        <v/>
      </c>
      <c r="CJ105">
        <f>IF(S104&lt;=0,0,S104*$E$21/12)</f>
        <v/>
      </c>
      <c r="CK105">
        <f>IF(S104&lt;=0,0,MIN(S104+CJ105,$F$21+CI105))</f>
        <v/>
      </c>
      <c r="CL105">
        <f>IF(S104&lt;=0,CI105,MAX(0,$F$21+CI105-S104-CJ105))</f>
        <v/>
      </c>
      <c r="CM105">
        <f>IF(T104&lt;=0,0,T104*$E$22/12)</f>
        <v/>
      </c>
      <c r="CN105">
        <f>IF(T104&lt;=0,0,MIN(T104+CM105,$F$22+CL105))</f>
        <v/>
      </c>
      <c r="CO105">
        <f>IF(T104&lt;=0,CL105,MAX(0,$F$22+CL105-T104-CM105))</f>
        <v/>
      </c>
      <c r="CP105">
        <f>IF(U104&lt;=0,0,U104*$E$23/12)</f>
        <v/>
      </c>
      <c r="CQ105">
        <f>IF(U104&lt;=0,0,MIN(U104+CP105,$F$23+CO105))</f>
        <v/>
      </c>
      <c r="CR105">
        <f>IF(U104&lt;=0,CO105,MAX(0,$F$23+CO105-U104-CP105))</f>
        <v/>
      </c>
      <c r="CS105">
        <f>IF(V104&lt;=0,0,V104*$E$24/12)</f>
        <v/>
      </c>
      <c r="CT105">
        <f>IF(V104&lt;=0,0,MIN(V104+CS105,$F$24+CR105))</f>
        <v/>
      </c>
      <c r="CU105">
        <f>IF(V104&lt;=0,CR105,MAX(0,$F$24+CR105-V104-CS105))</f>
        <v/>
      </c>
    </row>
    <row r="106">
      <c r="B106" s="39" t="n">
        <v>80</v>
      </c>
      <c r="C106" s="13">
        <f>IF(C105&lt;=0,0,MAX(0,C105+AN106-AO106))</f>
        <v/>
      </c>
      <c r="D106" s="13">
        <f>IF(D105&lt;=0,0,MAX(0,D105+AQ106-AR106))</f>
        <v/>
      </c>
      <c r="E106" s="13">
        <f>IF(E105&lt;=0,0,MAX(0,E105+AT106-AU106))</f>
        <v/>
      </c>
      <c r="F106" s="13">
        <f>IF(F105&lt;=0,0,MAX(0,F105+AW106-AX106))</f>
        <v/>
      </c>
      <c r="G106" s="13">
        <f>IF(G105&lt;=0,0,MAX(0,G105+AZ106-BA106))</f>
        <v/>
      </c>
      <c r="H106" s="13">
        <f>IF(H105&lt;=0,0,MAX(0,H105+BC106-BD106))</f>
        <v/>
      </c>
      <c r="I106" s="13">
        <f>IF(I105&lt;=0,0,MAX(0,I105+BF106-BG106))</f>
        <v/>
      </c>
      <c r="J106" s="13">
        <f>IF(J105&lt;=0,0,MAX(0,J105+BI106-BJ106))</f>
        <v/>
      </c>
      <c r="K106" s="13">
        <f>IF(K105&lt;=0,0,MAX(0,K105+BL106-BM106))</f>
        <v/>
      </c>
      <c r="L106" s="13">
        <f>IF(L105&lt;=0,0,MAX(0,L105+BO106-BP106))</f>
        <v/>
      </c>
      <c r="M106" s="13">
        <f>IF(M105&lt;=0,0,MAX(0,M105+BR106-BS106))</f>
        <v/>
      </c>
      <c r="N106" s="13">
        <f>IF(N105&lt;=0,0,MAX(0,N105+BU106-BV106))</f>
        <v/>
      </c>
      <c r="O106" s="13">
        <f>IF(O105&lt;=0,0,MAX(0,O105+BX106-BY106))</f>
        <v/>
      </c>
      <c r="P106" s="13">
        <f>IF(P105&lt;=0,0,MAX(0,P105+CA106-CB106))</f>
        <v/>
      </c>
      <c r="Q106" s="13">
        <f>IF(Q105&lt;=0,0,MAX(0,Q105+CD106-CE106))</f>
        <v/>
      </c>
      <c r="R106" s="13">
        <f>IF(R105&lt;=0,0,MAX(0,R105+CG106-CH106))</f>
        <v/>
      </c>
      <c r="S106" s="13">
        <f>IF(S105&lt;=0,0,MAX(0,S105+CJ106-CK106))</f>
        <v/>
      </c>
      <c r="T106" s="13">
        <f>IF(T105&lt;=0,0,MAX(0,T105+CM106-CN106))</f>
        <v/>
      </c>
      <c r="U106" s="13">
        <f>IF(U105&lt;=0,0,MAX(0,U105+CP106-CQ106))</f>
        <v/>
      </c>
      <c r="V106" s="13">
        <f>IF(V105&lt;=0,0,MAX(0,V105+CS106-CT106))</f>
        <v/>
      </c>
      <c r="W106" s="13">
        <f>AO106+AR106+AU106+AX106+BA106+BD106+BG106+BJ106+BM106+BP106+BS106+BV106+BY106+CB106+CE106+CH106+CK106+CN106+CQ106+CT106</f>
        <v/>
      </c>
      <c r="X106" s="13">
        <f>AN106+AQ106+AT106+AW106+AZ106+BC106+BF106+BI106+BL106+BO106+BR106+BU106+BX106+CA106+CD106+CG106+CJ106+CM106+CP106+CS106</f>
        <v/>
      </c>
      <c r="Y106" s="27">
        <f>C106+D106+E106+F106+G106+H106+I106+J106+K106+L106+M106+N106+O106+P106+Q106+R106+S106+T106+U106+V106</f>
        <v/>
      </c>
      <c r="AN106">
        <f>IF(C105&lt;=0,0,C105*$E$5/12)</f>
        <v/>
      </c>
      <c r="AO106">
        <f>IF(C105&lt;=0,0,MIN(C105+AN106,$F$5+(Dashboard!$C$11+IF(C105&lt;=0,$F$5,0)+IF(D105&lt;=0,$F$6,0)+IF(E105&lt;=0,$F$7,0)+IF(F105&lt;=0,$F$8,0)+IF(G105&lt;=0,$F$9,0)+IF(H105&lt;=0,$F$10,0)+IF(I105&lt;=0,$F$11,0)+IF(J105&lt;=0,$F$12,0)+IF(K105&lt;=0,$F$13,0)+IF(L105&lt;=0,$F$14,0)+IF(M105&lt;=0,$F$15,0)+IF(N105&lt;=0,$F$16,0)+IF(O105&lt;=0,$F$17,0)+IF(P105&lt;=0,$F$18,0)+IF(Q105&lt;=0,$F$19,0)+IF(R105&lt;=0,$F$20,0)+IF(S105&lt;=0,$F$21,0)+IF(T105&lt;=0,$F$22,0)+IF(U105&lt;=0,$F$23,0)+IF(V105&lt;=0,$F$24,0))))</f>
        <v/>
      </c>
      <c r="AP106">
        <f>IF(C105&lt;=0,(Dashboard!$C$11+IF(C105&lt;=0,$F$5,0)+IF(D105&lt;=0,$F$6,0)+IF(E105&lt;=0,$F$7,0)+IF(F105&lt;=0,$F$8,0)+IF(G105&lt;=0,$F$9,0)+IF(H105&lt;=0,$F$10,0)+IF(I105&lt;=0,$F$11,0)+IF(J105&lt;=0,$F$12,0)+IF(K105&lt;=0,$F$13,0)+IF(L105&lt;=0,$F$14,0)+IF(M105&lt;=0,$F$15,0)+IF(N105&lt;=0,$F$16,0)+IF(O105&lt;=0,$F$17,0)+IF(P105&lt;=0,$F$18,0)+IF(Q105&lt;=0,$F$19,0)+IF(R105&lt;=0,$F$20,0)+IF(S105&lt;=0,$F$21,0)+IF(T105&lt;=0,$F$22,0)+IF(U105&lt;=0,$F$23,0)+IF(V105&lt;=0,$F$24,0)),MAX(0,$F$5+(Dashboard!$C$11+IF(C105&lt;=0,$F$5,0)+IF(D105&lt;=0,$F$6,0)+IF(E105&lt;=0,$F$7,0)+IF(F105&lt;=0,$F$8,0)+IF(G105&lt;=0,$F$9,0)+IF(H105&lt;=0,$F$10,0)+IF(I105&lt;=0,$F$11,0)+IF(J105&lt;=0,$F$12,0)+IF(K105&lt;=0,$F$13,0)+IF(L105&lt;=0,$F$14,0)+IF(M105&lt;=0,$F$15,0)+IF(N105&lt;=0,$F$16,0)+IF(O105&lt;=0,$F$17,0)+IF(P105&lt;=0,$F$18,0)+IF(Q105&lt;=0,$F$19,0)+IF(R105&lt;=0,$F$20,0)+IF(S105&lt;=0,$F$21,0)+IF(T105&lt;=0,$F$22,0)+IF(U105&lt;=0,$F$23,0)+IF(V105&lt;=0,$F$24,0))-C105-AN106))</f>
        <v/>
      </c>
      <c r="AQ106">
        <f>IF(D105&lt;=0,0,D105*$E$6/12)</f>
        <v/>
      </c>
      <c r="AR106">
        <f>IF(D105&lt;=0,0,MIN(D105+AQ106,$F$6+AP106))</f>
        <v/>
      </c>
      <c r="AS106">
        <f>IF(D105&lt;=0,AP106,MAX(0,$F$6+AP106-D105-AQ106))</f>
        <v/>
      </c>
      <c r="AT106">
        <f>IF(E105&lt;=0,0,E105*$E$7/12)</f>
        <v/>
      </c>
      <c r="AU106">
        <f>IF(E105&lt;=0,0,MIN(E105+AT106,$F$7+AS106))</f>
        <v/>
      </c>
      <c r="AV106">
        <f>IF(E105&lt;=0,AS106,MAX(0,$F$7+AS106-E105-AT106))</f>
        <v/>
      </c>
      <c r="AW106">
        <f>IF(F105&lt;=0,0,F105*$E$8/12)</f>
        <v/>
      </c>
      <c r="AX106">
        <f>IF(F105&lt;=0,0,MIN(F105+AW106,$F$8+AV106))</f>
        <v/>
      </c>
      <c r="AY106">
        <f>IF(F105&lt;=0,AV106,MAX(0,$F$8+AV106-F105-AW106))</f>
        <v/>
      </c>
      <c r="AZ106">
        <f>IF(G105&lt;=0,0,G105*$E$9/12)</f>
        <v/>
      </c>
      <c r="BA106">
        <f>IF(G105&lt;=0,0,MIN(G105+AZ106,$F$9+AY106))</f>
        <v/>
      </c>
      <c r="BB106">
        <f>IF(G105&lt;=0,AY106,MAX(0,$F$9+AY106-G105-AZ106))</f>
        <v/>
      </c>
      <c r="BC106">
        <f>IF(H105&lt;=0,0,H105*$E$10/12)</f>
        <v/>
      </c>
      <c r="BD106">
        <f>IF(H105&lt;=0,0,MIN(H105+BC106,$F$10+BB106))</f>
        <v/>
      </c>
      <c r="BE106">
        <f>IF(H105&lt;=0,BB106,MAX(0,$F$10+BB106-H105-BC106))</f>
        <v/>
      </c>
      <c r="BF106">
        <f>IF(I105&lt;=0,0,I105*$E$11/12)</f>
        <v/>
      </c>
      <c r="BG106">
        <f>IF(I105&lt;=0,0,MIN(I105+BF106,$F$11+BE106))</f>
        <v/>
      </c>
      <c r="BH106">
        <f>IF(I105&lt;=0,BE106,MAX(0,$F$11+BE106-I105-BF106))</f>
        <v/>
      </c>
      <c r="BI106">
        <f>IF(J105&lt;=0,0,J105*$E$12/12)</f>
        <v/>
      </c>
      <c r="BJ106">
        <f>IF(J105&lt;=0,0,MIN(J105+BI106,$F$12+BH106))</f>
        <v/>
      </c>
      <c r="BK106">
        <f>IF(J105&lt;=0,BH106,MAX(0,$F$12+BH106-J105-BI106))</f>
        <v/>
      </c>
      <c r="BL106">
        <f>IF(K105&lt;=0,0,K105*$E$13/12)</f>
        <v/>
      </c>
      <c r="BM106">
        <f>IF(K105&lt;=0,0,MIN(K105+BL106,$F$13+BK106))</f>
        <v/>
      </c>
      <c r="BN106">
        <f>IF(K105&lt;=0,BK106,MAX(0,$F$13+BK106-K105-BL106))</f>
        <v/>
      </c>
      <c r="BO106">
        <f>IF(L105&lt;=0,0,L105*$E$14/12)</f>
        <v/>
      </c>
      <c r="BP106">
        <f>IF(L105&lt;=0,0,MIN(L105+BO106,$F$14+BN106))</f>
        <v/>
      </c>
      <c r="BQ106">
        <f>IF(L105&lt;=0,BN106,MAX(0,$F$14+BN106-L105-BO106))</f>
        <v/>
      </c>
      <c r="BR106">
        <f>IF(M105&lt;=0,0,M105*$E$15/12)</f>
        <v/>
      </c>
      <c r="BS106">
        <f>IF(M105&lt;=0,0,MIN(M105+BR106,$F$15+BQ106))</f>
        <v/>
      </c>
      <c r="BT106">
        <f>IF(M105&lt;=0,BQ106,MAX(0,$F$15+BQ106-M105-BR106))</f>
        <v/>
      </c>
      <c r="BU106">
        <f>IF(N105&lt;=0,0,N105*$E$16/12)</f>
        <v/>
      </c>
      <c r="BV106">
        <f>IF(N105&lt;=0,0,MIN(N105+BU106,$F$16+BT106))</f>
        <v/>
      </c>
      <c r="BW106">
        <f>IF(N105&lt;=0,BT106,MAX(0,$F$16+BT106-N105-BU106))</f>
        <v/>
      </c>
      <c r="BX106">
        <f>IF(O105&lt;=0,0,O105*$E$17/12)</f>
        <v/>
      </c>
      <c r="BY106">
        <f>IF(O105&lt;=0,0,MIN(O105+BX106,$F$17+BW106))</f>
        <v/>
      </c>
      <c r="BZ106">
        <f>IF(O105&lt;=0,BW106,MAX(0,$F$17+BW106-O105-BX106))</f>
        <v/>
      </c>
      <c r="CA106">
        <f>IF(P105&lt;=0,0,P105*$E$18/12)</f>
        <v/>
      </c>
      <c r="CB106">
        <f>IF(P105&lt;=0,0,MIN(P105+CA106,$F$18+BZ106))</f>
        <v/>
      </c>
      <c r="CC106">
        <f>IF(P105&lt;=0,BZ106,MAX(0,$F$18+BZ106-P105-CA106))</f>
        <v/>
      </c>
      <c r="CD106">
        <f>IF(Q105&lt;=0,0,Q105*$E$19/12)</f>
        <v/>
      </c>
      <c r="CE106">
        <f>IF(Q105&lt;=0,0,MIN(Q105+CD106,$F$19+CC106))</f>
        <v/>
      </c>
      <c r="CF106">
        <f>IF(Q105&lt;=0,CC106,MAX(0,$F$19+CC106-Q105-CD106))</f>
        <v/>
      </c>
      <c r="CG106">
        <f>IF(R105&lt;=0,0,R105*$E$20/12)</f>
        <v/>
      </c>
      <c r="CH106">
        <f>IF(R105&lt;=0,0,MIN(R105+CG106,$F$20+CF106))</f>
        <v/>
      </c>
      <c r="CI106">
        <f>IF(R105&lt;=0,CF106,MAX(0,$F$20+CF106-R105-CG106))</f>
        <v/>
      </c>
      <c r="CJ106">
        <f>IF(S105&lt;=0,0,S105*$E$21/12)</f>
        <v/>
      </c>
      <c r="CK106">
        <f>IF(S105&lt;=0,0,MIN(S105+CJ106,$F$21+CI106))</f>
        <v/>
      </c>
      <c r="CL106">
        <f>IF(S105&lt;=0,CI106,MAX(0,$F$21+CI106-S105-CJ106))</f>
        <v/>
      </c>
      <c r="CM106">
        <f>IF(T105&lt;=0,0,T105*$E$22/12)</f>
        <v/>
      </c>
      <c r="CN106">
        <f>IF(T105&lt;=0,0,MIN(T105+CM106,$F$22+CL106))</f>
        <v/>
      </c>
      <c r="CO106">
        <f>IF(T105&lt;=0,CL106,MAX(0,$F$22+CL106-T105-CM106))</f>
        <v/>
      </c>
      <c r="CP106">
        <f>IF(U105&lt;=0,0,U105*$E$23/12)</f>
        <v/>
      </c>
      <c r="CQ106">
        <f>IF(U105&lt;=0,0,MIN(U105+CP106,$F$23+CO106))</f>
        <v/>
      </c>
      <c r="CR106">
        <f>IF(U105&lt;=0,CO106,MAX(0,$F$23+CO106-U105-CP106))</f>
        <v/>
      </c>
      <c r="CS106">
        <f>IF(V105&lt;=0,0,V105*$E$24/12)</f>
        <v/>
      </c>
      <c r="CT106">
        <f>IF(V105&lt;=0,0,MIN(V105+CS106,$F$24+CR106))</f>
        <v/>
      </c>
      <c r="CU106">
        <f>IF(V105&lt;=0,CR106,MAX(0,$F$24+CR106-V105-CS106))</f>
        <v/>
      </c>
    </row>
    <row r="107">
      <c r="B107" s="39" t="n">
        <v>81</v>
      </c>
      <c r="C107" s="13">
        <f>IF(C106&lt;=0,0,MAX(0,C106+AN107-AO107))</f>
        <v/>
      </c>
      <c r="D107" s="13">
        <f>IF(D106&lt;=0,0,MAX(0,D106+AQ107-AR107))</f>
        <v/>
      </c>
      <c r="E107" s="13">
        <f>IF(E106&lt;=0,0,MAX(0,E106+AT107-AU107))</f>
        <v/>
      </c>
      <c r="F107" s="13">
        <f>IF(F106&lt;=0,0,MAX(0,F106+AW107-AX107))</f>
        <v/>
      </c>
      <c r="G107" s="13">
        <f>IF(G106&lt;=0,0,MAX(0,G106+AZ107-BA107))</f>
        <v/>
      </c>
      <c r="H107" s="13">
        <f>IF(H106&lt;=0,0,MAX(0,H106+BC107-BD107))</f>
        <v/>
      </c>
      <c r="I107" s="13">
        <f>IF(I106&lt;=0,0,MAX(0,I106+BF107-BG107))</f>
        <v/>
      </c>
      <c r="J107" s="13">
        <f>IF(J106&lt;=0,0,MAX(0,J106+BI107-BJ107))</f>
        <v/>
      </c>
      <c r="K107" s="13">
        <f>IF(K106&lt;=0,0,MAX(0,K106+BL107-BM107))</f>
        <v/>
      </c>
      <c r="L107" s="13">
        <f>IF(L106&lt;=0,0,MAX(0,L106+BO107-BP107))</f>
        <v/>
      </c>
      <c r="M107" s="13">
        <f>IF(M106&lt;=0,0,MAX(0,M106+BR107-BS107))</f>
        <v/>
      </c>
      <c r="N107" s="13">
        <f>IF(N106&lt;=0,0,MAX(0,N106+BU107-BV107))</f>
        <v/>
      </c>
      <c r="O107" s="13">
        <f>IF(O106&lt;=0,0,MAX(0,O106+BX107-BY107))</f>
        <v/>
      </c>
      <c r="P107" s="13">
        <f>IF(P106&lt;=0,0,MAX(0,P106+CA107-CB107))</f>
        <v/>
      </c>
      <c r="Q107" s="13">
        <f>IF(Q106&lt;=0,0,MAX(0,Q106+CD107-CE107))</f>
        <v/>
      </c>
      <c r="R107" s="13">
        <f>IF(R106&lt;=0,0,MAX(0,R106+CG107-CH107))</f>
        <v/>
      </c>
      <c r="S107" s="13">
        <f>IF(S106&lt;=0,0,MAX(0,S106+CJ107-CK107))</f>
        <v/>
      </c>
      <c r="T107" s="13">
        <f>IF(T106&lt;=0,0,MAX(0,T106+CM107-CN107))</f>
        <v/>
      </c>
      <c r="U107" s="13">
        <f>IF(U106&lt;=0,0,MAX(0,U106+CP107-CQ107))</f>
        <v/>
      </c>
      <c r="V107" s="13">
        <f>IF(V106&lt;=0,0,MAX(0,V106+CS107-CT107))</f>
        <v/>
      </c>
      <c r="W107" s="13">
        <f>AO107+AR107+AU107+AX107+BA107+BD107+BG107+BJ107+BM107+BP107+BS107+BV107+BY107+CB107+CE107+CH107+CK107+CN107+CQ107+CT107</f>
        <v/>
      </c>
      <c r="X107" s="13">
        <f>AN107+AQ107+AT107+AW107+AZ107+BC107+BF107+BI107+BL107+BO107+BR107+BU107+BX107+CA107+CD107+CG107+CJ107+CM107+CP107+CS107</f>
        <v/>
      </c>
      <c r="Y107" s="27">
        <f>C107+D107+E107+F107+G107+H107+I107+J107+K107+L107+M107+N107+O107+P107+Q107+R107+S107+T107+U107+V107</f>
        <v/>
      </c>
      <c r="AN107">
        <f>IF(C106&lt;=0,0,C106*$E$5/12)</f>
        <v/>
      </c>
      <c r="AO107">
        <f>IF(C106&lt;=0,0,MIN(C106+AN107,$F$5+(Dashboard!$C$11+IF(C106&lt;=0,$F$5,0)+IF(D106&lt;=0,$F$6,0)+IF(E106&lt;=0,$F$7,0)+IF(F106&lt;=0,$F$8,0)+IF(G106&lt;=0,$F$9,0)+IF(H106&lt;=0,$F$10,0)+IF(I106&lt;=0,$F$11,0)+IF(J106&lt;=0,$F$12,0)+IF(K106&lt;=0,$F$13,0)+IF(L106&lt;=0,$F$14,0)+IF(M106&lt;=0,$F$15,0)+IF(N106&lt;=0,$F$16,0)+IF(O106&lt;=0,$F$17,0)+IF(P106&lt;=0,$F$18,0)+IF(Q106&lt;=0,$F$19,0)+IF(R106&lt;=0,$F$20,0)+IF(S106&lt;=0,$F$21,0)+IF(T106&lt;=0,$F$22,0)+IF(U106&lt;=0,$F$23,0)+IF(V106&lt;=0,$F$24,0))))</f>
        <v/>
      </c>
      <c r="AP107">
        <f>IF(C106&lt;=0,(Dashboard!$C$11+IF(C106&lt;=0,$F$5,0)+IF(D106&lt;=0,$F$6,0)+IF(E106&lt;=0,$F$7,0)+IF(F106&lt;=0,$F$8,0)+IF(G106&lt;=0,$F$9,0)+IF(H106&lt;=0,$F$10,0)+IF(I106&lt;=0,$F$11,0)+IF(J106&lt;=0,$F$12,0)+IF(K106&lt;=0,$F$13,0)+IF(L106&lt;=0,$F$14,0)+IF(M106&lt;=0,$F$15,0)+IF(N106&lt;=0,$F$16,0)+IF(O106&lt;=0,$F$17,0)+IF(P106&lt;=0,$F$18,0)+IF(Q106&lt;=0,$F$19,0)+IF(R106&lt;=0,$F$20,0)+IF(S106&lt;=0,$F$21,0)+IF(T106&lt;=0,$F$22,0)+IF(U106&lt;=0,$F$23,0)+IF(V106&lt;=0,$F$24,0)),MAX(0,$F$5+(Dashboard!$C$11+IF(C106&lt;=0,$F$5,0)+IF(D106&lt;=0,$F$6,0)+IF(E106&lt;=0,$F$7,0)+IF(F106&lt;=0,$F$8,0)+IF(G106&lt;=0,$F$9,0)+IF(H106&lt;=0,$F$10,0)+IF(I106&lt;=0,$F$11,0)+IF(J106&lt;=0,$F$12,0)+IF(K106&lt;=0,$F$13,0)+IF(L106&lt;=0,$F$14,0)+IF(M106&lt;=0,$F$15,0)+IF(N106&lt;=0,$F$16,0)+IF(O106&lt;=0,$F$17,0)+IF(P106&lt;=0,$F$18,0)+IF(Q106&lt;=0,$F$19,0)+IF(R106&lt;=0,$F$20,0)+IF(S106&lt;=0,$F$21,0)+IF(T106&lt;=0,$F$22,0)+IF(U106&lt;=0,$F$23,0)+IF(V106&lt;=0,$F$24,0))-C106-AN107))</f>
        <v/>
      </c>
      <c r="AQ107">
        <f>IF(D106&lt;=0,0,D106*$E$6/12)</f>
        <v/>
      </c>
      <c r="AR107">
        <f>IF(D106&lt;=0,0,MIN(D106+AQ107,$F$6+AP107))</f>
        <v/>
      </c>
      <c r="AS107">
        <f>IF(D106&lt;=0,AP107,MAX(0,$F$6+AP107-D106-AQ107))</f>
        <v/>
      </c>
      <c r="AT107">
        <f>IF(E106&lt;=0,0,E106*$E$7/12)</f>
        <v/>
      </c>
      <c r="AU107">
        <f>IF(E106&lt;=0,0,MIN(E106+AT107,$F$7+AS107))</f>
        <v/>
      </c>
      <c r="AV107">
        <f>IF(E106&lt;=0,AS107,MAX(0,$F$7+AS107-E106-AT107))</f>
        <v/>
      </c>
      <c r="AW107">
        <f>IF(F106&lt;=0,0,F106*$E$8/12)</f>
        <v/>
      </c>
      <c r="AX107">
        <f>IF(F106&lt;=0,0,MIN(F106+AW107,$F$8+AV107))</f>
        <v/>
      </c>
      <c r="AY107">
        <f>IF(F106&lt;=0,AV107,MAX(0,$F$8+AV107-F106-AW107))</f>
        <v/>
      </c>
      <c r="AZ107">
        <f>IF(G106&lt;=0,0,G106*$E$9/12)</f>
        <v/>
      </c>
      <c r="BA107">
        <f>IF(G106&lt;=0,0,MIN(G106+AZ107,$F$9+AY107))</f>
        <v/>
      </c>
      <c r="BB107">
        <f>IF(G106&lt;=0,AY107,MAX(0,$F$9+AY107-G106-AZ107))</f>
        <v/>
      </c>
      <c r="BC107">
        <f>IF(H106&lt;=0,0,H106*$E$10/12)</f>
        <v/>
      </c>
      <c r="BD107">
        <f>IF(H106&lt;=0,0,MIN(H106+BC107,$F$10+BB107))</f>
        <v/>
      </c>
      <c r="BE107">
        <f>IF(H106&lt;=0,BB107,MAX(0,$F$10+BB107-H106-BC107))</f>
        <v/>
      </c>
      <c r="BF107">
        <f>IF(I106&lt;=0,0,I106*$E$11/12)</f>
        <v/>
      </c>
      <c r="BG107">
        <f>IF(I106&lt;=0,0,MIN(I106+BF107,$F$11+BE107))</f>
        <v/>
      </c>
      <c r="BH107">
        <f>IF(I106&lt;=0,BE107,MAX(0,$F$11+BE107-I106-BF107))</f>
        <v/>
      </c>
      <c r="BI107">
        <f>IF(J106&lt;=0,0,J106*$E$12/12)</f>
        <v/>
      </c>
      <c r="BJ107">
        <f>IF(J106&lt;=0,0,MIN(J106+BI107,$F$12+BH107))</f>
        <v/>
      </c>
      <c r="BK107">
        <f>IF(J106&lt;=0,BH107,MAX(0,$F$12+BH107-J106-BI107))</f>
        <v/>
      </c>
      <c r="BL107">
        <f>IF(K106&lt;=0,0,K106*$E$13/12)</f>
        <v/>
      </c>
      <c r="BM107">
        <f>IF(K106&lt;=0,0,MIN(K106+BL107,$F$13+BK107))</f>
        <v/>
      </c>
      <c r="BN107">
        <f>IF(K106&lt;=0,BK107,MAX(0,$F$13+BK107-K106-BL107))</f>
        <v/>
      </c>
      <c r="BO107">
        <f>IF(L106&lt;=0,0,L106*$E$14/12)</f>
        <v/>
      </c>
      <c r="BP107">
        <f>IF(L106&lt;=0,0,MIN(L106+BO107,$F$14+BN107))</f>
        <v/>
      </c>
      <c r="BQ107">
        <f>IF(L106&lt;=0,BN107,MAX(0,$F$14+BN107-L106-BO107))</f>
        <v/>
      </c>
      <c r="BR107">
        <f>IF(M106&lt;=0,0,M106*$E$15/12)</f>
        <v/>
      </c>
      <c r="BS107">
        <f>IF(M106&lt;=0,0,MIN(M106+BR107,$F$15+BQ107))</f>
        <v/>
      </c>
      <c r="BT107">
        <f>IF(M106&lt;=0,BQ107,MAX(0,$F$15+BQ107-M106-BR107))</f>
        <v/>
      </c>
      <c r="BU107">
        <f>IF(N106&lt;=0,0,N106*$E$16/12)</f>
        <v/>
      </c>
      <c r="BV107">
        <f>IF(N106&lt;=0,0,MIN(N106+BU107,$F$16+BT107))</f>
        <v/>
      </c>
      <c r="BW107">
        <f>IF(N106&lt;=0,BT107,MAX(0,$F$16+BT107-N106-BU107))</f>
        <v/>
      </c>
      <c r="BX107">
        <f>IF(O106&lt;=0,0,O106*$E$17/12)</f>
        <v/>
      </c>
      <c r="BY107">
        <f>IF(O106&lt;=0,0,MIN(O106+BX107,$F$17+BW107))</f>
        <v/>
      </c>
      <c r="BZ107">
        <f>IF(O106&lt;=0,BW107,MAX(0,$F$17+BW107-O106-BX107))</f>
        <v/>
      </c>
      <c r="CA107">
        <f>IF(P106&lt;=0,0,P106*$E$18/12)</f>
        <v/>
      </c>
      <c r="CB107">
        <f>IF(P106&lt;=0,0,MIN(P106+CA107,$F$18+BZ107))</f>
        <v/>
      </c>
      <c r="CC107">
        <f>IF(P106&lt;=0,BZ107,MAX(0,$F$18+BZ107-P106-CA107))</f>
        <v/>
      </c>
      <c r="CD107">
        <f>IF(Q106&lt;=0,0,Q106*$E$19/12)</f>
        <v/>
      </c>
      <c r="CE107">
        <f>IF(Q106&lt;=0,0,MIN(Q106+CD107,$F$19+CC107))</f>
        <v/>
      </c>
      <c r="CF107">
        <f>IF(Q106&lt;=0,CC107,MAX(0,$F$19+CC107-Q106-CD107))</f>
        <v/>
      </c>
      <c r="CG107">
        <f>IF(R106&lt;=0,0,R106*$E$20/12)</f>
        <v/>
      </c>
      <c r="CH107">
        <f>IF(R106&lt;=0,0,MIN(R106+CG107,$F$20+CF107))</f>
        <v/>
      </c>
      <c r="CI107">
        <f>IF(R106&lt;=0,CF107,MAX(0,$F$20+CF107-R106-CG107))</f>
        <v/>
      </c>
      <c r="CJ107">
        <f>IF(S106&lt;=0,0,S106*$E$21/12)</f>
        <v/>
      </c>
      <c r="CK107">
        <f>IF(S106&lt;=0,0,MIN(S106+CJ107,$F$21+CI107))</f>
        <v/>
      </c>
      <c r="CL107">
        <f>IF(S106&lt;=0,CI107,MAX(0,$F$21+CI107-S106-CJ107))</f>
        <v/>
      </c>
      <c r="CM107">
        <f>IF(T106&lt;=0,0,T106*$E$22/12)</f>
        <v/>
      </c>
      <c r="CN107">
        <f>IF(T106&lt;=0,0,MIN(T106+CM107,$F$22+CL107))</f>
        <v/>
      </c>
      <c r="CO107">
        <f>IF(T106&lt;=0,CL107,MAX(0,$F$22+CL107-T106-CM107))</f>
        <v/>
      </c>
      <c r="CP107">
        <f>IF(U106&lt;=0,0,U106*$E$23/12)</f>
        <v/>
      </c>
      <c r="CQ107">
        <f>IF(U106&lt;=0,0,MIN(U106+CP107,$F$23+CO107))</f>
        <v/>
      </c>
      <c r="CR107">
        <f>IF(U106&lt;=0,CO107,MAX(0,$F$23+CO107-U106-CP107))</f>
        <v/>
      </c>
      <c r="CS107">
        <f>IF(V106&lt;=0,0,V106*$E$24/12)</f>
        <v/>
      </c>
      <c r="CT107">
        <f>IF(V106&lt;=0,0,MIN(V106+CS107,$F$24+CR107))</f>
        <v/>
      </c>
      <c r="CU107">
        <f>IF(V106&lt;=0,CR107,MAX(0,$F$24+CR107-V106-CS107))</f>
        <v/>
      </c>
    </row>
    <row r="108">
      <c r="B108" s="39" t="n">
        <v>82</v>
      </c>
      <c r="C108" s="13">
        <f>IF(C107&lt;=0,0,MAX(0,C107+AN108-AO108))</f>
        <v/>
      </c>
      <c r="D108" s="13">
        <f>IF(D107&lt;=0,0,MAX(0,D107+AQ108-AR108))</f>
        <v/>
      </c>
      <c r="E108" s="13">
        <f>IF(E107&lt;=0,0,MAX(0,E107+AT108-AU108))</f>
        <v/>
      </c>
      <c r="F108" s="13">
        <f>IF(F107&lt;=0,0,MAX(0,F107+AW108-AX108))</f>
        <v/>
      </c>
      <c r="G108" s="13">
        <f>IF(G107&lt;=0,0,MAX(0,G107+AZ108-BA108))</f>
        <v/>
      </c>
      <c r="H108" s="13">
        <f>IF(H107&lt;=0,0,MAX(0,H107+BC108-BD108))</f>
        <v/>
      </c>
      <c r="I108" s="13">
        <f>IF(I107&lt;=0,0,MAX(0,I107+BF108-BG108))</f>
        <v/>
      </c>
      <c r="J108" s="13">
        <f>IF(J107&lt;=0,0,MAX(0,J107+BI108-BJ108))</f>
        <v/>
      </c>
      <c r="K108" s="13">
        <f>IF(K107&lt;=0,0,MAX(0,K107+BL108-BM108))</f>
        <v/>
      </c>
      <c r="L108" s="13">
        <f>IF(L107&lt;=0,0,MAX(0,L107+BO108-BP108))</f>
        <v/>
      </c>
      <c r="M108" s="13">
        <f>IF(M107&lt;=0,0,MAX(0,M107+BR108-BS108))</f>
        <v/>
      </c>
      <c r="N108" s="13">
        <f>IF(N107&lt;=0,0,MAX(0,N107+BU108-BV108))</f>
        <v/>
      </c>
      <c r="O108" s="13">
        <f>IF(O107&lt;=0,0,MAX(0,O107+BX108-BY108))</f>
        <v/>
      </c>
      <c r="P108" s="13">
        <f>IF(P107&lt;=0,0,MAX(0,P107+CA108-CB108))</f>
        <v/>
      </c>
      <c r="Q108" s="13">
        <f>IF(Q107&lt;=0,0,MAX(0,Q107+CD108-CE108))</f>
        <v/>
      </c>
      <c r="R108" s="13">
        <f>IF(R107&lt;=0,0,MAX(0,R107+CG108-CH108))</f>
        <v/>
      </c>
      <c r="S108" s="13">
        <f>IF(S107&lt;=0,0,MAX(0,S107+CJ108-CK108))</f>
        <v/>
      </c>
      <c r="T108" s="13">
        <f>IF(T107&lt;=0,0,MAX(0,T107+CM108-CN108))</f>
        <v/>
      </c>
      <c r="U108" s="13">
        <f>IF(U107&lt;=0,0,MAX(0,U107+CP108-CQ108))</f>
        <v/>
      </c>
      <c r="V108" s="13">
        <f>IF(V107&lt;=0,0,MAX(0,V107+CS108-CT108))</f>
        <v/>
      </c>
      <c r="W108" s="13">
        <f>AO108+AR108+AU108+AX108+BA108+BD108+BG108+BJ108+BM108+BP108+BS108+BV108+BY108+CB108+CE108+CH108+CK108+CN108+CQ108+CT108</f>
        <v/>
      </c>
      <c r="X108" s="13">
        <f>AN108+AQ108+AT108+AW108+AZ108+BC108+BF108+BI108+BL108+BO108+BR108+BU108+BX108+CA108+CD108+CG108+CJ108+CM108+CP108+CS108</f>
        <v/>
      </c>
      <c r="Y108" s="27">
        <f>C108+D108+E108+F108+G108+H108+I108+J108+K108+L108+M108+N108+O108+P108+Q108+R108+S108+T108+U108+V108</f>
        <v/>
      </c>
      <c r="AN108">
        <f>IF(C107&lt;=0,0,C107*$E$5/12)</f>
        <v/>
      </c>
      <c r="AO108">
        <f>IF(C107&lt;=0,0,MIN(C107+AN108,$F$5+(Dashboard!$C$11+IF(C107&lt;=0,$F$5,0)+IF(D107&lt;=0,$F$6,0)+IF(E107&lt;=0,$F$7,0)+IF(F107&lt;=0,$F$8,0)+IF(G107&lt;=0,$F$9,0)+IF(H107&lt;=0,$F$10,0)+IF(I107&lt;=0,$F$11,0)+IF(J107&lt;=0,$F$12,0)+IF(K107&lt;=0,$F$13,0)+IF(L107&lt;=0,$F$14,0)+IF(M107&lt;=0,$F$15,0)+IF(N107&lt;=0,$F$16,0)+IF(O107&lt;=0,$F$17,0)+IF(P107&lt;=0,$F$18,0)+IF(Q107&lt;=0,$F$19,0)+IF(R107&lt;=0,$F$20,0)+IF(S107&lt;=0,$F$21,0)+IF(T107&lt;=0,$F$22,0)+IF(U107&lt;=0,$F$23,0)+IF(V107&lt;=0,$F$24,0))))</f>
        <v/>
      </c>
      <c r="AP108">
        <f>IF(C107&lt;=0,(Dashboard!$C$11+IF(C107&lt;=0,$F$5,0)+IF(D107&lt;=0,$F$6,0)+IF(E107&lt;=0,$F$7,0)+IF(F107&lt;=0,$F$8,0)+IF(G107&lt;=0,$F$9,0)+IF(H107&lt;=0,$F$10,0)+IF(I107&lt;=0,$F$11,0)+IF(J107&lt;=0,$F$12,0)+IF(K107&lt;=0,$F$13,0)+IF(L107&lt;=0,$F$14,0)+IF(M107&lt;=0,$F$15,0)+IF(N107&lt;=0,$F$16,0)+IF(O107&lt;=0,$F$17,0)+IF(P107&lt;=0,$F$18,0)+IF(Q107&lt;=0,$F$19,0)+IF(R107&lt;=0,$F$20,0)+IF(S107&lt;=0,$F$21,0)+IF(T107&lt;=0,$F$22,0)+IF(U107&lt;=0,$F$23,0)+IF(V107&lt;=0,$F$24,0)),MAX(0,$F$5+(Dashboard!$C$11+IF(C107&lt;=0,$F$5,0)+IF(D107&lt;=0,$F$6,0)+IF(E107&lt;=0,$F$7,0)+IF(F107&lt;=0,$F$8,0)+IF(G107&lt;=0,$F$9,0)+IF(H107&lt;=0,$F$10,0)+IF(I107&lt;=0,$F$11,0)+IF(J107&lt;=0,$F$12,0)+IF(K107&lt;=0,$F$13,0)+IF(L107&lt;=0,$F$14,0)+IF(M107&lt;=0,$F$15,0)+IF(N107&lt;=0,$F$16,0)+IF(O107&lt;=0,$F$17,0)+IF(P107&lt;=0,$F$18,0)+IF(Q107&lt;=0,$F$19,0)+IF(R107&lt;=0,$F$20,0)+IF(S107&lt;=0,$F$21,0)+IF(T107&lt;=0,$F$22,0)+IF(U107&lt;=0,$F$23,0)+IF(V107&lt;=0,$F$24,0))-C107-AN108))</f>
        <v/>
      </c>
      <c r="AQ108">
        <f>IF(D107&lt;=0,0,D107*$E$6/12)</f>
        <v/>
      </c>
      <c r="AR108">
        <f>IF(D107&lt;=0,0,MIN(D107+AQ108,$F$6+AP108))</f>
        <v/>
      </c>
      <c r="AS108">
        <f>IF(D107&lt;=0,AP108,MAX(0,$F$6+AP108-D107-AQ108))</f>
        <v/>
      </c>
      <c r="AT108">
        <f>IF(E107&lt;=0,0,E107*$E$7/12)</f>
        <v/>
      </c>
      <c r="AU108">
        <f>IF(E107&lt;=0,0,MIN(E107+AT108,$F$7+AS108))</f>
        <v/>
      </c>
      <c r="AV108">
        <f>IF(E107&lt;=0,AS108,MAX(0,$F$7+AS108-E107-AT108))</f>
        <v/>
      </c>
      <c r="AW108">
        <f>IF(F107&lt;=0,0,F107*$E$8/12)</f>
        <v/>
      </c>
      <c r="AX108">
        <f>IF(F107&lt;=0,0,MIN(F107+AW108,$F$8+AV108))</f>
        <v/>
      </c>
      <c r="AY108">
        <f>IF(F107&lt;=0,AV108,MAX(0,$F$8+AV108-F107-AW108))</f>
        <v/>
      </c>
      <c r="AZ108">
        <f>IF(G107&lt;=0,0,G107*$E$9/12)</f>
        <v/>
      </c>
      <c r="BA108">
        <f>IF(G107&lt;=0,0,MIN(G107+AZ108,$F$9+AY108))</f>
        <v/>
      </c>
      <c r="BB108">
        <f>IF(G107&lt;=0,AY108,MAX(0,$F$9+AY108-G107-AZ108))</f>
        <v/>
      </c>
      <c r="BC108">
        <f>IF(H107&lt;=0,0,H107*$E$10/12)</f>
        <v/>
      </c>
      <c r="BD108">
        <f>IF(H107&lt;=0,0,MIN(H107+BC108,$F$10+BB108))</f>
        <v/>
      </c>
      <c r="BE108">
        <f>IF(H107&lt;=0,BB108,MAX(0,$F$10+BB108-H107-BC108))</f>
        <v/>
      </c>
      <c r="BF108">
        <f>IF(I107&lt;=0,0,I107*$E$11/12)</f>
        <v/>
      </c>
      <c r="BG108">
        <f>IF(I107&lt;=0,0,MIN(I107+BF108,$F$11+BE108))</f>
        <v/>
      </c>
      <c r="BH108">
        <f>IF(I107&lt;=0,BE108,MAX(0,$F$11+BE108-I107-BF108))</f>
        <v/>
      </c>
      <c r="BI108">
        <f>IF(J107&lt;=0,0,J107*$E$12/12)</f>
        <v/>
      </c>
      <c r="BJ108">
        <f>IF(J107&lt;=0,0,MIN(J107+BI108,$F$12+BH108))</f>
        <v/>
      </c>
      <c r="BK108">
        <f>IF(J107&lt;=0,BH108,MAX(0,$F$12+BH108-J107-BI108))</f>
        <v/>
      </c>
      <c r="BL108">
        <f>IF(K107&lt;=0,0,K107*$E$13/12)</f>
        <v/>
      </c>
      <c r="BM108">
        <f>IF(K107&lt;=0,0,MIN(K107+BL108,$F$13+BK108))</f>
        <v/>
      </c>
      <c r="BN108">
        <f>IF(K107&lt;=0,BK108,MAX(0,$F$13+BK108-K107-BL108))</f>
        <v/>
      </c>
      <c r="BO108">
        <f>IF(L107&lt;=0,0,L107*$E$14/12)</f>
        <v/>
      </c>
      <c r="BP108">
        <f>IF(L107&lt;=0,0,MIN(L107+BO108,$F$14+BN108))</f>
        <v/>
      </c>
      <c r="BQ108">
        <f>IF(L107&lt;=0,BN108,MAX(0,$F$14+BN108-L107-BO108))</f>
        <v/>
      </c>
      <c r="BR108">
        <f>IF(M107&lt;=0,0,M107*$E$15/12)</f>
        <v/>
      </c>
      <c r="BS108">
        <f>IF(M107&lt;=0,0,MIN(M107+BR108,$F$15+BQ108))</f>
        <v/>
      </c>
      <c r="BT108">
        <f>IF(M107&lt;=0,BQ108,MAX(0,$F$15+BQ108-M107-BR108))</f>
        <v/>
      </c>
      <c r="BU108">
        <f>IF(N107&lt;=0,0,N107*$E$16/12)</f>
        <v/>
      </c>
      <c r="BV108">
        <f>IF(N107&lt;=0,0,MIN(N107+BU108,$F$16+BT108))</f>
        <v/>
      </c>
      <c r="BW108">
        <f>IF(N107&lt;=0,BT108,MAX(0,$F$16+BT108-N107-BU108))</f>
        <v/>
      </c>
      <c r="BX108">
        <f>IF(O107&lt;=0,0,O107*$E$17/12)</f>
        <v/>
      </c>
      <c r="BY108">
        <f>IF(O107&lt;=0,0,MIN(O107+BX108,$F$17+BW108))</f>
        <v/>
      </c>
      <c r="BZ108">
        <f>IF(O107&lt;=0,BW108,MAX(0,$F$17+BW108-O107-BX108))</f>
        <v/>
      </c>
      <c r="CA108">
        <f>IF(P107&lt;=0,0,P107*$E$18/12)</f>
        <v/>
      </c>
      <c r="CB108">
        <f>IF(P107&lt;=0,0,MIN(P107+CA108,$F$18+BZ108))</f>
        <v/>
      </c>
      <c r="CC108">
        <f>IF(P107&lt;=0,BZ108,MAX(0,$F$18+BZ108-P107-CA108))</f>
        <v/>
      </c>
      <c r="CD108">
        <f>IF(Q107&lt;=0,0,Q107*$E$19/12)</f>
        <v/>
      </c>
      <c r="CE108">
        <f>IF(Q107&lt;=0,0,MIN(Q107+CD108,$F$19+CC108))</f>
        <v/>
      </c>
      <c r="CF108">
        <f>IF(Q107&lt;=0,CC108,MAX(0,$F$19+CC108-Q107-CD108))</f>
        <v/>
      </c>
      <c r="CG108">
        <f>IF(R107&lt;=0,0,R107*$E$20/12)</f>
        <v/>
      </c>
      <c r="CH108">
        <f>IF(R107&lt;=0,0,MIN(R107+CG108,$F$20+CF108))</f>
        <v/>
      </c>
      <c r="CI108">
        <f>IF(R107&lt;=0,CF108,MAX(0,$F$20+CF108-R107-CG108))</f>
        <v/>
      </c>
      <c r="CJ108">
        <f>IF(S107&lt;=0,0,S107*$E$21/12)</f>
        <v/>
      </c>
      <c r="CK108">
        <f>IF(S107&lt;=0,0,MIN(S107+CJ108,$F$21+CI108))</f>
        <v/>
      </c>
      <c r="CL108">
        <f>IF(S107&lt;=0,CI108,MAX(0,$F$21+CI108-S107-CJ108))</f>
        <v/>
      </c>
      <c r="CM108">
        <f>IF(T107&lt;=0,0,T107*$E$22/12)</f>
        <v/>
      </c>
      <c r="CN108">
        <f>IF(T107&lt;=0,0,MIN(T107+CM108,$F$22+CL108))</f>
        <v/>
      </c>
      <c r="CO108">
        <f>IF(T107&lt;=0,CL108,MAX(0,$F$22+CL108-T107-CM108))</f>
        <v/>
      </c>
      <c r="CP108">
        <f>IF(U107&lt;=0,0,U107*$E$23/12)</f>
        <v/>
      </c>
      <c r="CQ108">
        <f>IF(U107&lt;=0,0,MIN(U107+CP108,$F$23+CO108))</f>
        <v/>
      </c>
      <c r="CR108">
        <f>IF(U107&lt;=0,CO108,MAX(0,$F$23+CO108-U107-CP108))</f>
        <v/>
      </c>
      <c r="CS108">
        <f>IF(V107&lt;=0,0,V107*$E$24/12)</f>
        <v/>
      </c>
      <c r="CT108">
        <f>IF(V107&lt;=0,0,MIN(V107+CS108,$F$24+CR108))</f>
        <v/>
      </c>
      <c r="CU108">
        <f>IF(V107&lt;=0,CR108,MAX(0,$F$24+CR108-V107-CS108))</f>
        <v/>
      </c>
    </row>
    <row r="109">
      <c r="B109" s="39" t="n">
        <v>83</v>
      </c>
      <c r="C109" s="13">
        <f>IF(C108&lt;=0,0,MAX(0,C108+AN109-AO109))</f>
        <v/>
      </c>
      <c r="D109" s="13">
        <f>IF(D108&lt;=0,0,MAX(0,D108+AQ109-AR109))</f>
        <v/>
      </c>
      <c r="E109" s="13">
        <f>IF(E108&lt;=0,0,MAX(0,E108+AT109-AU109))</f>
        <v/>
      </c>
      <c r="F109" s="13">
        <f>IF(F108&lt;=0,0,MAX(0,F108+AW109-AX109))</f>
        <v/>
      </c>
      <c r="G109" s="13">
        <f>IF(G108&lt;=0,0,MAX(0,G108+AZ109-BA109))</f>
        <v/>
      </c>
      <c r="H109" s="13">
        <f>IF(H108&lt;=0,0,MAX(0,H108+BC109-BD109))</f>
        <v/>
      </c>
      <c r="I109" s="13">
        <f>IF(I108&lt;=0,0,MAX(0,I108+BF109-BG109))</f>
        <v/>
      </c>
      <c r="J109" s="13">
        <f>IF(J108&lt;=0,0,MAX(0,J108+BI109-BJ109))</f>
        <v/>
      </c>
      <c r="K109" s="13">
        <f>IF(K108&lt;=0,0,MAX(0,K108+BL109-BM109))</f>
        <v/>
      </c>
      <c r="L109" s="13">
        <f>IF(L108&lt;=0,0,MAX(0,L108+BO109-BP109))</f>
        <v/>
      </c>
      <c r="M109" s="13">
        <f>IF(M108&lt;=0,0,MAX(0,M108+BR109-BS109))</f>
        <v/>
      </c>
      <c r="N109" s="13">
        <f>IF(N108&lt;=0,0,MAX(0,N108+BU109-BV109))</f>
        <v/>
      </c>
      <c r="O109" s="13">
        <f>IF(O108&lt;=0,0,MAX(0,O108+BX109-BY109))</f>
        <v/>
      </c>
      <c r="P109" s="13">
        <f>IF(P108&lt;=0,0,MAX(0,P108+CA109-CB109))</f>
        <v/>
      </c>
      <c r="Q109" s="13">
        <f>IF(Q108&lt;=0,0,MAX(0,Q108+CD109-CE109))</f>
        <v/>
      </c>
      <c r="R109" s="13">
        <f>IF(R108&lt;=0,0,MAX(0,R108+CG109-CH109))</f>
        <v/>
      </c>
      <c r="S109" s="13">
        <f>IF(S108&lt;=0,0,MAX(0,S108+CJ109-CK109))</f>
        <v/>
      </c>
      <c r="T109" s="13">
        <f>IF(T108&lt;=0,0,MAX(0,T108+CM109-CN109))</f>
        <v/>
      </c>
      <c r="U109" s="13">
        <f>IF(U108&lt;=0,0,MAX(0,U108+CP109-CQ109))</f>
        <v/>
      </c>
      <c r="V109" s="13">
        <f>IF(V108&lt;=0,0,MAX(0,V108+CS109-CT109))</f>
        <v/>
      </c>
      <c r="W109" s="13">
        <f>AO109+AR109+AU109+AX109+BA109+BD109+BG109+BJ109+BM109+BP109+BS109+BV109+BY109+CB109+CE109+CH109+CK109+CN109+CQ109+CT109</f>
        <v/>
      </c>
      <c r="X109" s="13">
        <f>AN109+AQ109+AT109+AW109+AZ109+BC109+BF109+BI109+BL109+BO109+BR109+BU109+BX109+CA109+CD109+CG109+CJ109+CM109+CP109+CS109</f>
        <v/>
      </c>
      <c r="Y109" s="27">
        <f>C109+D109+E109+F109+G109+H109+I109+J109+K109+L109+M109+N109+O109+P109+Q109+R109+S109+T109+U109+V109</f>
        <v/>
      </c>
      <c r="AN109">
        <f>IF(C108&lt;=0,0,C108*$E$5/12)</f>
        <v/>
      </c>
      <c r="AO109">
        <f>IF(C108&lt;=0,0,MIN(C108+AN109,$F$5+(Dashboard!$C$11+IF(C108&lt;=0,$F$5,0)+IF(D108&lt;=0,$F$6,0)+IF(E108&lt;=0,$F$7,0)+IF(F108&lt;=0,$F$8,0)+IF(G108&lt;=0,$F$9,0)+IF(H108&lt;=0,$F$10,0)+IF(I108&lt;=0,$F$11,0)+IF(J108&lt;=0,$F$12,0)+IF(K108&lt;=0,$F$13,0)+IF(L108&lt;=0,$F$14,0)+IF(M108&lt;=0,$F$15,0)+IF(N108&lt;=0,$F$16,0)+IF(O108&lt;=0,$F$17,0)+IF(P108&lt;=0,$F$18,0)+IF(Q108&lt;=0,$F$19,0)+IF(R108&lt;=0,$F$20,0)+IF(S108&lt;=0,$F$21,0)+IF(T108&lt;=0,$F$22,0)+IF(U108&lt;=0,$F$23,0)+IF(V108&lt;=0,$F$24,0))))</f>
        <v/>
      </c>
      <c r="AP109">
        <f>IF(C108&lt;=0,(Dashboard!$C$11+IF(C108&lt;=0,$F$5,0)+IF(D108&lt;=0,$F$6,0)+IF(E108&lt;=0,$F$7,0)+IF(F108&lt;=0,$F$8,0)+IF(G108&lt;=0,$F$9,0)+IF(H108&lt;=0,$F$10,0)+IF(I108&lt;=0,$F$11,0)+IF(J108&lt;=0,$F$12,0)+IF(K108&lt;=0,$F$13,0)+IF(L108&lt;=0,$F$14,0)+IF(M108&lt;=0,$F$15,0)+IF(N108&lt;=0,$F$16,0)+IF(O108&lt;=0,$F$17,0)+IF(P108&lt;=0,$F$18,0)+IF(Q108&lt;=0,$F$19,0)+IF(R108&lt;=0,$F$20,0)+IF(S108&lt;=0,$F$21,0)+IF(T108&lt;=0,$F$22,0)+IF(U108&lt;=0,$F$23,0)+IF(V108&lt;=0,$F$24,0)),MAX(0,$F$5+(Dashboard!$C$11+IF(C108&lt;=0,$F$5,0)+IF(D108&lt;=0,$F$6,0)+IF(E108&lt;=0,$F$7,0)+IF(F108&lt;=0,$F$8,0)+IF(G108&lt;=0,$F$9,0)+IF(H108&lt;=0,$F$10,0)+IF(I108&lt;=0,$F$11,0)+IF(J108&lt;=0,$F$12,0)+IF(K108&lt;=0,$F$13,0)+IF(L108&lt;=0,$F$14,0)+IF(M108&lt;=0,$F$15,0)+IF(N108&lt;=0,$F$16,0)+IF(O108&lt;=0,$F$17,0)+IF(P108&lt;=0,$F$18,0)+IF(Q108&lt;=0,$F$19,0)+IF(R108&lt;=0,$F$20,0)+IF(S108&lt;=0,$F$21,0)+IF(T108&lt;=0,$F$22,0)+IF(U108&lt;=0,$F$23,0)+IF(V108&lt;=0,$F$24,0))-C108-AN109))</f>
        <v/>
      </c>
      <c r="AQ109">
        <f>IF(D108&lt;=0,0,D108*$E$6/12)</f>
        <v/>
      </c>
      <c r="AR109">
        <f>IF(D108&lt;=0,0,MIN(D108+AQ109,$F$6+AP109))</f>
        <v/>
      </c>
      <c r="AS109">
        <f>IF(D108&lt;=0,AP109,MAX(0,$F$6+AP109-D108-AQ109))</f>
        <v/>
      </c>
      <c r="AT109">
        <f>IF(E108&lt;=0,0,E108*$E$7/12)</f>
        <v/>
      </c>
      <c r="AU109">
        <f>IF(E108&lt;=0,0,MIN(E108+AT109,$F$7+AS109))</f>
        <v/>
      </c>
      <c r="AV109">
        <f>IF(E108&lt;=0,AS109,MAX(0,$F$7+AS109-E108-AT109))</f>
        <v/>
      </c>
      <c r="AW109">
        <f>IF(F108&lt;=0,0,F108*$E$8/12)</f>
        <v/>
      </c>
      <c r="AX109">
        <f>IF(F108&lt;=0,0,MIN(F108+AW109,$F$8+AV109))</f>
        <v/>
      </c>
      <c r="AY109">
        <f>IF(F108&lt;=0,AV109,MAX(0,$F$8+AV109-F108-AW109))</f>
        <v/>
      </c>
      <c r="AZ109">
        <f>IF(G108&lt;=0,0,G108*$E$9/12)</f>
        <v/>
      </c>
      <c r="BA109">
        <f>IF(G108&lt;=0,0,MIN(G108+AZ109,$F$9+AY109))</f>
        <v/>
      </c>
      <c r="BB109">
        <f>IF(G108&lt;=0,AY109,MAX(0,$F$9+AY109-G108-AZ109))</f>
        <v/>
      </c>
      <c r="BC109">
        <f>IF(H108&lt;=0,0,H108*$E$10/12)</f>
        <v/>
      </c>
      <c r="BD109">
        <f>IF(H108&lt;=0,0,MIN(H108+BC109,$F$10+BB109))</f>
        <v/>
      </c>
      <c r="BE109">
        <f>IF(H108&lt;=0,BB109,MAX(0,$F$10+BB109-H108-BC109))</f>
        <v/>
      </c>
      <c r="BF109">
        <f>IF(I108&lt;=0,0,I108*$E$11/12)</f>
        <v/>
      </c>
      <c r="BG109">
        <f>IF(I108&lt;=0,0,MIN(I108+BF109,$F$11+BE109))</f>
        <v/>
      </c>
      <c r="BH109">
        <f>IF(I108&lt;=0,BE109,MAX(0,$F$11+BE109-I108-BF109))</f>
        <v/>
      </c>
      <c r="BI109">
        <f>IF(J108&lt;=0,0,J108*$E$12/12)</f>
        <v/>
      </c>
      <c r="BJ109">
        <f>IF(J108&lt;=0,0,MIN(J108+BI109,$F$12+BH109))</f>
        <v/>
      </c>
      <c r="BK109">
        <f>IF(J108&lt;=0,BH109,MAX(0,$F$12+BH109-J108-BI109))</f>
        <v/>
      </c>
      <c r="BL109">
        <f>IF(K108&lt;=0,0,K108*$E$13/12)</f>
        <v/>
      </c>
      <c r="BM109">
        <f>IF(K108&lt;=0,0,MIN(K108+BL109,$F$13+BK109))</f>
        <v/>
      </c>
      <c r="BN109">
        <f>IF(K108&lt;=0,BK109,MAX(0,$F$13+BK109-K108-BL109))</f>
        <v/>
      </c>
      <c r="BO109">
        <f>IF(L108&lt;=0,0,L108*$E$14/12)</f>
        <v/>
      </c>
      <c r="BP109">
        <f>IF(L108&lt;=0,0,MIN(L108+BO109,$F$14+BN109))</f>
        <v/>
      </c>
      <c r="BQ109">
        <f>IF(L108&lt;=0,BN109,MAX(0,$F$14+BN109-L108-BO109))</f>
        <v/>
      </c>
      <c r="BR109">
        <f>IF(M108&lt;=0,0,M108*$E$15/12)</f>
        <v/>
      </c>
      <c r="BS109">
        <f>IF(M108&lt;=0,0,MIN(M108+BR109,$F$15+BQ109))</f>
        <v/>
      </c>
      <c r="BT109">
        <f>IF(M108&lt;=0,BQ109,MAX(0,$F$15+BQ109-M108-BR109))</f>
        <v/>
      </c>
      <c r="BU109">
        <f>IF(N108&lt;=0,0,N108*$E$16/12)</f>
        <v/>
      </c>
      <c r="BV109">
        <f>IF(N108&lt;=0,0,MIN(N108+BU109,$F$16+BT109))</f>
        <v/>
      </c>
      <c r="BW109">
        <f>IF(N108&lt;=0,BT109,MAX(0,$F$16+BT109-N108-BU109))</f>
        <v/>
      </c>
      <c r="BX109">
        <f>IF(O108&lt;=0,0,O108*$E$17/12)</f>
        <v/>
      </c>
      <c r="BY109">
        <f>IF(O108&lt;=0,0,MIN(O108+BX109,$F$17+BW109))</f>
        <v/>
      </c>
      <c r="BZ109">
        <f>IF(O108&lt;=0,BW109,MAX(0,$F$17+BW109-O108-BX109))</f>
        <v/>
      </c>
      <c r="CA109">
        <f>IF(P108&lt;=0,0,P108*$E$18/12)</f>
        <v/>
      </c>
      <c r="CB109">
        <f>IF(P108&lt;=0,0,MIN(P108+CA109,$F$18+BZ109))</f>
        <v/>
      </c>
      <c r="CC109">
        <f>IF(P108&lt;=0,BZ109,MAX(0,$F$18+BZ109-P108-CA109))</f>
        <v/>
      </c>
      <c r="CD109">
        <f>IF(Q108&lt;=0,0,Q108*$E$19/12)</f>
        <v/>
      </c>
      <c r="CE109">
        <f>IF(Q108&lt;=0,0,MIN(Q108+CD109,$F$19+CC109))</f>
        <v/>
      </c>
      <c r="CF109">
        <f>IF(Q108&lt;=0,CC109,MAX(0,$F$19+CC109-Q108-CD109))</f>
        <v/>
      </c>
      <c r="CG109">
        <f>IF(R108&lt;=0,0,R108*$E$20/12)</f>
        <v/>
      </c>
      <c r="CH109">
        <f>IF(R108&lt;=0,0,MIN(R108+CG109,$F$20+CF109))</f>
        <v/>
      </c>
      <c r="CI109">
        <f>IF(R108&lt;=0,CF109,MAX(0,$F$20+CF109-R108-CG109))</f>
        <v/>
      </c>
      <c r="CJ109">
        <f>IF(S108&lt;=0,0,S108*$E$21/12)</f>
        <v/>
      </c>
      <c r="CK109">
        <f>IF(S108&lt;=0,0,MIN(S108+CJ109,$F$21+CI109))</f>
        <v/>
      </c>
      <c r="CL109">
        <f>IF(S108&lt;=0,CI109,MAX(0,$F$21+CI109-S108-CJ109))</f>
        <v/>
      </c>
      <c r="CM109">
        <f>IF(T108&lt;=0,0,T108*$E$22/12)</f>
        <v/>
      </c>
      <c r="CN109">
        <f>IF(T108&lt;=0,0,MIN(T108+CM109,$F$22+CL109))</f>
        <v/>
      </c>
      <c r="CO109">
        <f>IF(T108&lt;=0,CL109,MAX(0,$F$22+CL109-T108-CM109))</f>
        <v/>
      </c>
      <c r="CP109">
        <f>IF(U108&lt;=0,0,U108*$E$23/12)</f>
        <v/>
      </c>
      <c r="CQ109">
        <f>IF(U108&lt;=0,0,MIN(U108+CP109,$F$23+CO109))</f>
        <v/>
      </c>
      <c r="CR109">
        <f>IF(U108&lt;=0,CO109,MAX(0,$F$23+CO109-U108-CP109))</f>
        <v/>
      </c>
      <c r="CS109">
        <f>IF(V108&lt;=0,0,V108*$E$24/12)</f>
        <v/>
      </c>
      <c r="CT109">
        <f>IF(V108&lt;=0,0,MIN(V108+CS109,$F$24+CR109))</f>
        <v/>
      </c>
      <c r="CU109">
        <f>IF(V108&lt;=0,CR109,MAX(0,$F$24+CR109-V108-CS109))</f>
        <v/>
      </c>
    </row>
    <row r="110">
      <c r="B110" s="39" t="n">
        <v>84</v>
      </c>
      <c r="C110" s="13">
        <f>IF(C109&lt;=0,0,MAX(0,C109+AN110-AO110))</f>
        <v/>
      </c>
      <c r="D110" s="13">
        <f>IF(D109&lt;=0,0,MAX(0,D109+AQ110-AR110))</f>
        <v/>
      </c>
      <c r="E110" s="13">
        <f>IF(E109&lt;=0,0,MAX(0,E109+AT110-AU110))</f>
        <v/>
      </c>
      <c r="F110" s="13">
        <f>IF(F109&lt;=0,0,MAX(0,F109+AW110-AX110))</f>
        <v/>
      </c>
      <c r="G110" s="13">
        <f>IF(G109&lt;=0,0,MAX(0,G109+AZ110-BA110))</f>
        <v/>
      </c>
      <c r="H110" s="13">
        <f>IF(H109&lt;=0,0,MAX(0,H109+BC110-BD110))</f>
        <v/>
      </c>
      <c r="I110" s="13">
        <f>IF(I109&lt;=0,0,MAX(0,I109+BF110-BG110))</f>
        <v/>
      </c>
      <c r="J110" s="13">
        <f>IF(J109&lt;=0,0,MAX(0,J109+BI110-BJ110))</f>
        <v/>
      </c>
      <c r="K110" s="13">
        <f>IF(K109&lt;=0,0,MAX(0,K109+BL110-BM110))</f>
        <v/>
      </c>
      <c r="L110" s="13">
        <f>IF(L109&lt;=0,0,MAX(0,L109+BO110-BP110))</f>
        <v/>
      </c>
      <c r="M110" s="13">
        <f>IF(M109&lt;=0,0,MAX(0,M109+BR110-BS110))</f>
        <v/>
      </c>
      <c r="N110" s="13">
        <f>IF(N109&lt;=0,0,MAX(0,N109+BU110-BV110))</f>
        <v/>
      </c>
      <c r="O110" s="13">
        <f>IF(O109&lt;=0,0,MAX(0,O109+BX110-BY110))</f>
        <v/>
      </c>
      <c r="P110" s="13">
        <f>IF(P109&lt;=0,0,MAX(0,P109+CA110-CB110))</f>
        <v/>
      </c>
      <c r="Q110" s="13">
        <f>IF(Q109&lt;=0,0,MAX(0,Q109+CD110-CE110))</f>
        <v/>
      </c>
      <c r="R110" s="13">
        <f>IF(R109&lt;=0,0,MAX(0,R109+CG110-CH110))</f>
        <v/>
      </c>
      <c r="S110" s="13">
        <f>IF(S109&lt;=0,0,MAX(0,S109+CJ110-CK110))</f>
        <v/>
      </c>
      <c r="T110" s="13">
        <f>IF(T109&lt;=0,0,MAX(0,T109+CM110-CN110))</f>
        <v/>
      </c>
      <c r="U110" s="13">
        <f>IF(U109&lt;=0,0,MAX(0,U109+CP110-CQ110))</f>
        <v/>
      </c>
      <c r="V110" s="13">
        <f>IF(V109&lt;=0,0,MAX(0,V109+CS110-CT110))</f>
        <v/>
      </c>
      <c r="W110" s="13">
        <f>AO110+AR110+AU110+AX110+BA110+BD110+BG110+BJ110+BM110+BP110+BS110+BV110+BY110+CB110+CE110+CH110+CK110+CN110+CQ110+CT110</f>
        <v/>
      </c>
      <c r="X110" s="13">
        <f>AN110+AQ110+AT110+AW110+AZ110+BC110+BF110+BI110+BL110+BO110+BR110+BU110+BX110+CA110+CD110+CG110+CJ110+CM110+CP110+CS110</f>
        <v/>
      </c>
      <c r="Y110" s="27">
        <f>C110+D110+E110+F110+G110+H110+I110+J110+K110+L110+M110+N110+O110+P110+Q110+R110+S110+T110+U110+V110</f>
        <v/>
      </c>
      <c r="AN110">
        <f>IF(C109&lt;=0,0,C109*$E$5/12)</f>
        <v/>
      </c>
      <c r="AO110">
        <f>IF(C109&lt;=0,0,MIN(C109+AN110,$F$5+(Dashboard!$C$11+IF(C109&lt;=0,$F$5,0)+IF(D109&lt;=0,$F$6,0)+IF(E109&lt;=0,$F$7,0)+IF(F109&lt;=0,$F$8,0)+IF(G109&lt;=0,$F$9,0)+IF(H109&lt;=0,$F$10,0)+IF(I109&lt;=0,$F$11,0)+IF(J109&lt;=0,$F$12,0)+IF(K109&lt;=0,$F$13,0)+IF(L109&lt;=0,$F$14,0)+IF(M109&lt;=0,$F$15,0)+IF(N109&lt;=0,$F$16,0)+IF(O109&lt;=0,$F$17,0)+IF(P109&lt;=0,$F$18,0)+IF(Q109&lt;=0,$F$19,0)+IF(R109&lt;=0,$F$20,0)+IF(S109&lt;=0,$F$21,0)+IF(T109&lt;=0,$F$22,0)+IF(U109&lt;=0,$F$23,0)+IF(V109&lt;=0,$F$24,0))))</f>
        <v/>
      </c>
      <c r="AP110">
        <f>IF(C109&lt;=0,(Dashboard!$C$11+IF(C109&lt;=0,$F$5,0)+IF(D109&lt;=0,$F$6,0)+IF(E109&lt;=0,$F$7,0)+IF(F109&lt;=0,$F$8,0)+IF(G109&lt;=0,$F$9,0)+IF(H109&lt;=0,$F$10,0)+IF(I109&lt;=0,$F$11,0)+IF(J109&lt;=0,$F$12,0)+IF(K109&lt;=0,$F$13,0)+IF(L109&lt;=0,$F$14,0)+IF(M109&lt;=0,$F$15,0)+IF(N109&lt;=0,$F$16,0)+IF(O109&lt;=0,$F$17,0)+IF(P109&lt;=0,$F$18,0)+IF(Q109&lt;=0,$F$19,0)+IF(R109&lt;=0,$F$20,0)+IF(S109&lt;=0,$F$21,0)+IF(T109&lt;=0,$F$22,0)+IF(U109&lt;=0,$F$23,0)+IF(V109&lt;=0,$F$24,0)),MAX(0,$F$5+(Dashboard!$C$11+IF(C109&lt;=0,$F$5,0)+IF(D109&lt;=0,$F$6,0)+IF(E109&lt;=0,$F$7,0)+IF(F109&lt;=0,$F$8,0)+IF(G109&lt;=0,$F$9,0)+IF(H109&lt;=0,$F$10,0)+IF(I109&lt;=0,$F$11,0)+IF(J109&lt;=0,$F$12,0)+IF(K109&lt;=0,$F$13,0)+IF(L109&lt;=0,$F$14,0)+IF(M109&lt;=0,$F$15,0)+IF(N109&lt;=0,$F$16,0)+IF(O109&lt;=0,$F$17,0)+IF(P109&lt;=0,$F$18,0)+IF(Q109&lt;=0,$F$19,0)+IF(R109&lt;=0,$F$20,0)+IF(S109&lt;=0,$F$21,0)+IF(T109&lt;=0,$F$22,0)+IF(U109&lt;=0,$F$23,0)+IF(V109&lt;=0,$F$24,0))-C109-AN110))</f>
        <v/>
      </c>
      <c r="AQ110">
        <f>IF(D109&lt;=0,0,D109*$E$6/12)</f>
        <v/>
      </c>
      <c r="AR110">
        <f>IF(D109&lt;=0,0,MIN(D109+AQ110,$F$6+AP110))</f>
        <v/>
      </c>
      <c r="AS110">
        <f>IF(D109&lt;=0,AP110,MAX(0,$F$6+AP110-D109-AQ110))</f>
        <v/>
      </c>
      <c r="AT110">
        <f>IF(E109&lt;=0,0,E109*$E$7/12)</f>
        <v/>
      </c>
      <c r="AU110">
        <f>IF(E109&lt;=0,0,MIN(E109+AT110,$F$7+AS110))</f>
        <v/>
      </c>
      <c r="AV110">
        <f>IF(E109&lt;=0,AS110,MAX(0,$F$7+AS110-E109-AT110))</f>
        <v/>
      </c>
      <c r="AW110">
        <f>IF(F109&lt;=0,0,F109*$E$8/12)</f>
        <v/>
      </c>
      <c r="AX110">
        <f>IF(F109&lt;=0,0,MIN(F109+AW110,$F$8+AV110))</f>
        <v/>
      </c>
      <c r="AY110">
        <f>IF(F109&lt;=0,AV110,MAX(0,$F$8+AV110-F109-AW110))</f>
        <v/>
      </c>
      <c r="AZ110">
        <f>IF(G109&lt;=0,0,G109*$E$9/12)</f>
        <v/>
      </c>
      <c r="BA110">
        <f>IF(G109&lt;=0,0,MIN(G109+AZ110,$F$9+AY110))</f>
        <v/>
      </c>
      <c r="BB110">
        <f>IF(G109&lt;=0,AY110,MAX(0,$F$9+AY110-G109-AZ110))</f>
        <v/>
      </c>
      <c r="BC110">
        <f>IF(H109&lt;=0,0,H109*$E$10/12)</f>
        <v/>
      </c>
      <c r="BD110">
        <f>IF(H109&lt;=0,0,MIN(H109+BC110,$F$10+BB110))</f>
        <v/>
      </c>
      <c r="BE110">
        <f>IF(H109&lt;=0,BB110,MAX(0,$F$10+BB110-H109-BC110))</f>
        <v/>
      </c>
      <c r="BF110">
        <f>IF(I109&lt;=0,0,I109*$E$11/12)</f>
        <v/>
      </c>
      <c r="BG110">
        <f>IF(I109&lt;=0,0,MIN(I109+BF110,$F$11+BE110))</f>
        <v/>
      </c>
      <c r="BH110">
        <f>IF(I109&lt;=0,BE110,MAX(0,$F$11+BE110-I109-BF110))</f>
        <v/>
      </c>
      <c r="BI110">
        <f>IF(J109&lt;=0,0,J109*$E$12/12)</f>
        <v/>
      </c>
      <c r="BJ110">
        <f>IF(J109&lt;=0,0,MIN(J109+BI110,$F$12+BH110))</f>
        <v/>
      </c>
      <c r="BK110">
        <f>IF(J109&lt;=0,BH110,MAX(0,$F$12+BH110-J109-BI110))</f>
        <v/>
      </c>
      <c r="BL110">
        <f>IF(K109&lt;=0,0,K109*$E$13/12)</f>
        <v/>
      </c>
      <c r="BM110">
        <f>IF(K109&lt;=0,0,MIN(K109+BL110,$F$13+BK110))</f>
        <v/>
      </c>
      <c r="BN110">
        <f>IF(K109&lt;=0,BK110,MAX(0,$F$13+BK110-K109-BL110))</f>
        <v/>
      </c>
      <c r="BO110">
        <f>IF(L109&lt;=0,0,L109*$E$14/12)</f>
        <v/>
      </c>
      <c r="BP110">
        <f>IF(L109&lt;=0,0,MIN(L109+BO110,$F$14+BN110))</f>
        <v/>
      </c>
      <c r="BQ110">
        <f>IF(L109&lt;=0,BN110,MAX(0,$F$14+BN110-L109-BO110))</f>
        <v/>
      </c>
      <c r="BR110">
        <f>IF(M109&lt;=0,0,M109*$E$15/12)</f>
        <v/>
      </c>
      <c r="BS110">
        <f>IF(M109&lt;=0,0,MIN(M109+BR110,$F$15+BQ110))</f>
        <v/>
      </c>
      <c r="BT110">
        <f>IF(M109&lt;=0,BQ110,MAX(0,$F$15+BQ110-M109-BR110))</f>
        <v/>
      </c>
      <c r="BU110">
        <f>IF(N109&lt;=0,0,N109*$E$16/12)</f>
        <v/>
      </c>
      <c r="BV110">
        <f>IF(N109&lt;=0,0,MIN(N109+BU110,$F$16+BT110))</f>
        <v/>
      </c>
      <c r="BW110">
        <f>IF(N109&lt;=0,BT110,MAX(0,$F$16+BT110-N109-BU110))</f>
        <v/>
      </c>
      <c r="BX110">
        <f>IF(O109&lt;=0,0,O109*$E$17/12)</f>
        <v/>
      </c>
      <c r="BY110">
        <f>IF(O109&lt;=0,0,MIN(O109+BX110,$F$17+BW110))</f>
        <v/>
      </c>
      <c r="BZ110">
        <f>IF(O109&lt;=0,BW110,MAX(0,$F$17+BW110-O109-BX110))</f>
        <v/>
      </c>
      <c r="CA110">
        <f>IF(P109&lt;=0,0,P109*$E$18/12)</f>
        <v/>
      </c>
      <c r="CB110">
        <f>IF(P109&lt;=0,0,MIN(P109+CA110,$F$18+BZ110))</f>
        <v/>
      </c>
      <c r="CC110">
        <f>IF(P109&lt;=0,BZ110,MAX(0,$F$18+BZ110-P109-CA110))</f>
        <v/>
      </c>
      <c r="CD110">
        <f>IF(Q109&lt;=0,0,Q109*$E$19/12)</f>
        <v/>
      </c>
      <c r="CE110">
        <f>IF(Q109&lt;=0,0,MIN(Q109+CD110,$F$19+CC110))</f>
        <v/>
      </c>
      <c r="CF110">
        <f>IF(Q109&lt;=0,CC110,MAX(0,$F$19+CC110-Q109-CD110))</f>
        <v/>
      </c>
      <c r="CG110">
        <f>IF(R109&lt;=0,0,R109*$E$20/12)</f>
        <v/>
      </c>
      <c r="CH110">
        <f>IF(R109&lt;=0,0,MIN(R109+CG110,$F$20+CF110))</f>
        <v/>
      </c>
      <c r="CI110">
        <f>IF(R109&lt;=0,CF110,MAX(0,$F$20+CF110-R109-CG110))</f>
        <v/>
      </c>
      <c r="CJ110">
        <f>IF(S109&lt;=0,0,S109*$E$21/12)</f>
        <v/>
      </c>
      <c r="CK110">
        <f>IF(S109&lt;=0,0,MIN(S109+CJ110,$F$21+CI110))</f>
        <v/>
      </c>
      <c r="CL110">
        <f>IF(S109&lt;=0,CI110,MAX(0,$F$21+CI110-S109-CJ110))</f>
        <v/>
      </c>
      <c r="CM110">
        <f>IF(T109&lt;=0,0,T109*$E$22/12)</f>
        <v/>
      </c>
      <c r="CN110">
        <f>IF(T109&lt;=0,0,MIN(T109+CM110,$F$22+CL110))</f>
        <v/>
      </c>
      <c r="CO110">
        <f>IF(T109&lt;=0,CL110,MAX(0,$F$22+CL110-T109-CM110))</f>
        <v/>
      </c>
      <c r="CP110">
        <f>IF(U109&lt;=0,0,U109*$E$23/12)</f>
        <v/>
      </c>
      <c r="CQ110">
        <f>IF(U109&lt;=0,0,MIN(U109+CP110,$F$23+CO110))</f>
        <v/>
      </c>
      <c r="CR110">
        <f>IF(U109&lt;=0,CO110,MAX(0,$F$23+CO110-U109-CP110))</f>
        <v/>
      </c>
      <c r="CS110">
        <f>IF(V109&lt;=0,0,V109*$E$24/12)</f>
        <v/>
      </c>
      <c r="CT110">
        <f>IF(V109&lt;=0,0,MIN(V109+CS110,$F$24+CR110))</f>
        <v/>
      </c>
      <c r="CU110">
        <f>IF(V109&lt;=0,CR110,MAX(0,$F$24+CR110-V109-CS110))</f>
        <v/>
      </c>
    </row>
    <row r="111">
      <c r="B111" s="39" t="n">
        <v>85</v>
      </c>
      <c r="C111" s="13">
        <f>IF(C110&lt;=0,0,MAX(0,C110+AN111-AO111))</f>
        <v/>
      </c>
      <c r="D111" s="13">
        <f>IF(D110&lt;=0,0,MAX(0,D110+AQ111-AR111))</f>
        <v/>
      </c>
      <c r="E111" s="13">
        <f>IF(E110&lt;=0,0,MAX(0,E110+AT111-AU111))</f>
        <v/>
      </c>
      <c r="F111" s="13">
        <f>IF(F110&lt;=0,0,MAX(0,F110+AW111-AX111))</f>
        <v/>
      </c>
      <c r="G111" s="13">
        <f>IF(G110&lt;=0,0,MAX(0,G110+AZ111-BA111))</f>
        <v/>
      </c>
      <c r="H111" s="13">
        <f>IF(H110&lt;=0,0,MAX(0,H110+BC111-BD111))</f>
        <v/>
      </c>
      <c r="I111" s="13">
        <f>IF(I110&lt;=0,0,MAX(0,I110+BF111-BG111))</f>
        <v/>
      </c>
      <c r="J111" s="13">
        <f>IF(J110&lt;=0,0,MAX(0,J110+BI111-BJ111))</f>
        <v/>
      </c>
      <c r="K111" s="13">
        <f>IF(K110&lt;=0,0,MAX(0,K110+BL111-BM111))</f>
        <v/>
      </c>
      <c r="L111" s="13">
        <f>IF(L110&lt;=0,0,MAX(0,L110+BO111-BP111))</f>
        <v/>
      </c>
      <c r="M111" s="13">
        <f>IF(M110&lt;=0,0,MAX(0,M110+BR111-BS111))</f>
        <v/>
      </c>
      <c r="N111" s="13">
        <f>IF(N110&lt;=0,0,MAX(0,N110+BU111-BV111))</f>
        <v/>
      </c>
      <c r="O111" s="13">
        <f>IF(O110&lt;=0,0,MAX(0,O110+BX111-BY111))</f>
        <v/>
      </c>
      <c r="P111" s="13">
        <f>IF(P110&lt;=0,0,MAX(0,P110+CA111-CB111))</f>
        <v/>
      </c>
      <c r="Q111" s="13">
        <f>IF(Q110&lt;=0,0,MAX(0,Q110+CD111-CE111))</f>
        <v/>
      </c>
      <c r="R111" s="13">
        <f>IF(R110&lt;=0,0,MAX(0,R110+CG111-CH111))</f>
        <v/>
      </c>
      <c r="S111" s="13">
        <f>IF(S110&lt;=0,0,MAX(0,S110+CJ111-CK111))</f>
        <v/>
      </c>
      <c r="T111" s="13">
        <f>IF(T110&lt;=0,0,MAX(0,T110+CM111-CN111))</f>
        <v/>
      </c>
      <c r="U111" s="13">
        <f>IF(U110&lt;=0,0,MAX(0,U110+CP111-CQ111))</f>
        <v/>
      </c>
      <c r="V111" s="13">
        <f>IF(V110&lt;=0,0,MAX(0,V110+CS111-CT111))</f>
        <v/>
      </c>
      <c r="W111" s="13">
        <f>AO111+AR111+AU111+AX111+BA111+BD111+BG111+BJ111+BM111+BP111+BS111+BV111+BY111+CB111+CE111+CH111+CK111+CN111+CQ111+CT111</f>
        <v/>
      </c>
      <c r="X111" s="13">
        <f>AN111+AQ111+AT111+AW111+AZ111+BC111+BF111+BI111+BL111+BO111+BR111+BU111+BX111+CA111+CD111+CG111+CJ111+CM111+CP111+CS111</f>
        <v/>
      </c>
      <c r="Y111" s="27">
        <f>C111+D111+E111+F111+G111+H111+I111+J111+K111+L111+M111+N111+O111+P111+Q111+R111+S111+T111+U111+V111</f>
        <v/>
      </c>
      <c r="AN111">
        <f>IF(C110&lt;=0,0,C110*$E$5/12)</f>
        <v/>
      </c>
      <c r="AO111">
        <f>IF(C110&lt;=0,0,MIN(C110+AN111,$F$5+(Dashboard!$C$11+IF(C110&lt;=0,$F$5,0)+IF(D110&lt;=0,$F$6,0)+IF(E110&lt;=0,$F$7,0)+IF(F110&lt;=0,$F$8,0)+IF(G110&lt;=0,$F$9,0)+IF(H110&lt;=0,$F$10,0)+IF(I110&lt;=0,$F$11,0)+IF(J110&lt;=0,$F$12,0)+IF(K110&lt;=0,$F$13,0)+IF(L110&lt;=0,$F$14,0)+IF(M110&lt;=0,$F$15,0)+IF(N110&lt;=0,$F$16,0)+IF(O110&lt;=0,$F$17,0)+IF(P110&lt;=0,$F$18,0)+IF(Q110&lt;=0,$F$19,0)+IF(R110&lt;=0,$F$20,0)+IF(S110&lt;=0,$F$21,0)+IF(T110&lt;=0,$F$22,0)+IF(U110&lt;=0,$F$23,0)+IF(V110&lt;=0,$F$24,0))))</f>
        <v/>
      </c>
      <c r="AP111">
        <f>IF(C110&lt;=0,(Dashboard!$C$11+IF(C110&lt;=0,$F$5,0)+IF(D110&lt;=0,$F$6,0)+IF(E110&lt;=0,$F$7,0)+IF(F110&lt;=0,$F$8,0)+IF(G110&lt;=0,$F$9,0)+IF(H110&lt;=0,$F$10,0)+IF(I110&lt;=0,$F$11,0)+IF(J110&lt;=0,$F$12,0)+IF(K110&lt;=0,$F$13,0)+IF(L110&lt;=0,$F$14,0)+IF(M110&lt;=0,$F$15,0)+IF(N110&lt;=0,$F$16,0)+IF(O110&lt;=0,$F$17,0)+IF(P110&lt;=0,$F$18,0)+IF(Q110&lt;=0,$F$19,0)+IF(R110&lt;=0,$F$20,0)+IF(S110&lt;=0,$F$21,0)+IF(T110&lt;=0,$F$22,0)+IF(U110&lt;=0,$F$23,0)+IF(V110&lt;=0,$F$24,0)),MAX(0,$F$5+(Dashboard!$C$11+IF(C110&lt;=0,$F$5,0)+IF(D110&lt;=0,$F$6,0)+IF(E110&lt;=0,$F$7,0)+IF(F110&lt;=0,$F$8,0)+IF(G110&lt;=0,$F$9,0)+IF(H110&lt;=0,$F$10,0)+IF(I110&lt;=0,$F$11,0)+IF(J110&lt;=0,$F$12,0)+IF(K110&lt;=0,$F$13,0)+IF(L110&lt;=0,$F$14,0)+IF(M110&lt;=0,$F$15,0)+IF(N110&lt;=0,$F$16,0)+IF(O110&lt;=0,$F$17,0)+IF(P110&lt;=0,$F$18,0)+IF(Q110&lt;=0,$F$19,0)+IF(R110&lt;=0,$F$20,0)+IF(S110&lt;=0,$F$21,0)+IF(T110&lt;=0,$F$22,0)+IF(U110&lt;=0,$F$23,0)+IF(V110&lt;=0,$F$24,0))-C110-AN111))</f>
        <v/>
      </c>
      <c r="AQ111">
        <f>IF(D110&lt;=0,0,D110*$E$6/12)</f>
        <v/>
      </c>
      <c r="AR111">
        <f>IF(D110&lt;=0,0,MIN(D110+AQ111,$F$6+AP111))</f>
        <v/>
      </c>
      <c r="AS111">
        <f>IF(D110&lt;=0,AP111,MAX(0,$F$6+AP111-D110-AQ111))</f>
        <v/>
      </c>
      <c r="AT111">
        <f>IF(E110&lt;=0,0,E110*$E$7/12)</f>
        <v/>
      </c>
      <c r="AU111">
        <f>IF(E110&lt;=0,0,MIN(E110+AT111,$F$7+AS111))</f>
        <v/>
      </c>
      <c r="AV111">
        <f>IF(E110&lt;=0,AS111,MAX(0,$F$7+AS111-E110-AT111))</f>
        <v/>
      </c>
      <c r="AW111">
        <f>IF(F110&lt;=0,0,F110*$E$8/12)</f>
        <v/>
      </c>
      <c r="AX111">
        <f>IF(F110&lt;=0,0,MIN(F110+AW111,$F$8+AV111))</f>
        <v/>
      </c>
      <c r="AY111">
        <f>IF(F110&lt;=0,AV111,MAX(0,$F$8+AV111-F110-AW111))</f>
        <v/>
      </c>
      <c r="AZ111">
        <f>IF(G110&lt;=0,0,G110*$E$9/12)</f>
        <v/>
      </c>
      <c r="BA111">
        <f>IF(G110&lt;=0,0,MIN(G110+AZ111,$F$9+AY111))</f>
        <v/>
      </c>
      <c r="BB111">
        <f>IF(G110&lt;=0,AY111,MAX(0,$F$9+AY111-G110-AZ111))</f>
        <v/>
      </c>
      <c r="BC111">
        <f>IF(H110&lt;=0,0,H110*$E$10/12)</f>
        <v/>
      </c>
      <c r="BD111">
        <f>IF(H110&lt;=0,0,MIN(H110+BC111,$F$10+BB111))</f>
        <v/>
      </c>
      <c r="BE111">
        <f>IF(H110&lt;=0,BB111,MAX(0,$F$10+BB111-H110-BC111))</f>
        <v/>
      </c>
      <c r="BF111">
        <f>IF(I110&lt;=0,0,I110*$E$11/12)</f>
        <v/>
      </c>
      <c r="BG111">
        <f>IF(I110&lt;=0,0,MIN(I110+BF111,$F$11+BE111))</f>
        <v/>
      </c>
      <c r="BH111">
        <f>IF(I110&lt;=0,BE111,MAX(0,$F$11+BE111-I110-BF111))</f>
        <v/>
      </c>
      <c r="BI111">
        <f>IF(J110&lt;=0,0,J110*$E$12/12)</f>
        <v/>
      </c>
      <c r="BJ111">
        <f>IF(J110&lt;=0,0,MIN(J110+BI111,$F$12+BH111))</f>
        <v/>
      </c>
      <c r="BK111">
        <f>IF(J110&lt;=0,BH111,MAX(0,$F$12+BH111-J110-BI111))</f>
        <v/>
      </c>
      <c r="BL111">
        <f>IF(K110&lt;=0,0,K110*$E$13/12)</f>
        <v/>
      </c>
      <c r="BM111">
        <f>IF(K110&lt;=0,0,MIN(K110+BL111,$F$13+BK111))</f>
        <v/>
      </c>
      <c r="BN111">
        <f>IF(K110&lt;=0,BK111,MAX(0,$F$13+BK111-K110-BL111))</f>
        <v/>
      </c>
      <c r="BO111">
        <f>IF(L110&lt;=0,0,L110*$E$14/12)</f>
        <v/>
      </c>
      <c r="BP111">
        <f>IF(L110&lt;=0,0,MIN(L110+BO111,$F$14+BN111))</f>
        <v/>
      </c>
      <c r="BQ111">
        <f>IF(L110&lt;=0,BN111,MAX(0,$F$14+BN111-L110-BO111))</f>
        <v/>
      </c>
      <c r="BR111">
        <f>IF(M110&lt;=0,0,M110*$E$15/12)</f>
        <v/>
      </c>
      <c r="BS111">
        <f>IF(M110&lt;=0,0,MIN(M110+BR111,$F$15+BQ111))</f>
        <v/>
      </c>
      <c r="BT111">
        <f>IF(M110&lt;=0,BQ111,MAX(0,$F$15+BQ111-M110-BR111))</f>
        <v/>
      </c>
      <c r="BU111">
        <f>IF(N110&lt;=0,0,N110*$E$16/12)</f>
        <v/>
      </c>
      <c r="BV111">
        <f>IF(N110&lt;=0,0,MIN(N110+BU111,$F$16+BT111))</f>
        <v/>
      </c>
      <c r="BW111">
        <f>IF(N110&lt;=0,BT111,MAX(0,$F$16+BT111-N110-BU111))</f>
        <v/>
      </c>
      <c r="BX111">
        <f>IF(O110&lt;=0,0,O110*$E$17/12)</f>
        <v/>
      </c>
      <c r="BY111">
        <f>IF(O110&lt;=0,0,MIN(O110+BX111,$F$17+BW111))</f>
        <v/>
      </c>
      <c r="BZ111">
        <f>IF(O110&lt;=0,BW111,MAX(0,$F$17+BW111-O110-BX111))</f>
        <v/>
      </c>
      <c r="CA111">
        <f>IF(P110&lt;=0,0,P110*$E$18/12)</f>
        <v/>
      </c>
      <c r="CB111">
        <f>IF(P110&lt;=0,0,MIN(P110+CA111,$F$18+BZ111))</f>
        <v/>
      </c>
      <c r="CC111">
        <f>IF(P110&lt;=0,BZ111,MAX(0,$F$18+BZ111-P110-CA111))</f>
        <v/>
      </c>
      <c r="CD111">
        <f>IF(Q110&lt;=0,0,Q110*$E$19/12)</f>
        <v/>
      </c>
      <c r="CE111">
        <f>IF(Q110&lt;=0,0,MIN(Q110+CD111,$F$19+CC111))</f>
        <v/>
      </c>
      <c r="CF111">
        <f>IF(Q110&lt;=0,CC111,MAX(0,$F$19+CC111-Q110-CD111))</f>
        <v/>
      </c>
      <c r="CG111">
        <f>IF(R110&lt;=0,0,R110*$E$20/12)</f>
        <v/>
      </c>
      <c r="CH111">
        <f>IF(R110&lt;=0,0,MIN(R110+CG111,$F$20+CF111))</f>
        <v/>
      </c>
      <c r="CI111">
        <f>IF(R110&lt;=0,CF111,MAX(0,$F$20+CF111-R110-CG111))</f>
        <v/>
      </c>
      <c r="CJ111">
        <f>IF(S110&lt;=0,0,S110*$E$21/12)</f>
        <v/>
      </c>
      <c r="CK111">
        <f>IF(S110&lt;=0,0,MIN(S110+CJ111,$F$21+CI111))</f>
        <v/>
      </c>
      <c r="CL111">
        <f>IF(S110&lt;=0,CI111,MAX(0,$F$21+CI111-S110-CJ111))</f>
        <v/>
      </c>
      <c r="CM111">
        <f>IF(T110&lt;=0,0,T110*$E$22/12)</f>
        <v/>
      </c>
      <c r="CN111">
        <f>IF(T110&lt;=0,0,MIN(T110+CM111,$F$22+CL111))</f>
        <v/>
      </c>
      <c r="CO111">
        <f>IF(T110&lt;=0,CL111,MAX(0,$F$22+CL111-T110-CM111))</f>
        <v/>
      </c>
      <c r="CP111">
        <f>IF(U110&lt;=0,0,U110*$E$23/12)</f>
        <v/>
      </c>
      <c r="CQ111">
        <f>IF(U110&lt;=0,0,MIN(U110+CP111,$F$23+CO111))</f>
        <v/>
      </c>
      <c r="CR111">
        <f>IF(U110&lt;=0,CO111,MAX(0,$F$23+CO111-U110-CP111))</f>
        <v/>
      </c>
      <c r="CS111">
        <f>IF(V110&lt;=0,0,V110*$E$24/12)</f>
        <v/>
      </c>
      <c r="CT111">
        <f>IF(V110&lt;=0,0,MIN(V110+CS111,$F$24+CR111))</f>
        <v/>
      </c>
      <c r="CU111">
        <f>IF(V110&lt;=0,CR111,MAX(0,$F$24+CR111-V110-CS111))</f>
        <v/>
      </c>
    </row>
    <row r="112">
      <c r="B112" s="39" t="n">
        <v>86</v>
      </c>
      <c r="C112" s="13">
        <f>IF(C111&lt;=0,0,MAX(0,C111+AN112-AO112))</f>
        <v/>
      </c>
      <c r="D112" s="13">
        <f>IF(D111&lt;=0,0,MAX(0,D111+AQ112-AR112))</f>
        <v/>
      </c>
      <c r="E112" s="13">
        <f>IF(E111&lt;=0,0,MAX(0,E111+AT112-AU112))</f>
        <v/>
      </c>
      <c r="F112" s="13">
        <f>IF(F111&lt;=0,0,MAX(0,F111+AW112-AX112))</f>
        <v/>
      </c>
      <c r="G112" s="13">
        <f>IF(G111&lt;=0,0,MAX(0,G111+AZ112-BA112))</f>
        <v/>
      </c>
      <c r="H112" s="13">
        <f>IF(H111&lt;=0,0,MAX(0,H111+BC112-BD112))</f>
        <v/>
      </c>
      <c r="I112" s="13">
        <f>IF(I111&lt;=0,0,MAX(0,I111+BF112-BG112))</f>
        <v/>
      </c>
      <c r="J112" s="13">
        <f>IF(J111&lt;=0,0,MAX(0,J111+BI112-BJ112))</f>
        <v/>
      </c>
      <c r="K112" s="13">
        <f>IF(K111&lt;=0,0,MAX(0,K111+BL112-BM112))</f>
        <v/>
      </c>
      <c r="L112" s="13">
        <f>IF(L111&lt;=0,0,MAX(0,L111+BO112-BP112))</f>
        <v/>
      </c>
      <c r="M112" s="13">
        <f>IF(M111&lt;=0,0,MAX(0,M111+BR112-BS112))</f>
        <v/>
      </c>
      <c r="N112" s="13">
        <f>IF(N111&lt;=0,0,MAX(0,N111+BU112-BV112))</f>
        <v/>
      </c>
      <c r="O112" s="13">
        <f>IF(O111&lt;=0,0,MAX(0,O111+BX112-BY112))</f>
        <v/>
      </c>
      <c r="P112" s="13">
        <f>IF(P111&lt;=0,0,MAX(0,P111+CA112-CB112))</f>
        <v/>
      </c>
      <c r="Q112" s="13">
        <f>IF(Q111&lt;=0,0,MAX(0,Q111+CD112-CE112))</f>
        <v/>
      </c>
      <c r="R112" s="13">
        <f>IF(R111&lt;=0,0,MAX(0,R111+CG112-CH112))</f>
        <v/>
      </c>
      <c r="S112" s="13">
        <f>IF(S111&lt;=0,0,MAX(0,S111+CJ112-CK112))</f>
        <v/>
      </c>
      <c r="T112" s="13">
        <f>IF(T111&lt;=0,0,MAX(0,T111+CM112-CN112))</f>
        <v/>
      </c>
      <c r="U112" s="13">
        <f>IF(U111&lt;=0,0,MAX(0,U111+CP112-CQ112))</f>
        <v/>
      </c>
      <c r="V112" s="13">
        <f>IF(V111&lt;=0,0,MAX(0,V111+CS112-CT112))</f>
        <v/>
      </c>
      <c r="W112" s="13">
        <f>AO112+AR112+AU112+AX112+BA112+BD112+BG112+BJ112+BM112+BP112+BS112+BV112+BY112+CB112+CE112+CH112+CK112+CN112+CQ112+CT112</f>
        <v/>
      </c>
      <c r="X112" s="13">
        <f>AN112+AQ112+AT112+AW112+AZ112+BC112+BF112+BI112+BL112+BO112+BR112+BU112+BX112+CA112+CD112+CG112+CJ112+CM112+CP112+CS112</f>
        <v/>
      </c>
      <c r="Y112" s="27">
        <f>C112+D112+E112+F112+G112+H112+I112+J112+K112+L112+M112+N112+O112+P112+Q112+R112+S112+T112+U112+V112</f>
        <v/>
      </c>
      <c r="AN112">
        <f>IF(C111&lt;=0,0,C111*$E$5/12)</f>
        <v/>
      </c>
      <c r="AO112">
        <f>IF(C111&lt;=0,0,MIN(C111+AN112,$F$5+(Dashboard!$C$11+IF(C111&lt;=0,$F$5,0)+IF(D111&lt;=0,$F$6,0)+IF(E111&lt;=0,$F$7,0)+IF(F111&lt;=0,$F$8,0)+IF(G111&lt;=0,$F$9,0)+IF(H111&lt;=0,$F$10,0)+IF(I111&lt;=0,$F$11,0)+IF(J111&lt;=0,$F$12,0)+IF(K111&lt;=0,$F$13,0)+IF(L111&lt;=0,$F$14,0)+IF(M111&lt;=0,$F$15,0)+IF(N111&lt;=0,$F$16,0)+IF(O111&lt;=0,$F$17,0)+IF(P111&lt;=0,$F$18,0)+IF(Q111&lt;=0,$F$19,0)+IF(R111&lt;=0,$F$20,0)+IF(S111&lt;=0,$F$21,0)+IF(T111&lt;=0,$F$22,0)+IF(U111&lt;=0,$F$23,0)+IF(V111&lt;=0,$F$24,0))))</f>
        <v/>
      </c>
      <c r="AP112">
        <f>IF(C111&lt;=0,(Dashboard!$C$11+IF(C111&lt;=0,$F$5,0)+IF(D111&lt;=0,$F$6,0)+IF(E111&lt;=0,$F$7,0)+IF(F111&lt;=0,$F$8,0)+IF(G111&lt;=0,$F$9,0)+IF(H111&lt;=0,$F$10,0)+IF(I111&lt;=0,$F$11,0)+IF(J111&lt;=0,$F$12,0)+IF(K111&lt;=0,$F$13,0)+IF(L111&lt;=0,$F$14,0)+IF(M111&lt;=0,$F$15,0)+IF(N111&lt;=0,$F$16,0)+IF(O111&lt;=0,$F$17,0)+IF(P111&lt;=0,$F$18,0)+IF(Q111&lt;=0,$F$19,0)+IF(R111&lt;=0,$F$20,0)+IF(S111&lt;=0,$F$21,0)+IF(T111&lt;=0,$F$22,0)+IF(U111&lt;=0,$F$23,0)+IF(V111&lt;=0,$F$24,0)),MAX(0,$F$5+(Dashboard!$C$11+IF(C111&lt;=0,$F$5,0)+IF(D111&lt;=0,$F$6,0)+IF(E111&lt;=0,$F$7,0)+IF(F111&lt;=0,$F$8,0)+IF(G111&lt;=0,$F$9,0)+IF(H111&lt;=0,$F$10,0)+IF(I111&lt;=0,$F$11,0)+IF(J111&lt;=0,$F$12,0)+IF(K111&lt;=0,$F$13,0)+IF(L111&lt;=0,$F$14,0)+IF(M111&lt;=0,$F$15,0)+IF(N111&lt;=0,$F$16,0)+IF(O111&lt;=0,$F$17,0)+IF(P111&lt;=0,$F$18,0)+IF(Q111&lt;=0,$F$19,0)+IF(R111&lt;=0,$F$20,0)+IF(S111&lt;=0,$F$21,0)+IF(T111&lt;=0,$F$22,0)+IF(U111&lt;=0,$F$23,0)+IF(V111&lt;=0,$F$24,0))-C111-AN112))</f>
        <v/>
      </c>
      <c r="AQ112">
        <f>IF(D111&lt;=0,0,D111*$E$6/12)</f>
        <v/>
      </c>
      <c r="AR112">
        <f>IF(D111&lt;=0,0,MIN(D111+AQ112,$F$6+AP112))</f>
        <v/>
      </c>
      <c r="AS112">
        <f>IF(D111&lt;=0,AP112,MAX(0,$F$6+AP112-D111-AQ112))</f>
        <v/>
      </c>
      <c r="AT112">
        <f>IF(E111&lt;=0,0,E111*$E$7/12)</f>
        <v/>
      </c>
      <c r="AU112">
        <f>IF(E111&lt;=0,0,MIN(E111+AT112,$F$7+AS112))</f>
        <v/>
      </c>
      <c r="AV112">
        <f>IF(E111&lt;=0,AS112,MAX(0,$F$7+AS112-E111-AT112))</f>
        <v/>
      </c>
      <c r="AW112">
        <f>IF(F111&lt;=0,0,F111*$E$8/12)</f>
        <v/>
      </c>
      <c r="AX112">
        <f>IF(F111&lt;=0,0,MIN(F111+AW112,$F$8+AV112))</f>
        <v/>
      </c>
      <c r="AY112">
        <f>IF(F111&lt;=0,AV112,MAX(0,$F$8+AV112-F111-AW112))</f>
        <v/>
      </c>
      <c r="AZ112">
        <f>IF(G111&lt;=0,0,G111*$E$9/12)</f>
        <v/>
      </c>
      <c r="BA112">
        <f>IF(G111&lt;=0,0,MIN(G111+AZ112,$F$9+AY112))</f>
        <v/>
      </c>
      <c r="BB112">
        <f>IF(G111&lt;=0,AY112,MAX(0,$F$9+AY112-G111-AZ112))</f>
        <v/>
      </c>
      <c r="BC112">
        <f>IF(H111&lt;=0,0,H111*$E$10/12)</f>
        <v/>
      </c>
      <c r="BD112">
        <f>IF(H111&lt;=0,0,MIN(H111+BC112,$F$10+BB112))</f>
        <v/>
      </c>
      <c r="BE112">
        <f>IF(H111&lt;=0,BB112,MAX(0,$F$10+BB112-H111-BC112))</f>
        <v/>
      </c>
      <c r="BF112">
        <f>IF(I111&lt;=0,0,I111*$E$11/12)</f>
        <v/>
      </c>
      <c r="BG112">
        <f>IF(I111&lt;=0,0,MIN(I111+BF112,$F$11+BE112))</f>
        <v/>
      </c>
      <c r="BH112">
        <f>IF(I111&lt;=0,BE112,MAX(0,$F$11+BE112-I111-BF112))</f>
        <v/>
      </c>
      <c r="BI112">
        <f>IF(J111&lt;=0,0,J111*$E$12/12)</f>
        <v/>
      </c>
      <c r="BJ112">
        <f>IF(J111&lt;=0,0,MIN(J111+BI112,$F$12+BH112))</f>
        <v/>
      </c>
      <c r="BK112">
        <f>IF(J111&lt;=0,BH112,MAX(0,$F$12+BH112-J111-BI112))</f>
        <v/>
      </c>
      <c r="BL112">
        <f>IF(K111&lt;=0,0,K111*$E$13/12)</f>
        <v/>
      </c>
      <c r="BM112">
        <f>IF(K111&lt;=0,0,MIN(K111+BL112,$F$13+BK112))</f>
        <v/>
      </c>
      <c r="BN112">
        <f>IF(K111&lt;=0,BK112,MAX(0,$F$13+BK112-K111-BL112))</f>
        <v/>
      </c>
      <c r="BO112">
        <f>IF(L111&lt;=0,0,L111*$E$14/12)</f>
        <v/>
      </c>
      <c r="BP112">
        <f>IF(L111&lt;=0,0,MIN(L111+BO112,$F$14+BN112))</f>
        <v/>
      </c>
      <c r="BQ112">
        <f>IF(L111&lt;=0,BN112,MAX(0,$F$14+BN112-L111-BO112))</f>
        <v/>
      </c>
      <c r="BR112">
        <f>IF(M111&lt;=0,0,M111*$E$15/12)</f>
        <v/>
      </c>
      <c r="BS112">
        <f>IF(M111&lt;=0,0,MIN(M111+BR112,$F$15+BQ112))</f>
        <v/>
      </c>
      <c r="BT112">
        <f>IF(M111&lt;=0,BQ112,MAX(0,$F$15+BQ112-M111-BR112))</f>
        <v/>
      </c>
      <c r="BU112">
        <f>IF(N111&lt;=0,0,N111*$E$16/12)</f>
        <v/>
      </c>
      <c r="BV112">
        <f>IF(N111&lt;=0,0,MIN(N111+BU112,$F$16+BT112))</f>
        <v/>
      </c>
      <c r="BW112">
        <f>IF(N111&lt;=0,BT112,MAX(0,$F$16+BT112-N111-BU112))</f>
        <v/>
      </c>
      <c r="BX112">
        <f>IF(O111&lt;=0,0,O111*$E$17/12)</f>
        <v/>
      </c>
      <c r="BY112">
        <f>IF(O111&lt;=0,0,MIN(O111+BX112,$F$17+BW112))</f>
        <v/>
      </c>
      <c r="BZ112">
        <f>IF(O111&lt;=0,BW112,MAX(0,$F$17+BW112-O111-BX112))</f>
        <v/>
      </c>
      <c r="CA112">
        <f>IF(P111&lt;=0,0,P111*$E$18/12)</f>
        <v/>
      </c>
      <c r="CB112">
        <f>IF(P111&lt;=0,0,MIN(P111+CA112,$F$18+BZ112))</f>
        <v/>
      </c>
      <c r="CC112">
        <f>IF(P111&lt;=0,BZ112,MAX(0,$F$18+BZ112-P111-CA112))</f>
        <v/>
      </c>
      <c r="CD112">
        <f>IF(Q111&lt;=0,0,Q111*$E$19/12)</f>
        <v/>
      </c>
      <c r="CE112">
        <f>IF(Q111&lt;=0,0,MIN(Q111+CD112,$F$19+CC112))</f>
        <v/>
      </c>
      <c r="CF112">
        <f>IF(Q111&lt;=0,CC112,MAX(0,$F$19+CC112-Q111-CD112))</f>
        <v/>
      </c>
      <c r="CG112">
        <f>IF(R111&lt;=0,0,R111*$E$20/12)</f>
        <v/>
      </c>
      <c r="CH112">
        <f>IF(R111&lt;=0,0,MIN(R111+CG112,$F$20+CF112))</f>
        <v/>
      </c>
      <c r="CI112">
        <f>IF(R111&lt;=0,CF112,MAX(0,$F$20+CF112-R111-CG112))</f>
        <v/>
      </c>
      <c r="CJ112">
        <f>IF(S111&lt;=0,0,S111*$E$21/12)</f>
        <v/>
      </c>
      <c r="CK112">
        <f>IF(S111&lt;=0,0,MIN(S111+CJ112,$F$21+CI112))</f>
        <v/>
      </c>
      <c r="CL112">
        <f>IF(S111&lt;=0,CI112,MAX(0,$F$21+CI112-S111-CJ112))</f>
        <v/>
      </c>
      <c r="CM112">
        <f>IF(T111&lt;=0,0,T111*$E$22/12)</f>
        <v/>
      </c>
      <c r="CN112">
        <f>IF(T111&lt;=0,0,MIN(T111+CM112,$F$22+CL112))</f>
        <v/>
      </c>
      <c r="CO112">
        <f>IF(T111&lt;=0,CL112,MAX(0,$F$22+CL112-T111-CM112))</f>
        <v/>
      </c>
      <c r="CP112">
        <f>IF(U111&lt;=0,0,U111*$E$23/12)</f>
        <v/>
      </c>
      <c r="CQ112">
        <f>IF(U111&lt;=0,0,MIN(U111+CP112,$F$23+CO112))</f>
        <v/>
      </c>
      <c r="CR112">
        <f>IF(U111&lt;=0,CO112,MAX(0,$F$23+CO112-U111-CP112))</f>
        <v/>
      </c>
      <c r="CS112">
        <f>IF(V111&lt;=0,0,V111*$E$24/12)</f>
        <v/>
      </c>
      <c r="CT112">
        <f>IF(V111&lt;=0,0,MIN(V111+CS112,$F$24+CR112))</f>
        <v/>
      </c>
      <c r="CU112">
        <f>IF(V111&lt;=0,CR112,MAX(0,$F$24+CR112-V111-CS112))</f>
        <v/>
      </c>
    </row>
    <row r="113">
      <c r="B113" s="39" t="n">
        <v>87</v>
      </c>
      <c r="C113" s="13">
        <f>IF(C112&lt;=0,0,MAX(0,C112+AN113-AO113))</f>
        <v/>
      </c>
      <c r="D113" s="13">
        <f>IF(D112&lt;=0,0,MAX(0,D112+AQ113-AR113))</f>
        <v/>
      </c>
      <c r="E113" s="13">
        <f>IF(E112&lt;=0,0,MAX(0,E112+AT113-AU113))</f>
        <v/>
      </c>
      <c r="F113" s="13">
        <f>IF(F112&lt;=0,0,MAX(0,F112+AW113-AX113))</f>
        <v/>
      </c>
      <c r="G113" s="13">
        <f>IF(G112&lt;=0,0,MAX(0,G112+AZ113-BA113))</f>
        <v/>
      </c>
      <c r="H113" s="13">
        <f>IF(H112&lt;=0,0,MAX(0,H112+BC113-BD113))</f>
        <v/>
      </c>
      <c r="I113" s="13">
        <f>IF(I112&lt;=0,0,MAX(0,I112+BF113-BG113))</f>
        <v/>
      </c>
      <c r="J113" s="13">
        <f>IF(J112&lt;=0,0,MAX(0,J112+BI113-BJ113))</f>
        <v/>
      </c>
      <c r="K113" s="13">
        <f>IF(K112&lt;=0,0,MAX(0,K112+BL113-BM113))</f>
        <v/>
      </c>
      <c r="L113" s="13">
        <f>IF(L112&lt;=0,0,MAX(0,L112+BO113-BP113))</f>
        <v/>
      </c>
      <c r="M113" s="13">
        <f>IF(M112&lt;=0,0,MAX(0,M112+BR113-BS113))</f>
        <v/>
      </c>
      <c r="N113" s="13">
        <f>IF(N112&lt;=0,0,MAX(0,N112+BU113-BV113))</f>
        <v/>
      </c>
      <c r="O113" s="13">
        <f>IF(O112&lt;=0,0,MAX(0,O112+BX113-BY113))</f>
        <v/>
      </c>
      <c r="P113" s="13">
        <f>IF(P112&lt;=0,0,MAX(0,P112+CA113-CB113))</f>
        <v/>
      </c>
      <c r="Q113" s="13">
        <f>IF(Q112&lt;=0,0,MAX(0,Q112+CD113-CE113))</f>
        <v/>
      </c>
      <c r="R113" s="13">
        <f>IF(R112&lt;=0,0,MAX(0,R112+CG113-CH113))</f>
        <v/>
      </c>
      <c r="S113" s="13">
        <f>IF(S112&lt;=0,0,MAX(0,S112+CJ113-CK113))</f>
        <v/>
      </c>
      <c r="T113" s="13">
        <f>IF(T112&lt;=0,0,MAX(0,T112+CM113-CN113))</f>
        <v/>
      </c>
      <c r="U113" s="13">
        <f>IF(U112&lt;=0,0,MAX(0,U112+CP113-CQ113))</f>
        <v/>
      </c>
      <c r="V113" s="13">
        <f>IF(V112&lt;=0,0,MAX(0,V112+CS113-CT113))</f>
        <v/>
      </c>
      <c r="W113" s="13">
        <f>AO113+AR113+AU113+AX113+BA113+BD113+BG113+BJ113+BM113+BP113+BS113+BV113+BY113+CB113+CE113+CH113+CK113+CN113+CQ113+CT113</f>
        <v/>
      </c>
      <c r="X113" s="13">
        <f>AN113+AQ113+AT113+AW113+AZ113+BC113+BF113+BI113+BL113+BO113+BR113+BU113+BX113+CA113+CD113+CG113+CJ113+CM113+CP113+CS113</f>
        <v/>
      </c>
      <c r="Y113" s="27">
        <f>C113+D113+E113+F113+G113+H113+I113+J113+K113+L113+M113+N113+O113+P113+Q113+R113+S113+T113+U113+V113</f>
        <v/>
      </c>
      <c r="AN113">
        <f>IF(C112&lt;=0,0,C112*$E$5/12)</f>
        <v/>
      </c>
      <c r="AO113">
        <f>IF(C112&lt;=0,0,MIN(C112+AN113,$F$5+(Dashboard!$C$11+IF(C112&lt;=0,$F$5,0)+IF(D112&lt;=0,$F$6,0)+IF(E112&lt;=0,$F$7,0)+IF(F112&lt;=0,$F$8,0)+IF(G112&lt;=0,$F$9,0)+IF(H112&lt;=0,$F$10,0)+IF(I112&lt;=0,$F$11,0)+IF(J112&lt;=0,$F$12,0)+IF(K112&lt;=0,$F$13,0)+IF(L112&lt;=0,$F$14,0)+IF(M112&lt;=0,$F$15,0)+IF(N112&lt;=0,$F$16,0)+IF(O112&lt;=0,$F$17,0)+IF(P112&lt;=0,$F$18,0)+IF(Q112&lt;=0,$F$19,0)+IF(R112&lt;=0,$F$20,0)+IF(S112&lt;=0,$F$21,0)+IF(T112&lt;=0,$F$22,0)+IF(U112&lt;=0,$F$23,0)+IF(V112&lt;=0,$F$24,0))))</f>
        <v/>
      </c>
      <c r="AP113">
        <f>IF(C112&lt;=0,(Dashboard!$C$11+IF(C112&lt;=0,$F$5,0)+IF(D112&lt;=0,$F$6,0)+IF(E112&lt;=0,$F$7,0)+IF(F112&lt;=0,$F$8,0)+IF(G112&lt;=0,$F$9,0)+IF(H112&lt;=0,$F$10,0)+IF(I112&lt;=0,$F$11,0)+IF(J112&lt;=0,$F$12,0)+IF(K112&lt;=0,$F$13,0)+IF(L112&lt;=0,$F$14,0)+IF(M112&lt;=0,$F$15,0)+IF(N112&lt;=0,$F$16,0)+IF(O112&lt;=0,$F$17,0)+IF(P112&lt;=0,$F$18,0)+IF(Q112&lt;=0,$F$19,0)+IF(R112&lt;=0,$F$20,0)+IF(S112&lt;=0,$F$21,0)+IF(T112&lt;=0,$F$22,0)+IF(U112&lt;=0,$F$23,0)+IF(V112&lt;=0,$F$24,0)),MAX(0,$F$5+(Dashboard!$C$11+IF(C112&lt;=0,$F$5,0)+IF(D112&lt;=0,$F$6,0)+IF(E112&lt;=0,$F$7,0)+IF(F112&lt;=0,$F$8,0)+IF(G112&lt;=0,$F$9,0)+IF(H112&lt;=0,$F$10,0)+IF(I112&lt;=0,$F$11,0)+IF(J112&lt;=0,$F$12,0)+IF(K112&lt;=0,$F$13,0)+IF(L112&lt;=0,$F$14,0)+IF(M112&lt;=0,$F$15,0)+IF(N112&lt;=0,$F$16,0)+IF(O112&lt;=0,$F$17,0)+IF(P112&lt;=0,$F$18,0)+IF(Q112&lt;=0,$F$19,0)+IF(R112&lt;=0,$F$20,0)+IF(S112&lt;=0,$F$21,0)+IF(T112&lt;=0,$F$22,0)+IF(U112&lt;=0,$F$23,0)+IF(V112&lt;=0,$F$24,0))-C112-AN113))</f>
        <v/>
      </c>
      <c r="AQ113">
        <f>IF(D112&lt;=0,0,D112*$E$6/12)</f>
        <v/>
      </c>
      <c r="AR113">
        <f>IF(D112&lt;=0,0,MIN(D112+AQ113,$F$6+AP113))</f>
        <v/>
      </c>
      <c r="AS113">
        <f>IF(D112&lt;=0,AP113,MAX(0,$F$6+AP113-D112-AQ113))</f>
        <v/>
      </c>
      <c r="AT113">
        <f>IF(E112&lt;=0,0,E112*$E$7/12)</f>
        <v/>
      </c>
      <c r="AU113">
        <f>IF(E112&lt;=0,0,MIN(E112+AT113,$F$7+AS113))</f>
        <v/>
      </c>
      <c r="AV113">
        <f>IF(E112&lt;=0,AS113,MAX(0,$F$7+AS113-E112-AT113))</f>
        <v/>
      </c>
      <c r="AW113">
        <f>IF(F112&lt;=0,0,F112*$E$8/12)</f>
        <v/>
      </c>
      <c r="AX113">
        <f>IF(F112&lt;=0,0,MIN(F112+AW113,$F$8+AV113))</f>
        <v/>
      </c>
      <c r="AY113">
        <f>IF(F112&lt;=0,AV113,MAX(0,$F$8+AV113-F112-AW113))</f>
        <v/>
      </c>
      <c r="AZ113">
        <f>IF(G112&lt;=0,0,G112*$E$9/12)</f>
        <v/>
      </c>
      <c r="BA113">
        <f>IF(G112&lt;=0,0,MIN(G112+AZ113,$F$9+AY113))</f>
        <v/>
      </c>
      <c r="BB113">
        <f>IF(G112&lt;=0,AY113,MAX(0,$F$9+AY113-G112-AZ113))</f>
        <v/>
      </c>
      <c r="BC113">
        <f>IF(H112&lt;=0,0,H112*$E$10/12)</f>
        <v/>
      </c>
      <c r="BD113">
        <f>IF(H112&lt;=0,0,MIN(H112+BC113,$F$10+BB113))</f>
        <v/>
      </c>
      <c r="BE113">
        <f>IF(H112&lt;=0,BB113,MAX(0,$F$10+BB113-H112-BC113))</f>
        <v/>
      </c>
      <c r="BF113">
        <f>IF(I112&lt;=0,0,I112*$E$11/12)</f>
        <v/>
      </c>
      <c r="BG113">
        <f>IF(I112&lt;=0,0,MIN(I112+BF113,$F$11+BE113))</f>
        <v/>
      </c>
      <c r="BH113">
        <f>IF(I112&lt;=0,BE113,MAX(0,$F$11+BE113-I112-BF113))</f>
        <v/>
      </c>
      <c r="BI113">
        <f>IF(J112&lt;=0,0,J112*$E$12/12)</f>
        <v/>
      </c>
      <c r="BJ113">
        <f>IF(J112&lt;=0,0,MIN(J112+BI113,$F$12+BH113))</f>
        <v/>
      </c>
      <c r="BK113">
        <f>IF(J112&lt;=0,BH113,MAX(0,$F$12+BH113-J112-BI113))</f>
        <v/>
      </c>
      <c r="BL113">
        <f>IF(K112&lt;=0,0,K112*$E$13/12)</f>
        <v/>
      </c>
      <c r="BM113">
        <f>IF(K112&lt;=0,0,MIN(K112+BL113,$F$13+BK113))</f>
        <v/>
      </c>
      <c r="BN113">
        <f>IF(K112&lt;=0,BK113,MAX(0,$F$13+BK113-K112-BL113))</f>
        <v/>
      </c>
      <c r="BO113">
        <f>IF(L112&lt;=0,0,L112*$E$14/12)</f>
        <v/>
      </c>
      <c r="BP113">
        <f>IF(L112&lt;=0,0,MIN(L112+BO113,$F$14+BN113))</f>
        <v/>
      </c>
      <c r="BQ113">
        <f>IF(L112&lt;=0,BN113,MAX(0,$F$14+BN113-L112-BO113))</f>
        <v/>
      </c>
      <c r="BR113">
        <f>IF(M112&lt;=0,0,M112*$E$15/12)</f>
        <v/>
      </c>
      <c r="BS113">
        <f>IF(M112&lt;=0,0,MIN(M112+BR113,$F$15+BQ113))</f>
        <v/>
      </c>
      <c r="BT113">
        <f>IF(M112&lt;=0,BQ113,MAX(0,$F$15+BQ113-M112-BR113))</f>
        <v/>
      </c>
      <c r="BU113">
        <f>IF(N112&lt;=0,0,N112*$E$16/12)</f>
        <v/>
      </c>
      <c r="BV113">
        <f>IF(N112&lt;=0,0,MIN(N112+BU113,$F$16+BT113))</f>
        <v/>
      </c>
      <c r="BW113">
        <f>IF(N112&lt;=0,BT113,MAX(0,$F$16+BT113-N112-BU113))</f>
        <v/>
      </c>
      <c r="BX113">
        <f>IF(O112&lt;=0,0,O112*$E$17/12)</f>
        <v/>
      </c>
      <c r="BY113">
        <f>IF(O112&lt;=0,0,MIN(O112+BX113,$F$17+BW113))</f>
        <v/>
      </c>
      <c r="BZ113">
        <f>IF(O112&lt;=0,BW113,MAX(0,$F$17+BW113-O112-BX113))</f>
        <v/>
      </c>
      <c r="CA113">
        <f>IF(P112&lt;=0,0,P112*$E$18/12)</f>
        <v/>
      </c>
      <c r="CB113">
        <f>IF(P112&lt;=0,0,MIN(P112+CA113,$F$18+BZ113))</f>
        <v/>
      </c>
      <c r="CC113">
        <f>IF(P112&lt;=0,BZ113,MAX(0,$F$18+BZ113-P112-CA113))</f>
        <v/>
      </c>
      <c r="CD113">
        <f>IF(Q112&lt;=0,0,Q112*$E$19/12)</f>
        <v/>
      </c>
      <c r="CE113">
        <f>IF(Q112&lt;=0,0,MIN(Q112+CD113,$F$19+CC113))</f>
        <v/>
      </c>
      <c r="CF113">
        <f>IF(Q112&lt;=0,CC113,MAX(0,$F$19+CC113-Q112-CD113))</f>
        <v/>
      </c>
      <c r="CG113">
        <f>IF(R112&lt;=0,0,R112*$E$20/12)</f>
        <v/>
      </c>
      <c r="CH113">
        <f>IF(R112&lt;=0,0,MIN(R112+CG113,$F$20+CF113))</f>
        <v/>
      </c>
      <c r="CI113">
        <f>IF(R112&lt;=0,CF113,MAX(0,$F$20+CF113-R112-CG113))</f>
        <v/>
      </c>
      <c r="CJ113">
        <f>IF(S112&lt;=0,0,S112*$E$21/12)</f>
        <v/>
      </c>
      <c r="CK113">
        <f>IF(S112&lt;=0,0,MIN(S112+CJ113,$F$21+CI113))</f>
        <v/>
      </c>
      <c r="CL113">
        <f>IF(S112&lt;=0,CI113,MAX(0,$F$21+CI113-S112-CJ113))</f>
        <v/>
      </c>
      <c r="CM113">
        <f>IF(T112&lt;=0,0,T112*$E$22/12)</f>
        <v/>
      </c>
      <c r="CN113">
        <f>IF(T112&lt;=0,0,MIN(T112+CM113,$F$22+CL113))</f>
        <v/>
      </c>
      <c r="CO113">
        <f>IF(T112&lt;=0,CL113,MAX(0,$F$22+CL113-T112-CM113))</f>
        <v/>
      </c>
      <c r="CP113">
        <f>IF(U112&lt;=0,0,U112*$E$23/12)</f>
        <v/>
      </c>
      <c r="CQ113">
        <f>IF(U112&lt;=0,0,MIN(U112+CP113,$F$23+CO113))</f>
        <v/>
      </c>
      <c r="CR113">
        <f>IF(U112&lt;=0,CO113,MAX(0,$F$23+CO113-U112-CP113))</f>
        <v/>
      </c>
      <c r="CS113">
        <f>IF(V112&lt;=0,0,V112*$E$24/12)</f>
        <v/>
      </c>
      <c r="CT113">
        <f>IF(V112&lt;=0,0,MIN(V112+CS113,$F$24+CR113))</f>
        <v/>
      </c>
      <c r="CU113">
        <f>IF(V112&lt;=0,CR113,MAX(0,$F$24+CR113-V112-CS113))</f>
        <v/>
      </c>
    </row>
    <row r="114">
      <c r="B114" s="39" t="n">
        <v>88</v>
      </c>
      <c r="C114" s="13">
        <f>IF(C113&lt;=0,0,MAX(0,C113+AN114-AO114))</f>
        <v/>
      </c>
      <c r="D114" s="13">
        <f>IF(D113&lt;=0,0,MAX(0,D113+AQ114-AR114))</f>
        <v/>
      </c>
      <c r="E114" s="13">
        <f>IF(E113&lt;=0,0,MAX(0,E113+AT114-AU114))</f>
        <v/>
      </c>
      <c r="F114" s="13">
        <f>IF(F113&lt;=0,0,MAX(0,F113+AW114-AX114))</f>
        <v/>
      </c>
      <c r="G114" s="13">
        <f>IF(G113&lt;=0,0,MAX(0,G113+AZ114-BA114))</f>
        <v/>
      </c>
      <c r="H114" s="13">
        <f>IF(H113&lt;=0,0,MAX(0,H113+BC114-BD114))</f>
        <v/>
      </c>
      <c r="I114" s="13">
        <f>IF(I113&lt;=0,0,MAX(0,I113+BF114-BG114))</f>
        <v/>
      </c>
      <c r="J114" s="13">
        <f>IF(J113&lt;=0,0,MAX(0,J113+BI114-BJ114))</f>
        <v/>
      </c>
      <c r="K114" s="13">
        <f>IF(K113&lt;=0,0,MAX(0,K113+BL114-BM114))</f>
        <v/>
      </c>
      <c r="L114" s="13">
        <f>IF(L113&lt;=0,0,MAX(0,L113+BO114-BP114))</f>
        <v/>
      </c>
      <c r="M114" s="13">
        <f>IF(M113&lt;=0,0,MAX(0,M113+BR114-BS114))</f>
        <v/>
      </c>
      <c r="N114" s="13">
        <f>IF(N113&lt;=0,0,MAX(0,N113+BU114-BV114))</f>
        <v/>
      </c>
      <c r="O114" s="13">
        <f>IF(O113&lt;=0,0,MAX(0,O113+BX114-BY114))</f>
        <v/>
      </c>
      <c r="P114" s="13">
        <f>IF(P113&lt;=0,0,MAX(0,P113+CA114-CB114))</f>
        <v/>
      </c>
      <c r="Q114" s="13">
        <f>IF(Q113&lt;=0,0,MAX(0,Q113+CD114-CE114))</f>
        <v/>
      </c>
      <c r="R114" s="13">
        <f>IF(R113&lt;=0,0,MAX(0,R113+CG114-CH114))</f>
        <v/>
      </c>
      <c r="S114" s="13">
        <f>IF(S113&lt;=0,0,MAX(0,S113+CJ114-CK114))</f>
        <v/>
      </c>
      <c r="T114" s="13">
        <f>IF(T113&lt;=0,0,MAX(0,T113+CM114-CN114))</f>
        <v/>
      </c>
      <c r="U114" s="13">
        <f>IF(U113&lt;=0,0,MAX(0,U113+CP114-CQ114))</f>
        <v/>
      </c>
      <c r="V114" s="13">
        <f>IF(V113&lt;=0,0,MAX(0,V113+CS114-CT114))</f>
        <v/>
      </c>
      <c r="W114" s="13">
        <f>AO114+AR114+AU114+AX114+BA114+BD114+BG114+BJ114+BM114+BP114+BS114+BV114+BY114+CB114+CE114+CH114+CK114+CN114+CQ114+CT114</f>
        <v/>
      </c>
      <c r="X114" s="13">
        <f>AN114+AQ114+AT114+AW114+AZ114+BC114+BF114+BI114+BL114+BO114+BR114+BU114+BX114+CA114+CD114+CG114+CJ114+CM114+CP114+CS114</f>
        <v/>
      </c>
      <c r="Y114" s="27">
        <f>C114+D114+E114+F114+G114+H114+I114+J114+K114+L114+M114+N114+O114+P114+Q114+R114+S114+T114+U114+V114</f>
        <v/>
      </c>
      <c r="AN114">
        <f>IF(C113&lt;=0,0,C113*$E$5/12)</f>
        <v/>
      </c>
      <c r="AO114">
        <f>IF(C113&lt;=0,0,MIN(C113+AN114,$F$5+(Dashboard!$C$11+IF(C113&lt;=0,$F$5,0)+IF(D113&lt;=0,$F$6,0)+IF(E113&lt;=0,$F$7,0)+IF(F113&lt;=0,$F$8,0)+IF(G113&lt;=0,$F$9,0)+IF(H113&lt;=0,$F$10,0)+IF(I113&lt;=0,$F$11,0)+IF(J113&lt;=0,$F$12,0)+IF(K113&lt;=0,$F$13,0)+IF(L113&lt;=0,$F$14,0)+IF(M113&lt;=0,$F$15,0)+IF(N113&lt;=0,$F$16,0)+IF(O113&lt;=0,$F$17,0)+IF(P113&lt;=0,$F$18,0)+IF(Q113&lt;=0,$F$19,0)+IF(R113&lt;=0,$F$20,0)+IF(S113&lt;=0,$F$21,0)+IF(T113&lt;=0,$F$22,0)+IF(U113&lt;=0,$F$23,0)+IF(V113&lt;=0,$F$24,0))))</f>
        <v/>
      </c>
      <c r="AP114">
        <f>IF(C113&lt;=0,(Dashboard!$C$11+IF(C113&lt;=0,$F$5,0)+IF(D113&lt;=0,$F$6,0)+IF(E113&lt;=0,$F$7,0)+IF(F113&lt;=0,$F$8,0)+IF(G113&lt;=0,$F$9,0)+IF(H113&lt;=0,$F$10,0)+IF(I113&lt;=0,$F$11,0)+IF(J113&lt;=0,$F$12,0)+IF(K113&lt;=0,$F$13,0)+IF(L113&lt;=0,$F$14,0)+IF(M113&lt;=0,$F$15,0)+IF(N113&lt;=0,$F$16,0)+IF(O113&lt;=0,$F$17,0)+IF(P113&lt;=0,$F$18,0)+IF(Q113&lt;=0,$F$19,0)+IF(R113&lt;=0,$F$20,0)+IF(S113&lt;=0,$F$21,0)+IF(T113&lt;=0,$F$22,0)+IF(U113&lt;=0,$F$23,0)+IF(V113&lt;=0,$F$24,0)),MAX(0,$F$5+(Dashboard!$C$11+IF(C113&lt;=0,$F$5,0)+IF(D113&lt;=0,$F$6,0)+IF(E113&lt;=0,$F$7,0)+IF(F113&lt;=0,$F$8,0)+IF(G113&lt;=0,$F$9,0)+IF(H113&lt;=0,$F$10,0)+IF(I113&lt;=0,$F$11,0)+IF(J113&lt;=0,$F$12,0)+IF(K113&lt;=0,$F$13,0)+IF(L113&lt;=0,$F$14,0)+IF(M113&lt;=0,$F$15,0)+IF(N113&lt;=0,$F$16,0)+IF(O113&lt;=0,$F$17,0)+IF(P113&lt;=0,$F$18,0)+IF(Q113&lt;=0,$F$19,0)+IF(R113&lt;=0,$F$20,0)+IF(S113&lt;=0,$F$21,0)+IF(T113&lt;=0,$F$22,0)+IF(U113&lt;=0,$F$23,0)+IF(V113&lt;=0,$F$24,0))-C113-AN114))</f>
        <v/>
      </c>
      <c r="AQ114">
        <f>IF(D113&lt;=0,0,D113*$E$6/12)</f>
        <v/>
      </c>
      <c r="AR114">
        <f>IF(D113&lt;=0,0,MIN(D113+AQ114,$F$6+AP114))</f>
        <v/>
      </c>
      <c r="AS114">
        <f>IF(D113&lt;=0,AP114,MAX(0,$F$6+AP114-D113-AQ114))</f>
        <v/>
      </c>
      <c r="AT114">
        <f>IF(E113&lt;=0,0,E113*$E$7/12)</f>
        <v/>
      </c>
      <c r="AU114">
        <f>IF(E113&lt;=0,0,MIN(E113+AT114,$F$7+AS114))</f>
        <v/>
      </c>
      <c r="AV114">
        <f>IF(E113&lt;=0,AS114,MAX(0,$F$7+AS114-E113-AT114))</f>
        <v/>
      </c>
      <c r="AW114">
        <f>IF(F113&lt;=0,0,F113*$E$8/12)</f>
        <v/>
      </c>
      <c r="AX114">
        <f>IF(F113&lt;=0,0,MIN(F113+AW114,$F$8+AV114))</f>
        <v/>
      </c>
      <c r="AY114">
        <f>IF(F113&lt;=0,AV114,MAX(0,$F$8+AV114-F113-AW114))</f>
        <v/>
      </c>
      <c r="AZ114">
        <f>IF(G113&lt;=0,0,G113*$E$9/12)</f>
        <v/>
      </c>
      <c r="BA114">
        <f>IF(G113&lt;=0,0,MIN(G113+AZ114,$F$9+AY114))</f>
        <v/>
      </c>
      <c r="BB114">
        <f>IF(G113&lt;=0,AY114,MAX(0,$F$9+AY114-G113-AZ114))</f>
        <v/>
      </c>
      <c r="BC114">
        <f>IF(H113&lt;=0,0,H113*$E$10/12)</f>
        <v/>
      </c>
      <c r="BD114">
        <f>IF(H113&lt;=0,0,MIN(H113+BC114,$F$10+BB114))</f>
        <v/>
      </c>
      <c r="BE114">
        <f>IF(H113&lt;=0,BB114,MAX(0,$F$10+BB114-H113-BC114))</f>
        <v/>
      </c>
      <c r="BF114">
        <f>IF(I113&lt;=0,0,I113*$E$11/12)</f>
        <v/>
      </c>
      <c r="BG114">
        <f>IF(I113&lt;=0,0,MIN(I113+BF114,$F$11+BE114))</f>
        <v/>
      </c>
      <c r="BH114">
        <f>IF(I113&lt;=0,BE114,MAX(0,$F$11+BE114-I113-BF114))</f>
        <v/>
      </c>
      <c r="BI114">
        <f>IF(J113&lt;=0,0,J113*$E$12/12)</f>
        <v/>
      </c>
      <c r="BJ114">
        <f>IF(J113&lt;=0,0,MIN(J113+BI114,$F$12+BH114))</f>
        <v/>
      </c>
      <c r="BK114">
        <f>IF(J113&lt;=0,BH114,MAX(0,$F$12+BH114-J113-BI114))</f>
        <v/>
      </c>
      <c r="BL114">
        <f>IF(K113&lt;=0,0,K113*$E$13/12)</f>
        <v/>
      </c>
      <c r="BM114">
        <f>IF(K113&lt;=0,0,MIN(K113+BL114,$F$13+BK114))</f>
        <v/>
      </c>
      <c r="BN114">
        <f>IF(K113&lt;=0,BK114,MAX(0,$F$13+BK114-K113-BL114))</f>
        <v/>
      </c>
      <c r="BO114">
        <f>IF(L113&lt;=0,0,L113*$E$14/12)</f>
        <v/>
      </c>
      <c r="BP114">
        <f>IF(L113&lt;=0,0,MIN(L113+BO114,$F$14+BN114))</f>
        <v/>
      </c>
      <c r="BQ114">
        <f>IF(L113&lt;=0,BN114,MAX(0,$F$14+BN114-L113-BO114))</f>
        <v/>
      </c>
      <c r="BR114">
        <f>IF(M113&lt;=0,0,M113*$E$15/12)</f>
        <v/>
      </c>
      <c r="BS114">
        <f>IF(M113&lt;=0,0,MIN(M113+BR114,$F$15+BQ114))</f>
        <v/>
      </c>
      <c r="BT114">
        <f>IF(M113&lt;=0,BQ114,MAX(0,$F$15+BQ114-M113-BR114))</f>
        <v/>
      </c>
      <c r="BU114">
        <f>IF(N113&lt;=0,0,N113*$E$16/12)</f>
        <v/>
      </c>
      <c r="BV114">
        <f>IF(N113&lt;=0,0,MIN(N113+BU114,$F$16+BT114))</f>
        <v/>
      </c>
      <c r="BW114">
        <f>IF(N113&lt;=0,BT114,MAX(0,$F$16+BT114-N113-BU114))</f>
        <v/>
      </c>
      <c r="BX114">
        <f>IF(O113&lt;=0,0,O113*$E$17/12)</f>
        <v/>
      </c>
      <c r="BY114">
        <f>IF(O113&lt;=0,0,MIN(O113+BX114,$F$17+BW114))</f>
        <v/>
      </c>
      <c r="BZ114">
        <f>IF(O113&lt;=0,BW114,MAX(0,$F$17+BW114-O113-BX114))</f>
        <v/>
      </c>
      <c r="CA114">
        <f>IF(P113&lt;=0,0,P113*$E$18/12)</f>
        <v/>
      </c>
      <c r="CB114">
        <f>IF(P113&lt;=0,0,MIN(P113+CA114,$F$18+BZ114))</f>
        <v/>
      </c>
      <c r="CC114">
        <f>IF(P113&lt;=0,BZ114,MAX(0,$F$18+BZ114-P113-CA114))</f>
        <v/>
      </c>
      <c r="CD114">
        <f>IF(Q113&lt;=0,0,Q113*$E$19/12)</f>
        <v/>
      </c>
      <c r="CE114">
        <f>IF(Q113&lt;=0,0,MIN(Q113+CD114,$F$19+CC114))</f>
        <v/>
      </c>
      <c r="CF114">
        <f>IF(Q113&lt;=0,CC114,MAX(0,$F$19+CC114-Q113-CD114))</f>
        <v/>
      </c>
      <c r="CG114">
        <f>IF(R113&lt;=0,0,R113*$E$20/12)</f>
        <v/>
      </c>
      <c r="CH114">
        <f>IF(R113&lt;=0,0,MIN(R113+CG114,$F$20+CF114))</f>
        <v/>
      </c>
      <c r="CI114">
        <f>IF(R113&lt;=0,CF114,MAX(0,$F$20+CF114-R113-CG114))</f>
        <v/>
      </c>
      <c r="CJ114">
        <f>IF(S113&lt;=0,0,S113*$E$21/12)</f>
        <v/>
      </c>
      <c r="CK114">
        <f>IF(S113&lt;=0,0,MIN(S113+CJ114,$F$21+CI114))</f>
        <v/>
      </c>
      <c r="CL114">
        <f>IF(S113&lt;=0,CI114,MAX(0,$F$21+CI114-S113-CJ114))</f>
        <v/>
      </c>
      <c r="CM114">
        <f>IF(T113&lt;=0,0,T113*$E$22/12)</f>
        <v/>
      </c>
      <c r="CN114">
        <f>IF(T113&lt;=0,0,MIN(T113+CM114,$F$22+CL114))</f>
        <v/>
      </c>
      <c r="CO114">
        <f>IF(T113&lt;=0,CL114,MAX(0,$F$22+CL114-T113-CM114))</f>
        <v/>
      </c>
      <c r="CP114">
        <f>IF(U113&lt;=0,0,U113*$E$23/12)</f>
        <v/>
      </c>
      <c r="CQ114">
        <f>IF(U113&lt;=0,0,MIN(U113+CP114,$F$23+CO114))</f>
        <v/>
      </c>
      <c r="CR114">
        <f>IF(U113&lt;=0,CO114,MAX(0,$F$23+CO114-U113-CP114))</f>
        <v/>
      </c>
      <c r="CS114">
        <f>IF(V113&lt;=0,0,V113*$E$24/12)</f>
        <v/>
      </c>
      <c r="CT114">
        <f>IF(V113&lt;=0,0,MIN(V113+CS114,$F$24+CR114))</f>
        <v/>
      </c>
      <c r="CU114">
        <f>IF(V113&lt;=0,CR114,MAX(0,$F$24+CR114-V113-CS114))</f>
        <v/>
      </c>
    </row>
    <row r="115">
      <c r="B115" s="39" t="n">
        <v>89</v>
      </c>
      <c r="C115" s="13">
        <f>IF(C114&lt;=0,0,MAX(0,C114+AN115-AO115))</f>
        <v/>
      </c>
      <c r="D115" s="13">
        <f>IF(D114&lt;=0,0,MAX(0,D114+AQ115-AR115))</f>
        <v/>
      </c>
      <c r="E115" s="13">
        <f>IF(E114&lt;=0,0,MAX(0,E114+AT115-AU115))</f>
        <v/>
      </c>
      <c r="F115" s="13">
        <f>IF(F114&lt;=0,0,MAX(0,F114+AW115-AX115))</f>
        <v/>
      </c>
      <c r="G115" s="13">
        <f>IF(G114&lt;=0,0,MAX(0,G114+AZ115-BA115))</f>
        <v/>
      </c>
      <c r="H115" s="13">
        <f>IF(H114&lt;=0,0,MAX(0,H114+BC115-BD115))</f>
        <v/>
      </c>
      <c r="I115" s="13">
        <f>IF(I114&lt;=0,0,MAX(0,I114+BF115-BG115))</f>
        <v/>
      </c>
      <c r="J115" s="13">
        <f>IF(J114&lt;=0,0,MAX(0,J114+BI115-BJ115))</f>
        <v/>
      </c>
      <c r="K115" s="13">
        <f>IF(K114&lt;=0,0,MAX(0,K114+BL115-BM115))</f>
        <v/>
      </c>
      <c r="L115" s="13">
        <f>IF(L114&lt;=0,0,MAX(0,L114+BO115-BP115))</f>
        <v/>
      </c>
      <c r="M115" s="13">
        <f>IF(M114&lt;=0,0,MAX(0,M114+BR115-BS115))</f>
        <v/>
      </c>
      <c r="N115" s="13">
        <f>IF(N114&lt;=0,0,MAX(0,N114+BU115-BV115))</f>
        <v/>
      </c>
      <c r="O115" s="13">
        <f>IF(O114&lt;=0,0,MAX(0,O114+BX115-BY115))</f>
        <v/>
      </c>
      <c r="P115" s="13">
        <f>IF(P114&lt;=0,0,MAX(0,P114+CA115-CB115))</f>
        <v/>
      </c>
      <c r="Q115" s="13">
        <f>IF(Q114&lt;=0,0,MAX(0,Q114+CD115-CE115))</f>
        <v/>
      </c>
      <c r="R115" s="13">
        <f>IF(R114&lt;=0,0,MAX(0,R114+CG115-CH115))</f>
        <v/>
      </c>
      <c r="S115" s="13">
        <f>IF(S114&lt;=0,0,MAX(0,S114+CJ115-CK115))</f>
        <v/>
      </c>
      <c r="T115" s="13">
        <f>IF(T114&lt;=0,0,MAX(0,T114+CM115-CN115))</f>
        <v/>
      </c>
      <c r="U115" s="13">
        <f>IF(U114&lt;=0,0,MAX(0,U114+CP115-CQ115))</f>
        <v/>
      </c>
      <c r="V115" s="13">
        <f>IF(V114&lt;=0,0,MAX(0,V114+CS115-CT115))</f>
        <v/>
      </c>
      <c r="W115" s="13">
        <f>AO115+AR115+AU115+AX115+BA115+BD115+BG115+BJ115+BM115+BP115+BS115+BV115+BY115+CB115+CE115+CH115+CK115+CN115+CQ115+CT115</f>
        <v/>
      </c>
      <c r="X115" s="13">
        <f>AN115+AQ115+AT115+AW115+AZ115+BC115+BF115+BI115+BL115+BO115+BR115+BU115+BX115+CA115+CD115+CG115+CJ115+CM115+CP115+CS115</f>
        <v/>
      </c>
      <c r="Y115" s="27">
        <f>C115+D115+E115+F115+G115+H115+I115+J115+K115+L115+M115+N115+O115+P115+Q115+R115+S115+T115+U115+V115</f>
        <v/>
      </c>
      <c r="AN115">
        <f>IF(C114&lt;=0,0,C114*$E$5/12)</f>
        <v/>
      </c>
      <c r="AO115">
        <f>IF(C114&lt;=0,0,MIN(C114+AN115,$F$5+(Dashboard!$C$11+IF(C114&lt;=0,$F$5,0)+IF(D114&lt;=0,$F$6,0)+IF(E114&lt;=0,$F$7,0)+IF(F114&lt;=0,$F$8,0)+IF(G114&lt;=0,$F$9,0)+IF(H114&lt;=0,$F$10,0)+IF(I114&lt;=0,$F$11,0)+IF(J114&lt;=0,$F$12,0)+IF(K114&lt;=0,$F$13,0)+IF(L114&lt;=0,$F$14,0)+IF(M114&lt;=0,$F$15,0)+IF(N114&lt;=0,$F$16,0)+IF(O114&lt;=0,$F$17,0)+IF(P114&lt;=0,$F$18,0)+IF(Q114&lt;=0,$F$19,0)+IF(R114&lt;=0,$F$20,0)+IF(S114&lt;=0,$F$21,0)+IF(T114&lt;=0,$F$22,0)+IF(U114&lt;=0,$F$23,0)+IF(V114&lt;=0,$F$24,0))))</f>
        <v/>
      </c>
      <c r="AP115">
        <f>IF(C114&lt;=0,(Dashboard!$C$11+IF(C114&lt;=0,$F$5,0)+IF(D114&lt;=0,$F$6,0)+IF(E114&lt;=0,$F$7,0)+IF(F114&lt;=0,$F$8,0)+IF(G114&lt;=0,$F$9,0)+IF(H114&lt;=0,$F$10,0)+IF(I114&lt;=0,$F$11,0)+IF(J114&lt;=0,$F$12,0)+IF(K114&lt;=0,$F$13,0)+IF(L114&lt;=0,$F$14,0)+IF(M114&lt;=0,$F$15,0)+IF(N114&lt;=0,$F$16,0)+IF(O114&lt;=0,$F$17,0)+IF(P114&lt;=0,$F$18,0)+IF(Q114&lt;=0,$F$19,0)+IF(R114&lt;=0,$F$20,0)+IF(S114&lt;=0,$F$21,0)+IF(T114&lt;=0,$F$22,0)+IF(U114&lt;=0,$F$23,0)+IF(V114&lt;=0,$F$24,0)),MAX(0,$F$5+(Dashboard!$C$11+IF(C114&lt;=0,$F$5,0)+IF(D114&lt;=0,$F$6,0)+IF(E114&lt;=0,$F$7,0)+IF(F114&lt;=0,$F$8,0)+IF(G114&lt;=0,$F$9,0)+IF(H114&lt;=0,$F$10,0)+IF(I114&lt;=0,$F$11,0)+IF(J114&lt;=0,$F$12,0)+IF(K114&lt;=0,$F$13,0)+IF(L114&lt;=0,$F$14,0)+IF(M114&lt;=0,$F$15,0)+IF(N114&lt;=0,$F$16,0)+IF(O114&lt;=0,$F$17,0)+IF(P114&lt;=0,$F$18,0)+IF(Q114&lt;=0,$F$19,0)+IF(R114&lt;=0,$F$20,0)+IF(S114&lt;=0,$F$21,0)+IF(T114&lt;=0,$F$22,0)+IF(U114&lt;=0,$F$23,0)+IF(V114&lt;=0,$F$24,0))-C114-AN115))</f>
        <v/>
      </c>
      <c r="AQ115">
        <f>IF(D114&lt;=0,0,D114*$E$6/12)</f>
        <v/>
      </c>
      <c r="AR115">
        <f>IF(D114&lt;=0,0,MIN(D114+AQ115,$F$6+AP115))</f>
        <v/>
      </c>
      <c r="AS115">
        <f>IF(D114&lt;=0,AP115,MAX(0,$F$6+AP115-D114-AQ115))</f>
        <v/>
      </c>
      <c r="AT115">
        <f>IF(E114&lt;=0,0,E114*$E$7/12)</f>
        <v/>
      </c>
      <c r="AU115">
        <f>IF(E114&lt;=0,0,MIN(E114+AT115,$F$7+AS115))</f>
        <v/>
      </c>
      <c r="AV115">
        <f>IF(E114&lt;=0,AS115,MAX(0,$F$7+AS115-E114-AT115))</f>
        <v/>
      </c>
      <c r="AW115">
        <f>IF(F114&lt;=0,0,F114*$E$8/12)</f>
        <v/>
      </c>
      <c r="AX115">
        <f>IF(F114&lt;=0,0,MIN(F114+AW115,$F$8+AV115))</f>
        <v/>
      </c>
      <c r="AY115">
        <f>IF(F114&lt;=0,AV115,MAX(0,$F$8+AV115-F114-AW115))</f>
        <v/>
      </c>
      <c r="AZ115">
        <f>IF(G114&lt;=0,0,G114*$E$9/12)</f>
        <v/>
      </c>
      <c r="BA115">
        <f>IF(G114&lt;=0,0,MIN(G114+AZ115,$F$9+AY115))</f>
        <v/>
      </c>
      <c r="BB115">
        <f>IF(G114&lt;=0,AY115,MAX(0,$F$9+AY115-G114-AZ115))</f>
        <v/>
      </c>
      <c r="BC115">
        <f>IF(H114&lt;=0,0,H114*$E$10/12)</f>
        <v/>
      </c>
      <c r="BD115">
        <f>IF(H114&lt;=0,0,MIN(H114+BC115,$F$10+BB115))</f>
        <v/>
      </c>
      <c r="BE115">
        <f>IF(H114&lt;=0,BB115,MAX(0,$F$10+BB115-H114-BC115))</f>
        <v/>
      </c>
      <c r="BF115">
        <f>IF(I114&lt;=0,0,I114*$E$11/12)</f>
        <v/>
      </c>
      <c r="BG115">
        <f>IF(I114&lt;=0,0,MIN(I114+BF115,$F$11+BE115))</f>
        <v/>
      </c>
      <c r="BH115">
        <f>IF(I114&lt;=0,BE115,MAX(0,$F$11+BE115-I114-BF115))</f>
        <v/>
      </c>
      <c r="BI115">
        <f>IF(J114&lt;=0,0,J114*$E$12/12)</f>
        <v/>
      </c>
      <c r="BJ115">
        <f>IF(J114&lt;=0,0,MIN(J114+BI115,$F$12+BH115))</f>
        <v/>
      </c>
      <c r="BK115">
        <f>IF(J114&lt;=0,BH115,MAX(0,$F$12+BH115-J114-BI115))</f>
        <v/>
      </c>
      <c r="BL115">
        <f>IF(K114&lt;=0,0,K114*$E$13/12)</f>
        <v/>
      </c>
      <c r="BM115">
        <f>IF(K114&lt;=0,0,MIN(K114+BL115,$F$13+BK115))</f>
        <v/>
      </c>
      <c r="BN115">
        <f>IF(K114&lt;=0,BK115,MAX(0,$F$13+BK115-K114-BL115))</f>
        <v/>
      </c>
      <c r="BO115">
        <f>IF(L114&lt;=0,0,L114*$E$14/12)</f>
        <v/>
      </c>
      <c r="BP115">
        <f>IF(L114&lt;=0,0,MIN(L114+BO115,$F$14+BN115))</f>
        <v/>
      </c>
      <c r="BQ115">
        <f>IF(L114&lt;=0,BN115,MAX(0,$F$14+BN115-L114-BO115))</f>
        <v/>
      </c>
      <c r="BR115">
        <f>IF(M114&lt;=0,0,M114*$E$15/12)</f>
        <v/>
      </c>
      <c r="BS115">
        <f>IF(M114&lt;=0,0,MIN(M114+BR115,$F$15+BQ115))</f>
        <v/>
      </c>
      <c r="BT115">
        <f>IF(M114&lt;=0,BQ115,MAX(0,$F$15+BQ115-M114-BR115))</f>
        <v/>
      </c>
      <c r="BU115">
        <f>IF(N114&lt;=0,0,N114*$E$16/12)</f>
        <v/>
      </c>
      <c r="BV115">
        <f>IF(N114&lt;=0,0,MIN(N114+BU115,$F$16+BT115))</f>
        <v/>
      </c>
      <c r="BW115">
        <f>IF(N114&lt;=0,BT115,MAX(0,$F$16+BT115-N114-BU115))</f>
        <v/>
      </c>
      <c r="BX115">
        <f>IF(O114&lt;=0,0,O114*$E$17/12)</f>
        <v/>
      </c>
      <c r="BY115">
        <f>IF(O114&lt;=0,0,MIN(O114+BX115,$F$17+BW115))</f>
        <v/>
      </c>
      <c r="BZ115">
        <f>IF(O114&lt;=0,BW115,MAX(0,$F$17+BW115-O114-BX115))</f>
        <v/>
      </c>
      <c r="CA115">
        <f>IF(P114&lt;=0,0,P114*$E$18/12)</f>
        <v/>
      </c>
      <c r="CB115">
        <f>IF(P114&lt;=0,0,MIN(P114+CA115,$F$18+BZ115))</f>
        <v/>
      </c>
      <c r="CC115">
        <f>IF(P114&lt;=0,BZ115,MAX(0,$F$18+BZ115-P114-CA115))</f>
        <v/>
      </c>
      <c r="CD115">
        <f>IF(Q114&lt;=0,0,Q114*$E$19/12)</f>
        <v/>
      </c>
      <c r="CE115">
        <f>IF(Q114&lt;=0,0,MIN(Q114+CD115,$F$19+CC115))</f>
        <v/>
      </c>
      <c r="CF115">
        <f>IF(Q114&lt;=0,CC115,MAX(0,$F$19+CC115-Q114-CD115))</f>
        <v/>
      </c>
      <c r="CG115">
        <f>IF(R114&lt;=0,0,R114*$E$20/12)</f>
        <v/>
      </c>
      <c r="CH115">
        <f>IF(R114&lt;=0,0,MIN(R114+CG115,$F$20+CF115))</f>
        <v/>
      </c>
      <c r="CI115">
        <f>IF(R114&lt;=0,CF115,MAX(0,$F$20+CF115-R114-CG115))</f>
        <v/>
      </c>
      <c r="CJ115">
        <f>IF(S114&lt;=0,0,S114*$E$21/12)</f>
        <v/>
      </c>
      <c r="CK115">
        <f>IF(S114&lt;=0,0,MIN(S114+CJ115,$F$21+CI115))</f>
        <v/>
      </c>
      <c r="CL115">
        <f>IF(S114&lt;=0,CI115,MAX(0,$F$21+CI115-S114-CJ115))</f>
        <v/>
      </c>
      <c r="CM115">
        <f>IF(T114&lt;=0,0,T114*$E$22/12)</f>
        <v/>
      </c>
      <c r="CN115">
        <f>IF(T114&lt;=0,0,MIN(T114+CM115,$F$22+CL115))</f>
        <v/>
      </c>
      <c r="CO115">
        <f>IF(T114&lt;=0,CL115,MAX(0,$F$22+CL115-T114-CM115))</f>
        <v/>
      </c>
      <c r="CP115">
        <f>IF(U114&lt;=0,0,U114*$E$23/12)</f>
        <v/>
      </c>
      <c r="CQ115">
        <f>IF(U114&lt;=0,0,MIN(U114+CP115,$F$23+CO115))</f>
        <v/>
      </c>
      <c r="CR115">
        <f>IF(U114&lt;=0,CO115,MAX(0,$F$23+CO115-U114-CP115))</f>
        <v/>
      </c>
      <c r="CS115">
        <f>IF(V114&lt;=0,0,V114*$E$24/12)</f>
        <v/>
      </c>
      <c r="CT115">
        <f>IF(V114&lt;=0,0,MIN(V114+CS115,$F$24+CR115))</f>
        <v/>
      </c>
      <c r="CU115">
        <f>IF(V114&lt;=0,CR115,MAX(0,$F$24+CR115-V114-CS115))</f>
        <v/>
      </c>
    </row>
    <row r="116">
      <c r="B116" s="39" t="n">
        <v>90</v>
      </c>
      <c r="C116" s="13">
        <f>IF(C115&lt;=0,0,MAX(0,C115+AN116-AO116))</f>
        <v/>
      </c>
      <c r="D116" s="13">
        <f>IF(D115&lt;=0,0,MAX(0,D115+AQ116-AR116))</f>
        <v/>
      </c>
      <c r="E116" s="13">
        <f>IF(E115&lt;=0,0,MAX(0,E115+AT116-AU116))</f>
        <v/>
      </c>
      <c r="F116" s="13">
        <f>IF(F115&lt;=0,0,MAX(0,F115+AW116-AX116))</f>
        <v/>
      </c>
      <c r="G116" s="13">
        <f>IF(G115&lt;=0,0,MAX(0,G115+AZ116-BA116))</f>
        <v/>
      </c>
      <c r="H116" s="13">
        <f>IF(H115&lt;=0,0,MAX(0,H115+BC116-BD116))</f>
        <v/>
      </c>
      <c r="I116" s="13">
        <f>IF(I115&lt;=0,0,MAX(0,I115+BF116-BG116))</f>
        <v/>
      </c>
      <c r="J116" s="13">
        <f>IF(J115&lt;=0,0,MAX(0,J115+BI116-BJ116))</f>
        <v/>
      </c>
      <c r="K116" s="13">
        <f>IF(K115&lt;=0,0,MAX(0,K115+BL116-BM116))</f>
        <v/>
      </c>
      <c r="L116" s="13">
        <f>IF(L115&lt;=0,0,MAX(0,L115+BO116-BP116))</f>
        <v/>
      </c>
      <c r="M116" s="13">
        <f>IF(M115&lt;=0,0,MAX(0,M115+BR116-BS116))</f>
        <v/>
      </c>
      <c r="N116" s="13">
        <f>IF(N115&lt;=0,0,MAX(0,N115+BU116-BV116))</f>
        <v/>
      </c>
      <c r="O116" s="13">
        <f>IF(O115&lt;=0,0,MAX(0,O115+BX116-BY116))</f>
        <v/>
      </c>
      <c r="P116" s="13">
        <f>IF(P115&lt;=0,0,MAX(0,P115+CA116-CB116))</f>
        <v/>
      </c>
      <c r="Q116" s="13">
        <f>IF(Q115&lt;=0,0,MAX(0,Q115+CD116-CE116))</f>
        <v/>
      </c>
      <c r="R116" s="13">
        <f>IF(R115&lt;=0,0,MAX(0,R115+CG116-CH116))</f>
        <v/>
      </c>
      <c r="S116" s="13">
        <f>IF(S115&lt;=0,0,MAX(0,S115+CJ116-CK116))</f>
        <v/>
      </c>
      <c r="T116" s="13">
        <f>IF(T115&lt;=0,0,MAX(0,T115+CM116-CN116))</f>
        <v/>
      </c>
      <c r="U116" s="13">
        <f>IF(U115&lt;=0,0,MAX(0,U115+CP116-CQ116))</f>
        <v/>
      </c>
      <c r="V116" s="13">
        <f>IF(V115&lt;=0,0,MAX(0,V115+CS116-CT116))</f>
        <v/>
      </c>
      <c r="W116" s="13">
        <f>AO116+AR116+AU116+AX116+BA116+BD116+BG116+BJ116+BM116+BP116+BS116+BV116+BY116+CB116+CE116+CH116+CK116+CN116+CQ116+CT116</f>
        <v/>
      </c>
      <c r="X116" s="13">
        <f>AN116+AQ116+AT116+AW116+AZ116+BC116+BF116+BI116+BL116+BO116+BR116+BU116+BX116+CA116+CD116+CG116+CJ116+CM116+CP116+CS116</f>
        <v/>
      </c>
      <c r="Y116" s="27">
        <f>C116+D116+E116+F116+G116+H116+I116+J116+K116+L116+M116+N116+O116+P116+Q116+R116+S116+T116+U116+V116</f>
        <v/>
      </c>
      <c r="AN116">
        <f>IF(C115&lt;=0,0,C115*$E$5/12)</f>
        <v/>
      </c>
      <c r="AO116">
        <f>IF(C115&lt;=0,0,MIN(C115+AN116,$F$5+(Dashboard!$C$11+IF(C115&lt;=0,$F$5,0)+IF(D115&lt;=0,$F$6,0)+IF(E115&lt;=0,$F$7,0)+IF(F115&lt;=0,$F$8,0)+IF(G115&lt;=0,$F$9,0)+IF(H115&lt;=0,$F$10,0)+IF(I115&lt;=0,$F$11,0)+IF(J115&lt;=0,$F$12,0)+IF(K115&lt;=0,$F$13,0)+IF(L115&lt;=0,$F$14,0)+IF(M115&lt;=0,$F$15,0)+IF(N115&lt;=0,$F$16,0)+IF(O115&lt;=0,$F$17,0)+IF(P115&lt;=0,$F$18,0)+IF(Q115&lt;=0,$F$19,0)+IF(R115&lt;=0,$F$20,0)+IF(S115&lt;=0,$F$21,0)+IF(T115&lt;=0,$F$22,0)+IF(U115&lt;=0,$F$23,0)+IF(V115&lt;=0,$F$24,0))))</f>
        <v/>
      </c>
      <c r="AP116">
        <f>IF(C115&lt;=0,(Dashboard!$C$11+IF(C115&lt;=0,$F$5,0)+IF(D115&lt;=0,$F$6,0)+IF(E115&lt;=0,$F$7,0)+IF(F115&lt;=0,$F$8,0)+IF(G115&lt;=0,$F$9,0)+IF(H115&lt;=0,$F$10,0)+IF(I115&lt;=0,$F$11,0)+IF(J115&lt;=0,$F$12,0)+IF(K115&lt;=0,$F$13,0)+IF(L115&lt;=0,$F$14,0)+IF(M115&lt;=0,$F$15,0)+IF(N115&lt;=0,$F$16,0)+IF(O115&lt;=0,$F$17,0)+IF(P115&lt;=0,$F$18,0)+IF(Q115&lt;=0,$F$19,0)+IF(R115&lt;=0,$F$20,0)+IF(S115&lt;=0,$F$21,0)+IF(T115&lt;=0,$F$22,0)+IF(U115&lt;=0,$F$23,0)+IF(V115&lt;=0,$F$24,0)),MAX(0,$F$5+(Dashboard!$C$11+IF(C115&lt;=0,$F$5,0)+IF(D115&lt;=0,$F$6,0)+IF(E115&lt;=0,$F$7,0)+IF(F115&lt;=0,$F$8,0)+IF(G115&lt;=0,$F$9,0)+IF(H115&lt;=0,$F$10,0)+IF(I115&lt;=0,$F$11,0)+IF(J115&lt;=0,$F$12,0)+IF(K115&lt;=0,$F$13,0)+IF(L115&lt;=0,$F$14,0)+IF(M115&lt;=0,$F$15,0)+IF(N115&lt;=0,$F$16,0)+IF(O115&lt;=0,$F$17,0)+IF(P115&lt;=0,$F$18,0)+IF(Q115&lt;=0,$F$19,0)+IF(R115&lt;=0,$F$20,0)+IF(S115&lt;=0,$F$21,0)+IF(T115&lt;=0,$F$22,0)+IF(U115&lt;=0,$F$23,0)+IF(V115&lt;=0,$F$24,0))-C115-AN116))</f>
        <v/>
      </c>
      <c r="AQ116">
        <f>IF(D115&lt;=0,0,D115*$E$6/12)</f>
        <v/>
      </c>
      <c r="AR116">
        <f>IF(D115&lt;=0,0,MIN(D115+AQ116,$F$6+AP116))</f>
        <v/>
      </c>
      <c r="AS116">
        <f>IF(D115&lt;=0,AP116,MAX(0,$F$6+AP116-D115-AQ116))</f>
        <v/>
      </c>
      <c r="AT116">
        <f>IF(E115&lt;=0,0,E115*$E$7/12)</f>
        <v/>
      </c>
      <c r="AU116">
        <f>IF(E115&lt;=0,0,MIN(E115+AT116,$F$7+AS116))</f>
        <v/>
      </c>
      <c r="AV116">
        <f>IF(E115&lt;=0,AS116,MAX(0,$F$7+AS116-E115-AT116))</f>
        <v/>
      </c>
      <c r="AW116">
        <f>IF(F115&lt;=0,0,F115*$E$8/12)</f>
        <v/>
      </c>
      <c r="AX116">
        <f>IF(F115&lt;=0,0,MIN(F115+AW116,$F$8+AV116))</f>
        <v/>
      </c>
      <c r="AY116">
        <f>IF(F115&lt;=0,AV116,MAX(0,$F$8+AV116-F115-AW116))</f>
        <v/>
      </c>
      <c r="AZ116">
        <f>IF(G115&lt;=0,0,G115*$E$9/12)</f>
        <v/>
      </c>
      <c r="BA116">
        <f>IF(G115&lt;=0,0,MIN(G115+AZ116,$F$9+AY116))</f>
        <v/>
      </c>
      <c r="BB116">
        <f>IF(G115&lt;=0,AY116,MAX(0,$F$9+AY116-G115-AZ116))</f>
        <v/>
      </c>
      <c r="BC116">
        <f>IF(H115&lt;=0,0,H115*$E$10/12)</f>
        <v/>
      </c>
      <c r="BD116">
        <f>IF(H115&lt;=0,0,MIN(H115+BC116,$F$10+BB116))</f>
        <v/>
      </c>
      <c r="BE116">
        <f>IF(H115&lt;=0,BB116,MAX(0,$F$10+BB116-H115-BC116))</f>
        <v/>
      </c>
      <c r="BF116">
        <f>IF(I115&lt;=0,0,I115*$E$11/12)</f>
        <v/>
      </c>
      <c r="BG116">
        <f>IF(I115&lt;=0,0,MIN(I115+BF116,$F$11+BE116))</f>
        <v/>
      </c>
      <c r="BH116">
        <f>IF(I115&lt;=0,BE116,MAX(0,$F$11+BE116-I115-BF116))</f>
        <v/>
      </c>
      <c r="BI116">
        <f>IF(J115&lt;=0,0,J115*$E$12/12)</f>
        <v/>
      </c>
      <c r="BJ116">
        <f>IF(J115&lt;=0,0,MIN(J115+BI116,$F$12+BH116))</f>
        <v/>
      </c>
      <c r="BK116">
        <f>IF(J115&lt;=0,BH116,MAX(0,$F$12+BH116-J115-BI116))</f>
        <v/>
      </c>
      <c r="BL116">
        <f>IF(K115&lt;=0,0,K115*$E$13/12)</f>
        <v/>
      </c>
      <c r="BM116">
        <f>IF(K115&lt;=0,0,MIN(K115+BL116,$F$13+BK116))</f>
        <v/>
      </c>
      <c r="BN116">
        <f>IF(K115&lt;=0,BK116,MAX(0,$F$13+BK116-K115-BL116))</f>
        <v/>
      </c>
      <c r="BO116">
        <f>IF(L115&lt;=0,0,L115*$E$14/12)</f>
        <v/>
      </c>
      <c r="BP116">
        <f>IF(L115&lt;=0,0,MIN(L115+BO116,$F$14+BN116))</f>
        <v/>
      </c>
      <c r="BQ116">
        <f>IF(L115&lt;=0,BN116,MAX(0,$F$14+BN116-L115-BO116))</f>
        <v/>
      </c>
      <c r="BR116">
        <f>IF(M115&lt;=0,0,M115*$E$15/12)</f>
        <v/>
      </c>
      <c r="BS116">
        <f>IF(M115&lt;=0,0,MIN(M115+BR116,$F$15+BQ116))</f>
        <v/>
      </c>
      <c r="BT116">
        <f>IF(M115&lt;=0,BQ116,MAX(0,$F$15+BQ116-M115-BR116))</f>
        <v/>
      </c>
      <c r="BU116">
        <f>IF(N115&lt;=0,0,N115*$E$16/12)</f>
        <v/>
      </c>
      <c r="BV116">
        <f>IF(N115&lt;=0,0,MIN(N115+BU116,$F$16+BT116))</f>
        <v/>
      </c>
      <c r="BW116">
        <f>IF(N115&lt;=0,BT116,MAX(0,$F$16+BT116-N115-BU116))</f>
        <v/>
      </c>
      <c r="BX116">
        <f>IF(O115&lt;=0,0,O115*$E$17/12)</f>
        <v/>
      </c>
      <c r="BY116">
        <f>IF(O115&lt;=0,0,MIN(O115+BX116,$F$17+BW116))</f>
        <v/>
      </c>
      <c r="BZ116">
        <f>IF(O115&lt;=0,BW116,MAX(0,$F$17+BW116-O115-BX116))</f>
        <v/>
      </c>
      <c r="CA116">
        <f>IF(P115&lt;=0,0,P115*$E$18/12)</f>
        <v/>
      </c>
      <c r="CB116">
        <f>IF(P115&lt;=0,0,MIN(P115+CA116,$F$18+BZ116))</f>
        <v/>
      </c>
      <c r="CC116">
        <f>IF(P115&lt;=0,BZ116,MAX(0,$F$18+BZ116-P115-CA116))</f>
        <v/>
      </c>
      <c r="CD116">
        <f>IF(Q115&lt;=0,0,Q115*$E$19/12)</f>
        <v/>
      </c>
      <c r="CE116">
        <f>IF(Q115&lt;=0,0,MIN(Q115+CD116,$F$19+CC116))</f>
        <v/>
      </c>
      <c r="CF116">
        <f>IF(Q115&lt;=0,CC116,MAX(0,$F$19+CC116-Q115-CD116))</f>
        <v/>
      </c>
      <c r="CG116">
        <f>IF(R115&lt;=0,0,R115*$E$20/12)</f>
        <v/>
      </c>
      <c r="CH116">
        <f>IF(R115&lt;=0,0,MIN(R115+CG116,$F$20+CF116))</f>
        <v/>
      </c>
      <c r="CI116">
        <f>IF(R115&lt;=0,CF116,MAX(0,$F$20+CF116-R115-CG116))</f>
        <v/>
      </c>
      <c r="CJ116">
        <f>IF(S115&lt;=0,0,S115*$E$21/12)</f>
        <v/>
      </c>
      <c r="CK116">
        <f>IF(S115&lt;=0,0,MIN(S115+CJ116,$F$21+CI116))</f>
        <v/>
      </c>
      <c r="CL116">
        <f>IF(S115&lt;=0,CI116,MAX(0,$F$21+CI116-S115-CJ116))</f>
        <v/>
      </c>
      <c r="CM116">
        <f>IF(T115&lt;=0,0,T115*$E$22/12)</f>
        <v/>
      </c>
      <c r="CN116">
        <f>IF(T115&lt;=0,0,MIN(T115+CM116,$F$22+CL116))</f>
        <v/>
      </c>
      <c r="CO116">
        <f>IF(T115&lt;=0,CL116,MAX(0,$F$22+CL116-T115-CM116))</f>
        <v/>
      </c>
      <c r="CP116">
        <f>IF(U115&lt;=0,0,U115*$E$23/12)</f>
        <v/>
      </c>
      <c r="CQ116">
        <f>IF(U115&lt;=0,0,MIN(U115+CP116,$F$23+CO116))</f>
        <v/>
      </c>
      <c r="CR116">
        <f>IF(U115&lt;=0,CO116,MAX(0,$F$23+CO116-U115-CP116))</f>
        <v/>
      </c>
      <c r="CS116">
        <f>IF(V115&lt;=0,0,V115*$E$24/12)</f>
        <v/>
      </c>
      <c r="CT116">
        <f>IF(V115&lt;=0,0,MIN(V115+CS116,$F$24+CR116))</f>
        <v/>
      </c>
      <c r="CU116">
        <f>IF(V115&lt;=0,CR116,MAX(0,$F$24+CR116-V115-CS116))</f>
        <v/>
      </c>
    </row>
    <row r="117">
      <c r="B117" s="39" t="n">
        <v>91</v>
      </c>
      <c r="C117" s="13">
        <f>IF(C116&lt;=0,0,MAX(0,C116+AN117-AO117))</f>
        <v/>
      </c>
      <c r="D117" s="13">
        <f>IF(D116&lt;=0,0,MAX(0,D116+AQ117-AR117))</f>
        <v/>
      </c>
      <c r="E117" s="13">
        <f>IF(E116&lt;=0,0,MAX(0,E116+AT117-AU117))</f>
        <v/>
      </c>
      <c r="F117" s="13">
        <f>IF(F116&lt;=0,0,MAX(0,F116+AW117-AX117))</f>
        <v/>
      </c>
      <c r="G117" s="13">
        <f>IF(G116&lt;=0,0,MAX(0,G116+AZ117-BA117))</f>
        <v/>
      </c>
      <c r="H117" s="13">
        <f>IF(H116&lt;=0,0,MAX(0,H116+BC117-BD117))</f>
        <v/>
      </c>
      <c r="I117" s="13">
        <f>IF(I116&lt;=0,0,MAX(0,I116+BF117-BG117))</f>
        <v/>
      </c>
      <c r="J117" s="13">
        <f>IF(J116&lt;=0,0,MAX(0,J116+BI117-BJ117))</f>
        <v/>
      </c>
      <c r="K117" s="13">
        <f>IF(K116&lt;=0,0,MAX(0,K116+BL117-BM117))</f>
        <v/>
      </c>
      <c r="L117" s="13">
        <f>IF(L116&lt;=0,0,MAX(0,L116+BO117-BP117))</f>
        <v/>
      </c>
      <c r="M117" s="13">
        <f>IF(M116&lt;=0,0,MAX(0,M116+BR117-BS117))</f>
        <v/>
      </c>
      <c r="N117" s="13">
        <f>IF(N116&lt;=0,0,MAX(0,N116+BU117-BV117))</f>
        <v/>
      </c>
      <c r="O117" s="13">
        <f>IF(O116&lt;=0,0,MAX(0,O116+BX117-BY117))</f>
        <v/>
      </c>
      <c r="P117" s="13">
        <f>IF(P116&lt;=0,0,MAX(0,P116+CA117-CB117))</f>
        <v/>
      </c>
      <c r="Q117" s="13">
        <f>IF(Q116&lt;=0,0,MAX(0,Q116+CD117-CE117))</f>
        <v/>
      </c>
      <c r="R117" s="13">
        <f>IF(R116&lt;=0,0,MAX(0,R116+CG117-CH117))</f>
        <v/>
      </c>
      <c r="S117" s="13">
        <f>IF(S116&lt;=0,0,MAX(0,S116+CJ117-CK117))</f>
        <v/>
      </c>
      <c r="T117" s="13">
        <f>IF(T116&lt;=0,0,MAX(0,T116+CM117-CN117))</f>
        <v/>
      </c>
      <c r="U117" s="13">
        <f>IF(U116&lt;=0,0,MAX(0,U116+CP117-CQ117))</f>
        <v/>
      </c>
      <c r="V117" s="13">
        <f>IF(V116&lt;=0,0,MAX(0,V116+CS117-CT117))</f>
        <v/>
      </c>
      <c r="W117" s="13">
        <f>AO117+AR117+AU117+AX117+BA117+BD117+BG117+BJ117+BM117+BP117+BS117+BV117+BY117+CB117+CE117+CH117+CK117+CN117+CQ117+CT117</f>
        <v/>
      </c>
      <c r="X117" s="13">
        <f>AN117+AQ117+AT117+AW117+AZ117+BC117+BF117+BI117+BL117+BO117+BR117+BU117+BX117+CA117+CD117+CG117+CJ117+CM117+CP117+CS117</f>
        <v/>
      </c>
      <c r="Y117" s="27">
        <f>C117+D117+E117+F117+G117+H117+I117+J117+K117+L117+M117+N117+O117+P117+Q117+R117+S117+T117+U117+V117</f>
        <v/>
      </c>
      <c r="AN117">
        <f>IF(C116&lt;=0,0,C116*$E$5/12)</f>
        <v/>
      </c>
      <c r="AO117">
        <f>IF(C116&lt;=0,0,MIN(C116+AN117,$F$5+(Dashboard!$C$11+IF(C116&lt;=0,$F$5,0)+IF(D116&lt;=0,$F$6,0)+IF(E116&lt;=0,$F$7,0)+IF(F116&lt;=0,$F$8,0)+IF(G116&lt;=0,$F$9,0)+IF(H116&lt;=0,$F$10,0)+IF(I116&lt;=0,$F$11,0)+IF(J116&lt;=0,$F$12,0)+IF(K116&lt;=0,$F$13,0)+IF(L116&lt;=0,$F$14,0)+IF(M116&lt;=0,$F$15,0)+IF(N116&lt;=0,$F$16,0)+IF(O116&lt;=0,$F$17,0)+IF(P116&lt;=0,$F$18,0)+IF(Q116&lt;=0,$F$19,0)+IF(R116&lt;=0,$F$20,0)+IF(S116&lt;=0,$F$21,0)+IF(T116&lt;=0,$F$22,0)+IF(U116&lt;=0,$F$23,0)+IF(V116&lt;=0,$F$24,0))))</f>
        <v/>
      </c>
      <c r="AP117">
        <f>IF(C116&lt;=0,(Dashboard!$C$11+IF(C116&lt;=0,$F$5,0)+IF(D116&lt;=0,$F$6,0)+IF(E116&lt;=0,$F$7,0)+IF(F116&lt;=0,$F$8,0)+IF(G116&lt;=0,$F$9,0)+IF(H116&lt;=0,$F$10,0)+IF(I116&lt;=0,$F$11,0)+IF(J116&lt;=0,$F$12,0)+IF(K116&lt;=0,$F$13,0)+IF(L116&lt;=0,$F$14,0)+IF(M116&lt;=0,$F$15,0)+IF(N116&lt;=0,$F$16,0)+IF(O116&lt;=0,$F$17,0)+IF(P116&lt;=0,$F$18,0)+IF(Q116&lt;=0,$F$19,0)+IF(R116&lt;=0,$F$20,0)+IF(S116&lt;=0,$F$21,0)+IF(T116&lt;=0,$F$22,0)+IF(U116&lt;=0,$F$23,0)+IF(V116&lt;=0,$F$24,0)),MAX(0,$F$5+(Dashboard!$C$11+IF(C116&lt;=0,$F$5,0)+IF(D116&lt;=0,$F$6,0)+IF(E116&lt;=0,$F$7,0)+IF(F116&lt;=0,$F$8,0)+IF(G116&lt;=0,$F$9,0)+IF(H116&lt;=0,$F$10,0)+IF(I116&lt;=0,$F$11,0)+IF(J116&lt;=0,$F$12,0)+IF(K116&lt;=0,$F$13,0)+IF(L116&lt;=0,$F$14,0)+IF(M116&lt;=0,$F$15,0)+IF(N116&lt;=0,$F$16,0)+IF(O116&lt;=0,$F$17,0)+IF(P116&lt;=0,$F$18,0)+IF(Q116&lt;=0,$F$19,0)+IF(R116&lt;=0,$F$20,0)+IF(S116&lt;=0,$F$21,0)+IF(T116&lt;=0,$F$22,0)+IF(U116&lt;=0,$F$23,0)+IF(V116&lt;=0,$F$24,0))-C116-AN117))</f>
        <v/>
      </c>
      <c r="AQ117">
        <f>IF(D116&lt;=0,0,D116*$E$6/12)</f>
        <v/>
      </c>
      <c r="AR117">
        <f>IF(D116&lt;=0,0,MIN(D116+AQ117,$F$6+AP117))</f>
        <v/>
      </c>
      <c r="AS117">
        <f>IF(D116&lt;=0,AP117,MAX(0,$F$6+AP117-D116-AQ117))</f>
        <v/>
      </c>
      <c r="AT117">
        <f>IF(E116&lt;=0,0,E116*$E$7/12)</f>
        <v/>
      </c>
      <c r="AU117">
        <f>IF(E116&lt;=0,0,MIN(E116+AT117,$F$7+AS117))</f>
        <v/>
      </c>
      <c r="AV117">
        <f>IF(E116&lt;=0,AS117,MAX(0,$F$7+AS117-E116-AT117))</f>
        <v/>
      </c>
      <c r="AW117">
        <f>IF(F116&lt;=0,0,F116*$E$8/12)</f>
        <v/>
      </c>
      <c r="AX117">
        <f>IF(F116&lt;=0,0,MIN(F116+AW117,$F$8+AV117))</f>
        <v/>
      </c>
      <c r="AY117">
        <f>IF(F116&lt;=0,AV117,MAX(0,$F$8+AV117-F116-AW117))</f>
        <v/>
      </c>
      <c r="AZ117">
        <f>IF(G116&lt;=0,0,G116*$E$9/12)</f>
        <v/>
      </c>
      <c r="BA117">
        <f>IF(G116&lt;=0,0,MIN(G116+AZ117,$F$9+AY117))</f>
        <v/>
      </c>
      <c r="BB117">
        <f>IF(G116&lt;=0,AY117,MAX(0,$F$9+AY117-G116-AZ117))</f>
        <v/>
      </c>
      <c r="BC117">
        <f>IF(H116&lt;=0,0,H116*$E$10/12)</f>
        <v/>
      </c>
      <c r="BD117">
        <f>IF(H116&lt;=0,0,MIN(H116+BC117,$F$10+BB117))</f>
        <v/>
      </c>
      <c r="BE117">
        <f>IF(H116&lt;=0,BB117,MAX(0,$F$10+BB117-H116-BC117))</f>
        <v/>
      </c>
      <c r="BF117">
        <f>IF(I116&lt;=0,0,I116*$E$11/12)</f>
        <v/>
      </c>
      <c r="BG117">
        <f>IF(I116&lt;=0,0,MIN(I116+BF117,$F$11+BE117))</f>
        <v/>
      </c>
      <c r="BH117">
        <f>IF(I116&lt;=0,BE117,MAX(0,$F$11+BE117-I116-BF117))</f>
        <v/>
      </c>
      <c r="BI117">
        <f>IF(J116&lt;=0,0,J116*$E$12/12)</f>
        <v/>
      </c>
      <c r="BJ117">
        <f>IF(J116&lt;=0,0,MIN(J116+BI117,$F$12+BH117))</f>
        <v/>
      </c>
      <c r="BK117">
        <f>IF(J116&lt;=0,BH117,MAX(0,$F$12+BH117-J116-BI117))</f>
        <v/>
      </c>
      <c r="BL117">
        <f>IF(K116&lt;=0,0,K116*$E$13/12)</f>
        <v/>
      </c>
      <c r="BM117">
        <f>IF(K116&lt;=0,0,MIN(K116+BL117,$F$13+BK117))</f>
        <v/>
      </c>
      <c r="BN117">
        <f>IF(K116&lt;=0,BK117,MAX(0,$F$13+BK117-K116-BL117))</f>
        <v/>
      </c>
      <c r="BO117">
        <f>IF(L116&lt;=0,0,L116*$E$14/12)</f>
        <v/>
      </c>
      <c r="BP117">
        <f>IF(L116&lt;=0,0,MIN(L116+BO117,$F$14+BN117))</f>
        <v/>
      </c>
      <c r="BQ117">
        <f>IF(L116&lt;=0,BN117,MAX(0,$F$14+BN117-L116-BO117))</f>
        <v/>
      </c>
      <c r="BR117">
        <f>IF(M116&lt;=0,0,M116*$E$15/12)</f>
        <v/>
      </c>
      <c r="BS117">
        <f>IF(M116&lt;=0,0,MIN(M116+BR117,$F$15+BQ117))</f>
        <v/>
      </c>
      <c r="BT117">
        <f>IF(M116&lt;=0,BQ117,MAX(0,$F$15+BQ117-M116-BR117))</f>
        <v/>
      </c>
      <c r="BU117">
        <f>IF(N116&lt;=0,0,N116*$E$16/12)</f>
        <v/>
      </c>
      <c r="BV117">
        <f>IF(N116&lt;=0,0,MIN(N116+BU117,$F$16+BT117))</f>
        <v/>
      </c>
      <c r="BW117">
        <f>IF(N116&lt;=0,BT117,MAX(0,$F$16+BT117-N116-BU117))</f>
        <v/>
      </c>
      <c r="BX117">
        <f>IF(O116&lt;=0,0,O116*$E$17/12)</f>
        <v/>
      </c>
      <c r="BY117">
        <f>IF(O116&lt;=0,0,MIN(O116+BX117,$F$17+BW117))</f>
        <v/>
      </c>
      <c r="BZ117">
        <f>IF(O116&lt;=0,BW117,MAX(0,$F$17+BW117-O116-BX117))</f>
        <v/>
      </c>
      <c r="CA117">
        <f>IF(P116&lt;=0,0,P116*$E$18/12)</f>
        <v/>
      </c>
      <c r="CB117">
        <f>IF(P116&lt;=0,0,MIN(P116+CA117,$F$18+BZ117))</f>
        <v/>
      </c>
      <c r="CC117">
        <f>IF(P116&lt;=0,BZ117,MAX(0,$F$18+BZ117-P116-CA117))</f>
        <v/>
      </c>
      <c r="CD117">
        <f>IF(Q116&lt;=0,0,Q116*$E$19/12)</f>
        <v/>
      </c>
      <c r="CE117">
        <f>IF(Q116&lt;=0,0,MIN(Q116+CD117,$F$19+CC117))</f>
        <v/>
      </c>
      <c r="CF117">
        <f>IF(Q116&lt;=0,CC117,MAX(0,$F$19+CC117-Q116-CD117))</f>
        <v/>
      </c>
      <c r="CG117">
        <f>IF(R116&lt;=0,0,R116*$E$20/12)</f>
        <v/>
      </c>
      <c r="CH117">
        <f>IF(R116&lt;=0,0,MIN(R116+CG117,$F$20+CF117))</f>
        <v/>
      </c>
      <c r="CI117">
        <f>IF(R116&lt;=0,CF117,MAX(0,$F$20+CF117-R116-CG117))</f>
        <v/>
      </c>
      <c r="CJ117">
        <f>IF(S116&lt;=0,0,S116*$E$21/12)</f>
        <v/>
      </c>
      <c r="CK117">
        <f>IF(S116&lt;=0,0,MIN(S116+CJ117,$F$21+CI117))</f>
        <v/>
      </c>
      <c r="CL117">
        <f>IF(S116&lt;=0,CI117,MAX(0,$F$21+CI117-S116-CJ117))</f>
        <v/>
      </c>
      <c r="CM117">
        <f>IF(T116&lt;=0,0,T116*$E$22/12)</f>
        <v/>
      </c>
      <c r="CN117">
        <f>IF(T116&lt;=0,0,MIN(T116+CM117,$F$22+CL117))</f>
        <v/>
      </c>
      <c r="CO117">
        <f>IF(T116&lt;=0,CL117,MAX(0,$F$22+CL117-T116-CM117))</f>
        <v/>
      </c>
      <c r="CP117">
        <f>IF(U116&lt;=0,0,U116*$E$23/12)</f>
        <v/>
      </c>
      <c r="CQ117">
        <f>IF(U116&lt;=0,0,MIN(U116+CP117,$F$23+CO117))</f>
        <v/>
      </c>
      <c r="CR117">
        <f>IF(U116&lt;=0,CO117,MAX(0,$F$23+CO117-U116-CP117))</f>
        <v/>
      </c>
      <c r="CS117">
        <f>IF(V116&lt;=0,0,V116*$E$24/12)</f>
        <v/>
      </c>
      <c r="CT117">
        <f>IF(V116&lt;=0,0,MIN(V116+CS117,$F$24+CR117))</f>
        <v/>
      </c>
      <c r="CU117">
        <f>IF(V116&lt;=0,CR117,MAX(0,$F$24+CR117-V116-CS117))</f>
        <v/>
      </c>
    </row>
    <row r="118">
      <c r="B118" s="39" t="n">
        <v>92</v>
      </c>
      <c r="C118" s="13">
        <f>IF(C117&lt;=0,0,MAX(0,C117+AN118-AO118))</f>
        <v/>
      </c>
      <c r="D118" s="13">
        <f>IF(D117&lt;=0,0,MAX(0,D117+AQ118-AR118))</f>
        <v/>
      </c>
      <c r="E118" s="13">
        <f>IF(E117&lt;=0,0,MAX(0,E117+AT118-AU118))</f>
        <v/>
      </c>
      <c r="F118" s="13">
        <f>IF(F117&lt;=0,0,MAX(0,F117+AW118-AX118))</f>
        <v/>
      </c>
      <c r="G118" s="13">
        <f>IF(G117&lt;=0,0,MAX(0,G117+AZ118-BA118))</f>
        <v/>
      </c>
      <c r="H118" s="13">
        <f>IF(H117&lt;=0,0,MAX(0,H117+BC118-BD118))</f>
        <v/>
      </c>
      <c r="I118" s="13">
        <f>IF(I117&lt;=0,0,MAX(0,I117+BF118-BG118))</f>
        <v/>
      </c>
      <c r="J118" s="13">
        <f>IF(J117&lt;=0,0,MAX(0,J117+BI118-BJ118))</f>
        <v/>
      </c>
      <c r="K118" s="13">
        <f>IF(K117&lt;=0,0,MAX(0,K117+BL118-BM118))</f>
        <v/>
      </c>
      <c r="L118" s="13">
        <f>IF(L117&lt;=0,0,MAX(0,L117+BO118-BP118))</f>
        <v/>
      </c>
      <c r="M118" s="13">
        <f>IF(M117&lt;=0,0,MAX(0,M117+BR118-BS118))</f>
        <v/>
      </c>
      <c r="N118" s="13">
        <f>IF(N117&lt;=0,0,MAX(0,N117+BU118-BV118))</f>
        <v/>
      </c>
      <c r="O118" s="13">
        <f>IF(O117&lt;=0,0,MAX(0,O117+BX118-BY118))</f>
        <v/>
      </c>
      <c r="P118" s="13">
        <f>IF(P117&lt;=0,0,MAX(0,P117+CA118-CB118))</f>
        <v/>
      </c>
      <c r="Q118" s="13">
        <f>IF(Q117&lt;=0,0,MAX(0,Q117+CD118-CE118))</f>
        <v/>
      </c>
      <c r="R118" s="13">
        <f>IF(R117&lt;=0,0,MAX(0,R117+CG118-CH118))</f>
        <v/>
      </c>
      <c r="S118" s="13">
        <f>IF(S117&lt;=0,0,MAX(0,S117+CJ118-CK118))</f>
        <v/>
      </c>
      <c r="T118" s="13">
        <f>IF(T117&lt;=0,0,MAX(0,T117+CM118-CN118))</f>
        <v/>
      </c>
      <c r="U118" s="13">
        <f>IF(U117&lt;=0,0,MAX(0,U117+CP118-CQ118))</f>
        <v/>
      </c>
      <c r="V118" s="13">
        <f>IF(V117&lt;=0,0,MAX(0,V117+CS118-CT118))</f>
        <v/>
      </c>
      <c r="W118" s="13">
        <f>AO118+AR118+AU118+AX118+BA118+BD118+BG118+BJ118+BM118+BP118+BS118+BV118+BY118+CB118+CE118+CH118+CK118+CN118+CQ118+CT118</f>
        <v/>
      </c>
      <c r="X118" s="13">
        <f>AN118+AQ118+AT118+AW118+AZ118+BC118+BF118+BI118+BL118+BO118+BR118+BU118+BX118+CA118+CD118+CG118+CJ118+CM118+CP118+CS118</f>
        <v/>
      </c>
      <c r="Y118" s="27">
        <f>C118+D118+E118+F118+G118+H118+I118+J118+K118+L118+M118+N118+O118+P118+Q118+R118+S118+T118+U118+V118</f>
        <v/>
      </c>
      <c r="AN118">
        <f>IF(C117&lt;=0,0,C117*$E$5/12)</f>
        <v/>
      </c>
      <c r="AO118">
        <f>IF(C117&lt;=0,0,MIN(C117+AN118,$F$5+(Dashboard!$C$11+IF(C117&lt;=0,$F$5,0)+IF(D117&lt;=0,$F$6,0)+IF(E117&lt;=0,$F$7,0)+IF(F117&lt;=0,$F$8,0)+IF(G117&lt;=0,$F$9,0)+IF(H117&lt;=0,$F$10,0)+IF(I117&lt;=0,$F$11,0)+IF(J117&lt;=0,$F$12,0)+IF(K117&lt;=0,$F$13,0)+IF(L117&lt;=0,$F$14,0)+IF(M117&lt;=0,$F$15,0)+IF(N117&lt;=0,$F$16,0)+IF(O117&lt;=0,$F$17,0)+IF(P117&lt;=0,$F$18,0)+IF(Q117&lt;=0,$F$19,0)+IF(R117&lt;=0,$F$20,0)+IF(S117&lt;=0,$F$21,0)+IF(T117&lt;=0,$F$22,0)+IF(U117&lt;=0,$F$23,0)+IF(V117&lt;=0,$F$24,0))))</f>
        <v/>
      </c>
      <c r="AP118">
        <f>IF(C117&lt;=0,(Dashboard!$C$11+IF(C117&lt;=0,$F$5,0)+IF(D117&lt;=0,$F$6,0)+IF(E117&lt;=0,$F$7,0)+IF(F117&lt;=0,$F$8,0)+IF(G117&lt;=0,$F$9,0)+IF(H117&lt;=0,$F$10,0)+IF(I117&lt;=0,$F$11,0)+IF(J117&lt;=0,$F$12,0)+IF(K117&lt;=0,$F$13,0)+IF(L117&lt;=0,$F$14,0)+IF(M117&lt;=0,$F$15,0)+IF(N117&lt;=0,$F$16,0)+IF(O117&lt;=0,$F$17,0)+IF(P117&lt;=0,$F$18,0)+IF(Q117&lt;=0,$F$19,0)+IF(R117&lt;=0,$F$20,0)+IF(S117&lt;=0,$F$21,0)+IF(T117&lt;=0,$F$22,0)+IF(U117&lt;=0,$F$23,0)+IF(V117&lt;=0,$F$24,0)),MAX(0,$F$5+(Dashboard!$C$11+IF(C117&lt;=0,$F$5,0)+IF(D117&lt;=0,$F$6,0)+IF(E117&lt;=0,$F$7,0)+IF(F117&lt;=0,$F$8,0)+IF(G117&lt;=0,$F$9,0)+IF(H117&lt;=0,$F$10,0)+IF(I117&lt;=0,$F$11,0)+IF(J117&lt;=0,$F$12,0)+IF(K117&lt;=0,$F$13,0)+IF(L117&lt;=0,$F$14,0)+IF(M117&lt;=0,$F$15,0)+IF(N117&lt;=0,$F$16,0)+IF(O117&lt;=0,$F$17,0)+IF(P117&lt;=0,$F$18,0)+IF(Q117&lt;=0,$F$19,0)+IF(R117&lt;=0,$F$20,0)+IF(S117&lt;=0,$F$21,0)+IF(T117&lt;=0,$F$22,0)+IF(U117&lt;=0,$F$23,0)+IF(V117&lt;=0,$F$24,0))-C117-AN118))</f>
        <v/>
      </c>
      <c r="AQ118">
        <f>IF(D117&lt;=0,0,D117*$E$6/12)</f>
        <v/>
      </c>
      <c r="AR118">
        <f>IF(D117&lt;=0,0,MIN(D117+AQ118,$F$6+AP118))</f>
        <v/>
      </c>
      <c r="AS118">
        <f>IF(D117&lt;=0,AP118,MAX(0,$F$6+AP118-D117-AQ118))</f>
        <v/>
      </c>
      <c r="AT118">
        <f>IF(E117&lt;=0,0,E117*$E$7/12)</f>
        <v/>
      </c>
      <c r="AU118">
        <f>IF(E117&lt;=0,0,MIN(E117+AT118,$F$7+AS118))</f>
        <v/>
      </c>
      <c r="AV118">
        <f>IF(E117&lt;=0,AS118,MAX(0,$F$7+AS118-E117-AT118))</f>
        <v/>
      </c>
      <c r="AW118">
        <f>IF(F117&lt;=0,0,F117*$E$8/12)</f>
        <v/>
      </c>
      <c r="AX118">
        <f>IF(F117&lt;=0,0,MIN(F117+AW118,$F$8+AV118))</f>
        <v/>
      </c>
      <c r="AY118">
        <f>IF(F117&lt;=0,AV118,MAX(0,$F$8+AV118-F117-AW118))</f>
        <v/>
      </c>
      <c r="AZ118">
        <f>IF(G117&lt;=0,0,G117*$E$9/12)</f>
        <v/>
      </c>
      <c r="BA118">
        <f>IF(G117&lt;=0,0,MIN(G117+AZ118,$F$9+AY118))</f>
        <v/>
      </c>
      <c r="BB118">
        <f>IF(G117&lt;=0,AY118,MAX(0,$F$9+AY118-G117-AZ118))</f>
        <v/>
      </c>
      <c r="BC118">
        <f>IF(H117&lt;=0,0,H117*$E$10/12)</f>
        <v/>
      </c>
      <c r="BD118">
        <f>IF(H117&lt;=0,0,MIN(H117+BC118,$F$10+BB118))</f>
        <v/>
      </c>
      <c r="BE118">
        <f>IF(H117&lt;=0,BB118,MAX(0,$F$10+BB118-H117-BC118))</f>
        <v/>
      </c>
      <c r="BF118">
        <f>IF(I117&lt;=0,0,I117*$E$11/12)</f>
        <v/>
      </c>
      <c r="BG118">
        <f>IF(I117&lt;=0,0,MIN(I117+BF118,$F$11+BE118))</f>
        <v/>
      </c>
      <c r="BH118">
        <f>IF(I117&lt;=0,BE118,MAX(0,$F$11+BE118-I117-BF118))</f>
        <v/>
      </c>
      <c r="BI118">
        <f>IF(J117&lt;=0,0,J117*$E$12/12)</f>
        <v/>
      </c>
      <c r="BJ118">
        <f>IF(J117&lt;=0,0,MIN(J117+BI118,$F$12+BH118))</f>
        <v/>
      </c>
      <c r="BK118">
        <f>IF(J117&lt;=0,BH118,MAX(0,$F$12+BH118-J117-BI118))</f>
        <v/>
      </c>
      <c r="BL118">
        <f>IF(K117&lt;=0,0,K117*$E$13/12)</f>
        <v/>
      </c>
      <c r="BM118">
        <f>IF(K117&lt;=0,0,MIN(K117+BL118,$F$13+BK118))</f>
        <v/>
      </c>
      <c r="BN118">
        <f>IF(K117&lt;=0,BK118,MAX(0,$F$13+BK118-K117-BL118))</f>
        <v/>
      </c>
      <c r="BO118">
        <f>IF(L117&lt;=0,0,L117*$E$14/12)</f>
        <v/>
      </c>
      <c r="BP118">
        <f>IF(L117&lt;=0,0,MIN(L117+BO118,$F$14+BN118))</f>
        <v/>
      </c>
      <c r="BQ118">
        <f>IF(L117&lt;=0,BN118,MAX(0,$F$14+BN118-L117-BO118))</f>
        <v/>
      </c>
      <c r="BR118">
        <f>IF(M117&lt;=0,0,M117*$E$15/12)</f>
        <v/>
      </c>
      <c r="BS118">
        <f>IF(M117&lt;=0,0,MIN(M117+BR118,$F$15+BQ118))</f>
        <v/>
      </c>
      <c r="BT118">
        <f>IF(M117&lt;=0,BQ118,MAX(0,$F$15+BQ118-M117-BR118))</f>
        <v/>
      </c>
      <c r="BU118">
        <f>IF(N117&lt;=0,0,N117*$E$16/12)</f>
        <v/>
      </c>
      <c r="BV118">
        <f>IF(N117&lt;=0,0,MIN(N117+BU118,$F$16+BT118))</f>
        <v/>
      </c>
      <c r="BW118">
        <f>IF(N117&lt;=0,BT118,MAX(0,$F$16+BT118-N117-BU118))</f>
        <v/>
      </c>
      <c r="BX118">
        <f>IF(O117&lt;=0,0,O117*$E$17/12)</f>
        <v/>
      </c>
      <c r="BY118">
        <f>IF(O117&lt;=0,0,MIN(O117+BX118,$F$17+BW118))</f>
        <v/>
      </c>
      <c r="BZ118">
        <f>IF(O117&lt;=0,BW118,MAX(0,$F$17+BW118-O117-BX118))</f>
        <v/>
      </c>
      <c r="CA118">
        <f>IF(P117&lt;=0,0,P117*$E$18/12)</f>
        <v/>
      </c>
      <c r="CB118">
        <f>IF(P117&lt;=0,0,MIN(P117+CA118,$F$18+BZ118))</f>
        <v/>
      </c>
      <c r="CC118">
        <f>IF(P117&lt;=0,BZ118,MAX(0,$F$18+BZ118-P117-CA118))</f>
        <v/>
      </c>
      <c r="CD118">
        <f>IF(Q117&lt;=0,0,Q117*$E$19/12)</f>
        <v/>
      </c>
      <c r="CE118">
        <f>IF(Q117&lt;=0,0,MIN(Q117+CD118,$F$19+CC118))</f>
        <v/>
      </c>
      <c r="CF118">
        <f>IF(Q117&lt;=0,CC118,MAX(0,$F$19+CC118-Q117-CD118))</f>
        <v/>
      </c>
      <c r="CG118">
        <f>IF(R117&lt;=0,0,R117*$E$20/12)</f>
        <v/>
      </c>
      <c r="CH118">
        <f>IF(R117&lt;=0,0,MIN(R117+CG118,$F$20+CF118))</f>
        <v/>
      </c>
      <c r="CI118">
        <f>IF(R117&lt;=0,CF118,MAX(0,$F$20+CF118-R117-CG118))</f>
        <v/>
      </c>
      <c r="CJ118">
        <f>IF(S117&lt;=0,0,S117*$E$21/12)</f>
        <v/>
      </c>
      <c r="CK118">
        <f>IF(S117&lt;=0,0,MIN(S117+CJ118,$F$21+CI118))</f>
        <v/>
      </c>
      <c r="CL118">
        <f>IF(S117&lt;=0,CI118,MAX(0,$F$21+CI118-S117-CJ118))</f>
        <v/>
      </c>
      <c r="CM118">
        <f>IF(T117&lt;=0,0,T117*$E$22/12)</f>
        <v/>
      </c>
      <c r="CN118">
        <f>IF(T117&lt;=0,0,MIN(T117+CM118,$F$22+CL118))</f>
        <v/>
      </c>
      <c r="CO118">
        <f>IF(T117&lt;=0,CL118,MAX(0,$F$22+CL118-T117-CM118))</f>
        <v/>
      </c>
      <c r="CP118">
        <f>IF(U117&lt;=0,0,U117*$E$23/12)</f>
        <v/>
      </c>
      <c r="CQ118">
        <f>IF(U117&lt;=0,0,MIN(U117+CP118,$F$23+CO118))</f>
        <v/>
      </c>
      <c r="CR118">
        <f>IF(U117&lt;=0,CO118,MAX(0,$F$23+CO118-U117-CP118))</f>
        <v/>
      </c>
      <c r="CS118">
        <f>IF(V117&lt;=0,0,V117*$E$24/12)</f>
        <v/>
      </c>
      <c r="CT118">
        <f>IF(V117&lt;=0,0,MIN(V117+CS118,$F$24+CR118))</f>
        <v/>
      </c>
      <c r="CU118">
        <f>IF(V117&lt;=0,CR118,MAX(0,$F$24+CR118-V117-CS118))</f>
        <v/>
      </c>
    </row>
    <row r="119">
      <c r="B119" s="39" t="n">
        <v>93</v>
      </c>
      <c r="C119" s="13">
        <f>IF(C118&lt;=0,0,MAX(0,C118+AN119-AO119))</f>
        <v/>
      </c>
      <c r="D119" s="13">
        <f>IF(D118&lt;=0,0,MAX(0,D118+AQ119-AR119))</f>
        <v/>
      </c>
      <c r="E119" s="13">
        <f>IF(E118&lt;=0,0,MAX(0,E118+AT119-AU119))</f>
        <v/>
      </c>
      <c r="F119" s="13">
        <f>IF(F118&lt;=0,0,MAX(0,F118+AW119-AX119))</f>
        <v/>
      </c>
      <c r="G119" s="13">
        <f>IF(G118&lt;=0,0,MAX(0,G118+AZ119-BA119))</f>
        <v/>
      </c>
      <c r="H119" s="13">
        <f>IF(H118&lt;=0,0,MAX(0,H118+BC119-BD119))</f>
        <v/>
      </c>
      <c r="I119" s="13">
        <f>IF(I118&lt;=0,0,MAX(0,I118+BF119-BG119))</f>
        <v/>
      </c>
      <c r="J119" s="13">
        <f>IF(J118&lt;=0,0,MAX(0,J118+BI119-BJ119))</f>
        <v/>
      </c>
      <c r="K119" s="13">
        <f>IF(K118&lt;=0,0,MAX(0,K118+BL119-BM119))</f>
        <v/>
      </c>
      <c r="L119" s="13">
        <f>IF(L118&lt;=0,0,MAX(0,L118+BO119-BP119))</f>
        <v/>
      </c>
      <c r="M119" s="13">
        <f>IF(M118&lt;=0,0,MAX(0,M118+BR119-BS119))</f>
        <v/>
      </c>
      <c r="N119" s="13">
        <f>IF(N118&lt;=0,0,MAX(0,N118+BU119-BV119))</f>
        <v/>
      </c>
      <c r="O119" s="13">
        <f>IF(O118&lt;=0,0,MAX(0,O118+BX119-BY119))</f>
        <v/>
      </c>
      <c r="P119" s="13">
        <f>IF(P118&lt;=0,0,MAX(0,P118+CA119-CB119))</f>
        <v/>
      </c>
      <c r="Q119" s="13">
        <f>IF(Q118&lt;=0,0,MAX(0,Q118+CD119-CE119))</f>
        <v/>
      </c>
      <c r="R119" s="13">
        <f>IF(R118&lt;=0,0,MAX(0,R118+CG119-CH119))</f>
        <v/>
      </c>
      <c r="S119" s="13">
        <f>IF(S118&lt;=0,0,MAX(0,S118+CJ119-CK119))</f>
        <v/>
      </c>
      <c r="T119" s="13">
        <f>IF(T118&lt;=0,0,MAX(0,T118+CM119-CN119))</f>
        <v/>
      </c>
      <c r="U119" s="13">
        <f>IF(U118&lt;=0,0,MAX(0,U118+CP119-CQ119))</f>
        <v/>
      </c>
      <c r="V119" s="13">
        <f>IF(V118&lt;=0,0,MAX(0,V118+CS119-CT119))</f>
        <v/>
      </c>
      <c r="W119" s="13">
        <f>AO119+AR119+AU119+AX119+BA119+BD119+BG119+BJ119+BM119+BP119+BS119+BV119+BY119+CB119+CE119+CH119+CK119+CN119+CQ119+CT119</f>
        <v/>
      </c>
      <c r="X119" s="13">
        <f>AN119+AQ119+AT119+AW119+AZ119+BC119+BF119+BI119+BL119+BO119+BR119+BU119+BX119+CA119+CD119+CG119+CJ119+CM119+CP119+CS119</f>
        <v/>
      </c>
      <c r="Y119" s="27">
        <f>C119+D119+E119+F119+G119+H119+I119+J119+K119+L119+M119+N119+O119+P119+Q119+R119+S119+T119+U119+V119</f>
        <v/>
      </c>
      <c r="AN119">
        <f>IF(C118&lt;=0,0,C118*$E$5/12)</f>
        <v/>
      </c>
      <c r="AO119">
        <f>IF(C118&lt;=0,0,MIN(C118+AN119,$F$5+(Dashboard!$C$11+IF(C118&lt;=0,$F$5,0)+IF(D118&lt;=0,$F$6,0)+IF(E118&lt;=0,$F$7,0)+IF(F118&lt;=0,$F$8,0)+IF(G118&lt;=0,$F$9,0)+IF(H118&lt;=0,$F$10,0)+IF(I118&lt;=0,$F$11,0)+IF(J118&lt;=0,$F$12,0)+IF(K118&lt;=0,$F$13,0)+IF(L118&lt;=0,$F$14,0)+IF(M118&lt;=0,$F$15,0)+IF(N118&lt;=0,$F$16,0)+IF(O118&lt;=0,$F$17,0)+IF(P118&lt;=0,$F$18,0)+IF(Q118&lt;=0,$F$19,0)+IF(R118&lt;=0,$F$20,0)+IF(S118&lt;=0,$F$21,0)+IF(T118&lt;=0,$F$22,0)+IF(U118&lt;=0,$F$23,0)+IF(V118&lt;=0,$F$24,0))))</f>
        <v/>
      </c>
      <c r="AP119">
        <f>IF(C118&lt;=0,(Dashboard!$C$11+IF(C118&lt;=0,$F$5,0)+IF(D118&lt;=0,$F$6,0)+IF(E118&lt;=0,$F$7,0)+IF(F118&lt;=0,$F$8,0)+IF(G118&lt;=0,$F$9,0)+IF(H118&lt;=0,$F$10,0)+IF(I118&lt;=0,$F$11,0)+IF(J118&lt;=0,$F$12,0)+IF(K118&lt;=0,$F$13,0)+IF(L118&lt;=0,$F$14,0)+IF(M118&lt;=0,$F$15,0)+IF(N118&lt;=0,$F$16,0)+IF(O118&lt;=0,$F$17,0)+IF(P118&lt;=0,$F$18,0)+IF(Q118&lt;=0,$F$19,0)+IF(R118&lt;=0,$F$20,0)+IF(S118&lt;=0,$F$21,0)+IF(T118&lt;=0,$F$22,0)+IF(U118&lt;=0,$F$23,0)+IF(V118&lt;=0,$F$24,0)),MAX(0,$F$5+(Dashboard!$C$11+IF(C118&lt;=0,$F$5,0)+IF(D118&lt;=0,$F$6,0)+IF(E118&lt;=0,$F$7,0)+IF(F118&lt;=0,$F$8,0)+IF(G118&lt;=0,$F$9,0)+IF(H118&lt;=0,$F$10,0)+IF(I118&lt;=0,$F$11,0)+IF(J118&lt;=0,$F$12,0)+IF(K118&lt;=0,$F$13,0)+IF(L118&lt;=0,$F$14,0)+IF(M118&lt;=0,$F$15,0)+IF(N118&lt;=0,$F$16,0)+IF(O118&lt;=0,$F$17,0)+IF(P118&lt;=0,$F$18,0)+IF(Q118&lt;=0,$F$19,0)+IF(R118&lt;=0,$F$20,0)+IF(S118&lt;=0,$F$21,0)+IF(T118&lt;=0,$F$22,0)+IF(U118&lt;=0,$F$23,0)+IF(V118&lt;=0,$F$24,0))-C118-AN119))</f>
        <v/>
      </c>
      <c r="AQ119">
        <f>IF(D118&lt;=0,0,D118*$E$6/12)</f>
        <v/>
      </c>
      <c r="AR119">
        <f>IF(D118&lt;=0,0,MIN(D118+AQ119,$F$6+AP119))</f>
        <v/>
      </c>
      <c r="AS119">
        <f>IF(D118&lt;=0,AP119,MAX(0,$F$6+AP119-D118-AQ119))</f>
        <v/>
      </c>
      <c r="AT119">
        <f>IF(E118&lt;=0,0,E118*$E$7/12)</f>
        <v/>
      </c>
      <c r="AU119">
        <f>IF(E118&lt;=0,0,MIN(E118+AT119,$F$7+AS119))</f>
        <v/>
      </c>
      <c r="AV119">
        <f>IF(E118&lt;=0,AS119,MAX(0,$F$7+AS119-E118-AT119))</f>
        <v/>
      </c>
      <c r="AW119">
        <f>IF(F118&lt;=0,0,F118*$E$8/12)</f>
        <v/>
      </c>
      <c r="AX119">
        <f>IF(F118&lt;=0,0,MIN(F118+AW119,$F$8+AV119))</f>
        <v/>
      </c>
      <c r="AY119">
        <f>IF(F118&lt;=0,AV119,MAX(0,$F$8+AV119-F118-AW119))</f>
        <v/>
      </c>
      <c r="AZ119">
        <f>IF(G118&lt;=0,0,G118*$E$9/12)</f>
        <v/>
      </c>
      <c r="BA119">
        <f>IF(G118&lt;=0,0,MIN(G118+AZ119,$F$9+AY119))</f>
        <v/>
      </c>
      <c r="BB119">
        <f>IF(G118&lt;=0,AY119,MAX(0,$F$9+AY119-G118-AZ119))</f>
        <v/>
      </c>
      <c r="BC119">
        <f>IF(H118&lt;=0,0,H118*$E$10/12)</f>
        <v/>
      </c>
      <c r="BD119">
        <f>IF(H118&lt;=0,0,MIN(H118+BC119,$F$10+BB119))</f>
        <v/>
      </c>
      <c r="BE119">
        <f>IF(H118&lt;=0,BB119,MAX(0,$F$10+BB119-H118-BC119))</f>
        <v/>
      </c>
      <c r="BF119">
        <f>IF(I118&lt;=0,0,I118*$E$11/12)</f>
        <v/>
      </c>
      <c r="BG119">
        <f>IF(I118&lt;=0,0,MIN(I118+BF119,$F$11+BE119))</f>
        <v/>
      </c>
      <c r="BH119">
        <f>IF(I118&lt;=0,BE119,MAX(0,$F$11+BE119-I118-BF119))</f>
        <v/>
      </c>
      <c r="BI119">
        <f>IF(J118&lt;=0,0,J118*$E$12/12)</f>
        <v/>
      </c>
      <c r="BJ119">
        <f>IF(J118&lt;=0,0,MIN(J118+BI119,$F$12+BH119))</f>
        <v/>
      </c>
      <c r="BK119">
        <f>IF(J118&lt;=0,BH119,MAX(0,$F$12+BH119-J118-BI119))</f>
        <v/>
      </c>
      <c r="BL119">
        <f>IF(K118&lt;=0,0,K118*$E$13/12)</f>
        <v/>
      </c>
      <c r="BM119">
        <f>IF(K118&lt;=0,0,MIN(K118+BL119,$F$13+BK119))</f>
        <v/>
      </c>
      <c r="BN119">
        <f>IF(K118&lt;=0,BK119,MAX(0,$F$13+BK119-K118-BL119))</f>
        <v/>
      </c>
      <c r="BO119">
        <f>IF(L118&lt;=0,0,L118*$E$14/12)</f>
        <v/>
      </c>
      <c r="BP119">
        <f>IF(L118&lt;=0,0,MIN(L118+BO119,$F$14+BN119))</f>
        <v/>
      </c>
      <c r="BQ119">
        <f>IF(L118&lt;=0,BN119,MAX(0,$F$14+BN119-L118-BO119))</f>
        <v/>
      </c>
      <c r="BR119">
        <f>IF(M118&lt;=0,0,M118*$E$15/12)</f>
        <v/>
      </c>
      <c r="BS119">
        <f>IF(M118&lt;=0,0,MIN(M118+BR119,$F$15+BQ119))</f>
        <v/>
      </c>
      <c r="BT119">
        <f>IF(M118&lt;=0,BQ119,MAX(0,$F$15+BQ119-M118-BR119))</f>
        <v/>
      </c>
      <c r="BU119">
        <f>IF(N118&lt;=0,0,N118*$E$16/12)</f>
        <v/>
      </c>
      <c r="BV119">
        <f>IF(N118&lt;=0,0,MIN(N118+BU119,$F$16+BT119))</f>
        <v/>
      </c>
      <c r="BW119">
        <f>IF(N118&lt;=0,BT119,MAX(0,$F$16+BT119-N118-BU119))</f>
        <v/>
      </c>
      <c r="BX119">
        <f>IF(O118&lt;=0,0,O118*$E$17/12)</f>
        <v/>
      </c>
      <c r="BY119">
        <f>IF(O118&lt;=0,0,MIN(O118+BX119,$F$17+BW119))</f>
        <v/>
      </c>
      <c r="BZ119">
        <f>IF(O118&lt;=0,BW119,MAX(0,$F$17+BW119-O118-BX119))</f>
        <v/>
      </c>
      <c r="CA119">
        <f>IF(P118&lt;=0,0,P118*$E$18/12)</f>
        <v/>
      </c>
      <c r="CB119">
        <f>IF(P118&lt;=0,0,MIN(P118+CA119,$F$18+BZ119))</f>
        <v/>
      </c>
      <c r="CC119">
        <f>IF(P118&lt;=0,BZ119,MAX(0,$F$18+BZ119-P118-CA119))</f>
        <v/>
      </c>
      <c r="CD119">
        <f>IF(Q118&lt;=0,0,Q118*$E$19/12)</f>
        <v/>
      </c>
      <c r="CE119">
        <f>IF(Q118&lt;=0,0,MIN(Q118+CD119,$F$19+CC119))</f>
        <v/>
      </c>
      <c r="CF119">
        <f>IF(Q118&lt;=0,CC119,MAX(0,$F$19+CC119-Q118-CD119))</f>
        <v/>
      </c>
      <c r="CG119">
        <f>IF(R118&lt;=0,0,R118*$E$20/12)</f>
        <v/>
      </c>
      <c r="CH119">
        <f>IF(R118&lt;=0,0,MIN(R118+CG119,$F$20+CF119))</f>
        <v/>
      </c>
      <c r="CI119">
        <f>IF(R118&lt;=0,CF119,MAX(0,$F$20+CF119-R118-CG119))</f>
        <v/>
      </c>
      <c r="CJ119">
        <f>IF(S118&lt;=0,0,S118*$E$21/12)</f>
        <v/>
      </c>
      <c r="CK119">
        <f>IF(S118&lt;=0,0,MIN(S118+CJ119,$F$21+CI119))</f>
        <v/>
      </c>
      <c r="CL119">
        <f>IF(S118&lt;=0,CI119,MAX(0,$F$21+CI119-S118-CJ119))</f>
        <v/>
      </c>
      <c r="CM119">
        <f>IF(T118&lt;=0,0,T118*$E$22/12)</f>
        <v/>
      </c>
      <c r="CN119">
        <f>IF(T118&lt;=0,0,MIN(T118+CM119,$F$22+CL119))</f>
        <v/>
      </c>
      <c r="CO119">
        <f>IF(T118&lt;=0,CL119,MAX(0,$F$22+CL119-T118-CM119))</f>
        <v/>
      </c>
      <c r="CP119">
        <f>IF(U118&lt;=0,0,U118*$E$23/12)</f>
        <v/>
      </c>
      <c r="CQ119">
        <f>IF(U118&lt;=0,0,MIN(U118+CP119,$F$23+CO119))</f>
        <v/>
      </c>
      <c r="CR119">
        <f>IF(U118&lt;=0,CO119,MAX(0,$F$23+CO119-U118-CP119))</f>
        <v/>
      </c>
      <c r="CS119">
        <f>IF(V118&lt;=0,0,V118*$E$24/12)</f>
        <v/>
      </c>
      <c r="CT119">
        <f>IF(V118&lt;=0,0,MIN(V118+CS119,$F$24+CR119))</f>
        <v/>
      </c>
      <c r="CU119">
        <f>IF(V118&lt;=0,CR119,MAX(0,$F$24+CR119-V118-CS119))</f>
        <v/>
      </c>
    </row>
    <row r="120">
      <c r="B120" s="39" t="n">
        <v>94</v>
      </c>
      <c r="C120" s="13">
        <f>IF(C119&lt;=0,0,MAX(0,C119+AN120-AO120))</f>
        <v/>
      </c>
      <c r="D120" s="13">
        <f>IF(D119&lt;=0,0,MAX(0,D119+AQ120-AR120))</f>
        <v/>
      </c>
      <c r="E120" s="13">
        <f>IF(E119&lt;=0,0,MAX(0,E119+AT120-AU120))</f>
        <v/>
      </c>
      <c r="F120" s="13">
        <f>IF(F119&lt;=0,0,MAX(0,F119+AW120-AX120))</f>
        <v/>
      </c>
      <c r="G120" s="13">
        <f>IF(G119&lt;=0,0,MAX(0,G119+AZ120-BA120))</f>
        <v/>
      </c>
      <c r="H120" s="13">
        <f>IF(H119&lt;=0,0,MAX(0,H119+BC120-BD120))</f>
        <v/>
      </c>
      <c r="I120" s="13">
        <f>IF(I119&lt;=0,0,MAX(0,I119+BF120-BG120))</f>
        <v/>
      </c>
      <c r="J120" s="13">
        <f>IF(J119&lt;=0,0,MAX(0,J119+BI120-BJ120))</f>
        <v/>
      </c>
      <c r="K120" s="13">
        <f>IF(K119&lt;=0,0,MAX(0,K119+BL120-BM120))</f>
        <v/>
      </c>
      <c r="L120" s="13">
        <f>IF(L119&lt;=0,0,MAX(0,L119+BO120-BP120))</f>
        <v/>
      </c>
      <c r="M120" s="13">
        <f>IF(M119&lt;=0,0,MAX(0,M119+BR120-BS120))</f>
        <v/>
      </c>
      <c r="N120" s="13">
        <f>IF(N119&lt;=0,0,MAX(0,N119+BU120-BV120))</f>
        <v/>
      </c>
      <c r="O120" s="13">
        <f>IF(O119&lt;=0,0,MAX(0,O119+BX120-BY120))</f>
        <v/>
      </c>
      <c r="P120" s="13">
        <f>IF(P119&lt;=0,0,MAX(0,P119+CA120-CB120))</f>
        <v/>
      </c>
      <c r="Q120" s="13">
        <f>IF(Q119&lt;=0,0,MAX(0,Q119+CD120-CE120))</f>
        <v/>
      </c>
      <c r="R120" s="13">
        <f>IF(R119&lt;=0,0,MAX(0,R119+CG120-CH120))</f>
        <v/>
      </c>
      <c r="S120" s="13">
        <f>IF(S119&lt;=0,0,MAX(0,S119+CJ120-CK120))</f>
        <v/>
      </c>
      <c r="T120" s="13">
        <f>IF(T119&lt;=0,0,MAX(0,T119+CM120-CN120))</f>
        <v/>
      </c>
      <c r="U120" s="13">
        <f>IF(U119&lt;=0,0,MAX(0,U119+CP120-CQ120))</f>
        <v/>
      </c>
      <c r="V120" s="13">
        <f>IF(V119&lt;=0,0,MAX(0,V119+CS120-CT120))</f>
        <v/>
      </c>
      <c r="W120" s="13">
        <f>AO120+AR120+AU120+AX120+BA120+BD120+BG120+BJ120+BM120+BP120+BS120+BV120+BY120+CB120+CE120+CH120+CK120+CN120+CQ120+CT120</f>
        <v/>
      </c>
      <c r="X120" s="13">
        <f>AN120+AQ120+AT120+AW120+AZ120+BC120+BF120+BI120+BL120+BO120+BR120+BU120+BX120+CA120+CD120+CG120+CJ120+CM120+CP120+CS120</f>
        <v/>
      </c>
      <c r="Y120" s="27">
        <f>C120+D120+E120+F120+G120+H120+I120+J120+K120+L120+M120+N120+O120+P120+Q120+R120+S120+T120+U120+V120</f>
        <v/>
      </c>
      <c r="AN120">
        <f>IF(C119&lt;=0,0,C119*$E$5/12)</f>
        <v/>
      </c>
      <c r="AO120">
        <f>IF(C119&lt;=0,0,MIN(C119+AN120,$F$5+(Dashboard!$C$11+IF(C119&lt;=0,$F$5,0)+IF(D119&lt;=0,$F$6,0)+IF(E119&lt;=0,$F$7,0)+IF(F119&lt;=0,$F$8,0)+IF(G119&lt;=0,$F$9,0)+IF(H119&lt;=0,$F$10,0)+IF(I119&lt;=0,$F$11,0)+IF(J119&lt;=0,$F$12,0)+IF(K119&lt;=0,$F$13,0)+IF(L119&lt;=0,$F$14,0)+IF(M119&lt;=0,$F$15,0)+IF(N119&lt;=0,$F$16,0)+IF(O119&lt;=0,$F$17,0)+IF(P119&lt;=0,$F$18,0)+IF(Q119&lt;=0,$F$19,0)+IF(R119&lt;=0,$F$20,0)+IF(S119&lt;=0,$F$21,0)+IF(T119&lt;=0,$F$22,0)+IF(U119&lt;=0,$F$23,0)+IF(V119&lt;=0,$F$24,0))))</f>
        <v/>
      </c>
      <c r="AP120">
        <f>IF(C119&lt;=0,(Dashboard!$C$11+IF(C119&lt;=0,$F$5,0)+IF(D119&lt;=0,$F$6,0)+IF(E119&lt;=0,$F$7,0)+IF(F119&lt;=0,$F$8,0)+IF(G119&lt;=0,$F$9,0)+IF(H119&lt;=0,$F$10,0)+IF(I119&lt;=0,$F$11,0)+IF(J119&lt;=0,$F$12,0)+IF(K119&lt;=0,$F$13,0)+IF(L119&lt;=0,$F$14,0)+IF(M119&lt;=0,$F$15,0)+IF(N119&lt;=0,$F$16,0)+IF(O119&lt;=0,$F$17,0)+IF(P119&lt;=0,$F$18,0)+IF(Q119&lt;=0,$F$19,0)+IF(R119&lt;=0,$F$20,0)+IF(S119&lt;=0,$F$21,0)+IF(T119&lt;=0,$F$22,0)+IF(U119&lt;=0,$F$23,0)+IF(V119&lt;=0,$F$24,0)),MAX(0,$F$5+(Dashboard!$C$11+IF(C119&lt;=0,$F$5,0)+IF(D119&lt;=0,$F$6,0)+IF(E119&lt;=0,$F$7,0)+IF(F119&lt;=0,$F$8,0)+IF(G119&lt;=0,$F$9,0)+IF(H119&lt;=0,$F$10,0)+IF(I119&lt;=0,$F$11,0)+IF(J119&lt;=0,$F$12,0)+IF(K119&lt;=0,$F$13,0)+IF(L119&lt;=0,$F$14,0)+IF(M119&lt;=0,$F$15,0)+IF(N119&lt;=0,$F$16,0)+IF(O119&lt;=0,$F$17,0)+IF(P119&lt;=0,$F$18,0)+IF(Q119&lt;=0,$F$19,0)+IF(R119&lt;=0,$F$20,0)+IF(S119&lt;=0,$F$21,0)+IF(T119&lt;=0,$F$22,0)+IF(U119&lt;=0,$F$23,0)+IF(V119&lt;=0,$F$24,0))-C119-AN120))</f>
        <v/>
      </c>
      <c r="AQ120">
        <f>IF(D119&lt;=0,0,D119*$E$6/12)</f>
        <v/>
      </c>
      <c r="AR120">
        <f>IF(D119&lt;=0,0,MIN(D119+AQ120,$F$6+AP120))</f>
        <v/>
      </c>
      <c r="AS120">
        <f>IF(D119&lt;=0,AP120,MAX(0,$F$6+AP120-D119-AQ120))</f>
        <v/>
      </c>
      <c r="AT120">
        <f>IF(E119&lt;=0,0,E119*$E$7/12)</f>
        <v/>
      </c>
      <c r="AU120">
        <f>IF(E119&lt;=0,0,MIN(E119+AT120,$F$7+AS120))</f>
        <v/>
      </c>
      <c r="AV120">
        <f>IF(E119&lt;=0,AS120,MAX(0,$F$7+AS120-E119-AT120))</f>
        <v/>
      </c>
      <c r="AW120">
        <f>IF(F119&lt;=0,0,F119*$E$8/12)</f>
        <v/>
      </c>
      <c r="AX120">
        <f>IF(F119&lt;=0,0,MIN(F119+AW120,$F$8+AV120))</f>
        <v/>
      </c>
      <c r="AY120">
        <f>IF(F119&lt;=0,AV120,MAX(0,$F$8+AV120-F119-AW120))</f>
        <v/>
      </c>
      <c r="AZ120">
        <f>IF(G119&lt;=0,0,G119*$E$9/12)</f>
        <v/>
      </c>
      <c r="BA120">
        <f>IF(G119&lt;=0,0,MIN(G119+AZ120,$F$9+AY120))</f>
        <v/>
      </c>
      <c r="BB120">
        <f>IF(G119&lt;=0,AY120,MAX(0,$F$9+AY120-G119-AZ120))</f>
        <v/>
      </c>
      <c r="BC120">
        <f>IF(H119&lt;=0,0,H119*$E$10/12)</f>
        <v/>
      </c>
      <c r="BD120">
        <f>IF(H119&lt;=0,0,MIN(H119+BC120,$F$10+BB120))</f>
        <v/>
      </c>
      <c r="BE120">
        <f>IF(H119&lt;=0,BB120,MAX(0,$F$10+BB120-H119-BC120))</f>
        <v/>
      </c>
      <c r="BF120">
        <f>IF(I119&lt;=0,0,I119*$E$11/12)</f>
        <v/>
      </c>
      <c r="BG120">
        <f>IF(I119&lt;=0,0,MIN(I119+BF120,$F$11+BE120))</f>
        <v/>
      </c>
      <c r="BH120">
        <f>IF(I119&lt;=0,BE120,MAX(0,$F$11+BE120-I119-BF120))</f>
        <v/>
      </c>
      <c r="BI120">
        <f>IF(J119&lt;=0,0,J119*$E$12/12)</f>
        <v/>
      </c>
      <c r="BJ120">
        <f>IF(J119&lt;=0,0,MIN(J119+BI120,$F$12+BH120))</f>
        <v/>
      </c>
      <c r="BK120">
        <f>IF(J119&lt;=0,BH120,MAX(0,$F$12+BH120-J119-BI120))</f>
        <v/>
      </c>
      <c r="BL120">
        <f>IF(K119&lt;=0,0,K119*$E$13/12)</f>
        <v/>
      </c>
      <c r="BM120">
        <f>IF(K119&lt;=0,0,MIN(K119+BL120,$F$13+BK120))</f>
        <v/>
      </c>
      <c r="BN120">
        <f>IF(K119&lt;=0,BK120,MAX(0,$F$13+BK120-K119-BL120))</f>
        <v/>
      </c>
      <c r="BO120">
        <f>IF(L119&lt;=0,0,L119*$E$14/12)</f>
        <v/>
      </c>
      <c r="BP120">
        <f>IF(L119&lt;=0,0,MIN(L119+BO120,$F$14+BN120))</f>
        <v/>
      </c>
      <c r="BQ120">
        <f>IF(L119&lt;=0,BN120,MAX(0,$F$14+BN120-L119-BO120))</f>
        <v/>
      </c>
      <c r="BR120">
        <f>IF(M119&lt;=0,0,M119*$E$15/12)</f>
        <v/>
      </c>
      <c r="BS120">
        <f>IF(M119&lt;=0,0,MIN(M119+BR120,$F$15+BQ120))</f>
        <v/>
      </c>
      <c r="BT120">
        <f>IF(M119&lt;=0,BQ120,MAX(0,$F$15+BQ120-M119-BR120))</f>
        <v/>
      </c>
      <c r="BU120">
        <f>IF(N119&lt;=0,0,N119*$E$16/12)</f>
        <v/>
      </c>
      <c r="BV120">
        <f>IF(N119&lt;=0,0,MIN(N119+BU120,$F$16+BT120))</f>
        <v/>
      </c>
      <c r="BW120">
        <f>IF(N119&lt;=0,BT120,MAX(0,$F$16+BT120-N119-BU120))</f>
        <v/>
      </c>
      <c r="BX120">
        <f>IF(O119&lt;=0,0,O119*$E$17/12)</f>
        <v/>
      </c>
      <c r="BY120">
        <f>IF(O119&lt;=0,0,MIN(O119+BX120,$F$17+BW120))</f>
        <v/>
      </c>
      <c r="BZ120">
        <f>IF(O119&lt;=0,BW120,MAX(0,$F$17+BW120-O119-BX120))</f>
        <v/>
      </c>
      <c r="CA120">
        <f>IF(P119&lt;=0,0,P119*$E$18/12)</f>
        <v/>
      </c>
      <c r="CB120">
        <f>IF(P119&lt;=0,0,MIN(P119+CA120,$F$18+BZ120))</f>
        <v/>
      </c>
      <c r="CC120">
        <f>IF(P119&lt;=0,BZ120,MAX(0,$F$18+BZ120-P119-CA120))</f>
        <v/>
      </c>
      <c r="CD120">
        <f>IF(Q119&lt;=0,0,Q119*$E$19/12)</f>
        <v/>
      </c>
      <c r="CE120">
        <f>IF(Q119&lt;=0,0,MIN(Q119+CD120,$F$19+CC120))</f>
        <v/>
      </c>
      <c r="CF120">
        <f>IF(Q119&lt;=0,CC120,MAX(0,$F$19+CC120-Q119-CD120))</f>
        <v/>
      </c>
      <c r="CG120">
        <f>IF(R119&lt;=0,0,R119*$E$20/12)</f>
        <v/>
      </c>
      <c r="CH120">
        <f>IF(R119&lt;=0,0,MIN(R119+CG120,$F$20+CF120))</f>
        <v/>
      </c>
      <c r="CI120">
        <f>IF(R119&lt;=0,CF120,MAX(0,$F$20+CF120-R119-CG120))</f>
        <v/>
      </c>
      <c r="CJ120">
        <f>IF(S119&lt;=0,0,S119*$E$21/12)</f>
        <v/>
      </c>
      <c r="CK120">
        <f>IF(S119&lt;=0,0,MIN(S119+CJ120,$F$21+CI120))</f>
        <v/>
      </c>
      <c r="CL120">
        <f>IF(S119&lt;=0,CI120,MAX(0,$F$21+CI120-S119-CJ120))</f>
        <v/>
      </c>
      <c r="CM120">
        <f>IF(T119&lt;=0,0,T119*$E$22/12)</f>
        <v/>
      </c>
      <c r="CN120">
        <f>IF(T119&lt;=0,0,MIN(T119+CM120,$F$22+CL120))</f>
        <v/>
      </c>
      <c r="CO120">
        <f>IF(T119&lt;=0,CL120,MAX(0,$F$22+CL120-T119-CM120))</f>
        <v/>
      </c>
      <c r="CP120">
        <f>IF(U119&lt;=0,0,U119*$E$23/12)</f>
        <v/>
      </c>
      <c r="CQ120">
        <f>IF(U119&lt;=0,0,MIN(U119+CP120,$F$23+CO120))</f>
        <v/>
      </c>
      <c r="CR120">
        <f>IF(U119&lt;=0,CO120,MAX(0,$F$23+CO120-U119-CP120))</f>
        <v/>
      </c>
      <c r="CS120">
        <f>IF(V119&lt;=0,0,V119*$E$24/12)</f>
        <v/>
      </c>
      <c r="CT120">
        <f>IF(V119&lt;=0,0,MIN(V119+CS120,$F$24+CR120))</f>
        <v/>
      </c>
      <c r="CU120">
        <f>IF(V119&lt;=0,CR120,MAX(0,$F$24+CR120-V119-CS120))</f>
        <v/>
      </c>
    </row>
    <row r="121">
      <c r="B121" s="39" t="n">
        <v>95</v>
      </c>
      <c r="C121" s="13">
        <f>IF(C120&lt;=0,0,MAX(0,C120+AN121-AO121))</f>
        <v/>
      </c>
      <c r="D121" s="13">
        <f>IF(D120&lt;=0,0,MAX(0,D120+AQ121-AR121))</f>
        <v/>
      </c>
      <c r="E121" s="13">
        <f>IF(E120&lt;=0,0,MAX(0,E120+AT121-AU121))</f>
        <v/>
      </c>
      <c r="F121" s="13">
        <f>IF(F120&lt;=0,0,MAX(0,F120+AW121-AX121))</f>
        <v/>
      </c>
      <c r="G121" s="13">
        <f>IF(G120&lt;=0,0,MAX(0,G120+AZ121-BA121))</f>
        <v/>
      </c>
      <c r="H121" s="13">
        <f>IF(H120&lt;=0,0,MAX(0,H120+BC121-BD121))</f>
        <v/>
      </c>
      <c r="I121" s="13">
        <f>IF(I120&lt;=0,0,MAX(0,I120+BF121-BG121))</f>
        <v/>
      </c>
      <c r="J121" s="13">
        <f>IF(J120&lt;=0,0,MAX(0,J120+BI121-BJ121))</f>
        <v/>
      </c>
      <c r="K121" s="13">
        <f>IF(K120&lt;=0,0,MAX(0,K120+BL121-BM121))</f>
        <v/>
      </c>
      <c r="L121" s="13">
        <f>IF(L120&lt;=0,0,MAX(0,L120+BO121-BP121))</f>
        <v/>
      </c>
      <c r="M121" s="13">
        <f>IF(M120&lt;=0,0,MAX(0,M120+BR121-BS121))</f>
        <v/>
      </c>
      <c r="N121" s="13">
        <f>IF(N120&lt;=0,0,MAX(0,N120+BU121-BV121))</f>
        <v/>
      </c>
      <c r="O121" s="13">
        <f>IF(O120&lt;=0,0,MAX(0,O120+BX121-BY121))</f>
        <v/>
      </c>
      <c r="P121" s="13">
        <f>IF(P120&lt;=0,0,MAX(0,P120+CA121-CB121))</f>
        <v/>
      </c>
      <c r="Q121" s="13">
        <f>IF(Q120&lt;=0,0,MAX(0,Q120+CD121-CE121))</f>
        <v/>
      </c>
      <c r="R121" s="13">
        <f>IF(R120&lt;=0,0,MAX(0,R120+CG121-CH121))</f>
        <v/>
      </c>
      <c r="S121" s="13">
        <f>IF(S120&lt;=0,0,MAX(0,S120+CJ121-CK121))</f>
        <v/>
      </c>
      <c r="T121" s="13">
        <f>IF(T120&lt;=0,0,MAX(0,T120+CM121-CN121))</f>
        <v/>
      </c>
      <c r="U121" s="13">
        <f>IF(U120&lt;=0,0,MAX(0,U120+CP121-CQ121))</f>
        <v/>
      </c>
      <c r="V121" s="13">
        <f>IF(V120&lt;=0,0,MAX(0,V120+CS121-CT121))</f>
        <v/>
      </c>
      <c r="W121" s="13">
        <f>AO121+AR121+AU121+AX121+BA121+BD121+BG121+BJ121+BM121+BP121+BS121+BV121+BY121+CB121+CE121+CH121+CK121+CN121+CQ121+CT121</f>
        <v/>
      </c>
      <c r="X121" s="13">
        <f>AN121+AQ121+AT121+AW121+AZ121+BC121+BF121+BI121+BL121+BO121+BR121+BU121+BX121+CA121+CD121+CG121+CJ121+CM121+CP121+CS121</f>
        <v/>
      </c>
      <c r="Y121" s="27">
        <f>C121+D121+E121+F121+G121+H121+I121+J121+K121+L121+M121+N121+O121+P121+Q121+R121+S121+T121+U121+V121</f>
        <v/>
      </c>
      <c r="AN121">
        <f>IF(C120&lt;=0,0,C120*$E$5/12)</f>
        <v/>
      </c>
      <c r="AO121">
        <f>IF(C120&lt;=0,0,MIN(C120+AN121,$F$5+(Dashboard!$C$11+IF(C120&lt;=0,$F$5,0)+IF(D120&lt;=0,$F$6,0)+IF(E120&lt;=0,$F$7,0)+IF(F120&lt;=0,$F$8,0)+IF(G120&lt;=0,$F$9,0)+IF(H120&lt;=0,$F$10,0)+IF(I120&lt;=0,$F$11,0)+IF(J120&lt;=0,$F$12,0)+IF(K120&lt;=0,$F$13,0)+IF(L120&lt;=0,$F$14,0)+IF(M120&lt;=0,$F$15,0)+IF(N120&lt;=0,$F$16,0)+IF(O120&lt;=0,$F$17,0)+IF(P120&lt;=0,$F$18,0)+IF(Q120&lt;=0,$F$19,0)+IF(R120&lt;=0,$F$20,0)+IF(S120&lt;=0,$F$21,0)+IF(T120&lt;=0,$F$22,0)+IF(U120&lt;=0,$F$23,0)+IF(V120&lt;=0,$F$24,0))))</f>
        <v/>
      </c>
      <c r="AP121">
        <f>IF(C120&lt;=0,(Dashboard!$C$11+IF(C120&lt;=0,$F$5,0)+IF(D120&lt;=0,$F$6,0)+IF(E120&lt;=0,$F$7,0)+IF(F120&lt;=0,$F$8,0)+IF(G120&lt;=0,$F$9,0)+IF(H120&lt;=0,$F$10,0)+IF(I120&lt;=0,$F$11,0)+IF(J120&lt;=0,$F$12,0)+IF(K120&lt;=0,$F$13,0)+IF(L120&lt;=0,$F$14,0)+IF(M120&lt;=0,$F$15,0)+IF(N120&lt;=0,$F$16,0)+IF(O120&lt;=0,$F$17,0)+IF(P120&lt;=0,$F$18,0)+IF(Q120&lt;=0,$F$19,0)+IF(R120&lt;=0,$F$20,0)+IF(S120&lt;=0,$F$21,0)+IF(T120&lt;=0,$F$22,0)+IF(U120&lt;=0,$F$23,0)+IF(V120&lt;=0,$F$24,0)),MAX(0,$F$5+(Dashboard!$C$11+IF(C120&lt;=0,$F$5,0)+IF(D120&lt;=0,$F$6,0)+IF(E120&lt;=0,$F$7,0)+IF(F120&lt;=0,$F$8,0)+IF(G120&lt;=0,$F$9,0)+IF(H120&lt;=0,$F$10,0)+IF(I120&lt;=0,$F$11,0)+IF(J120&lt;=0,$F$12,0)+IF(K120&lt;=0,$F$13,0)+IF(L120&lt;=0,$F$14,0)+IF(M120&lt;=0,$F$15,0)+IF(N120&lt;=0,$F$16,0)+IF(O120&lt;=0,$F$17,0)+IF(P120&lt;=0,$F$18,0)+IF(Q120&lt;=0,$F$19,0)+IF(R120&lt;=0,$F$20,0)+IF(S120&lt;=0,$F$21,0)+IF(T120&lt;=0,$F$22,0)+IF(U120&lt;=0,$F$23,0)+IF(V120&lt;=0,$F$24,0))-C120-AN121))</f>
        <v/>
      </c>
      <c r="AQ121">
        <f>IF(D120&lt;=0,0,D120*$E$6/12)</f>
        <v/>
      </c>
      <c r="AR121">
        <f>IF(D120&lt;=0,0,MIN(D120+AQ121,$F$6+AP121))</f>
        <v/>
      </c>
      <c r="AS121">
        <f>IF(D120&lt;=0,AP121,MAX(0,$F$6+AP121-D120-AQ121))</f>
        <v/>
      </c>
      <c r="AT121">
        <f>IF(E120&lt;=0,0,E120*$E$7/12)</f>
        <v/>
      </c>
      <c r="AU121">
        <f>IF(E120&lt;=0,0,MIN(E120+AT121,$F$7+AS121))</f>
        <v/>
      </c>
      <c r="AV121">
        <f>IF(E120&lt;=0,AS121,MAX(0,$F$7+AS121-E120-AT121))</f>
        <v/>
      </c>
      <c r="AW121">
        <f>IF(F120&lt;=0,0,F120*$E$8/12)</f>
        <v/>
      </c>
      <c r="AX121">
        <f>IF(F120&lt;=0,0,MIN(F120+AW121,$F$8+AV121))</f>
        <v/>
      </c>
      <c r="AY121">
        <f>IF(F120&lt;=0,AV121,MAX(0,$F$8+AV121-F120-AW121))</f>
        <v/>
      </c>
      <c r="AZ121">
        <f>IF(G120&lt;=0,0,G120*$E$9/12)</f>
        <v/>
      </c>
      <c r="BA121">
        <f>IF(G120&lt;=0,0,MIN(G120+AZ121,$F$9+AY121))</f>
        <v/>
      </c>
      <c r="BB121">
        <f>IF(G120&lt;=0,AY121,MAX(0,$F$9+AY121-G120-AZ121))</f>
        <v/>
      </c>
      <c r="BC121">
        <f>IF(H120&lt;=0,0,H120*$E$10/12)</f>
        <v/>
      </c>
      <c r="BD121">
        <f>IF(H120&lt;=0,0,MIN(H120+BC121,$F$10+BB121))</f>
        <v/>
      </c>
      <c r="BE121">
        <f>IF(H120&lt;=0,BB121,MAX(0,$F$10+BB121-H120-BC121))</f>
        <v/>
      </c>
      <c r="BF121">
        <f>IF(I120&lt;=0,0,I120*$E$11/12)</f>
        <v/>
      </c>
      <c r="BG121">
        <f>IF(I120&lt;=0,0,MIN(I120+BF121,$F$11+BE121))</f>
        <v/>
      </c>
      <c r="BH121">
        <f>IF(I120&lt;=0,BE121,MAX(0,$F$11+BE121-I120-BF121))</f>
        <v/>
      </c>
      <c r="BI121">
        <f>IF(J120&lt;=0,0,J120*$E$12/12)</f>
        <v/>
      </c>
      <c r="BJ121">
        <f>IF(J120&lt;=0,0,MIN(J120+BI121,$F$12+BH121))</f>
        <v/>
      </c>
      <c r="BK121">
        <f>IF(J120&lt;=0,BH121,MAX(0,$F$12+BH121-J120-BI121))</f>
        <v/>
      </c>
      <c r="BL121">
        <f>IF(K120&lt;=0,0,K120*$E$13/12)</f>
        <v/>
      </c>
      <c r="BM121">
        <f>IF(K120&lt;=0,0,MIN(K120+BL121,$F$13+BK121))</f>
        <v/>
      </c>
      <c r="BN121">
        <f>IF(K120&lt;=0,BK121,MAX(0,$F$13+BK121-K120-BL121))</f>
        <v/>
      </c>
      <c r="BO121">
        <f>IF(L120&lt;=0,0,L120*$E$14/12)</f>
        <v/>
      </c>
      <c r="BP121">
        <f>IF(L120&lt;=0,0,MIN(L120+BO121,$F$14+BN121))</f>
        <v/>
      </c>
      <c r="BQ121">
        <f>IF(L120&lt;=0,BN121,MAX(0,$F$14+BN121-L120-BO121))</f>
        <v/>
      </c>
      <c r="BR121">
        <f>IF(M120&lt;=0,0,M120*$E$15/12)</f>
        <v/>
      </c>
      <c r="BS121">
        <f>IF(M120&lt;=0,0,MIN(M120+BR121,$F$15+BQ121))</f>
        <v/>
      </c>
      <c r="BT121">
        <f>IF(M120&lt;=0,BQ121,MAX(0,$F$15+BQ121-M120-BR121))</f>
        <v/>
      </c>
      <c r="BU121">
        <f>IF(N120&lt;=0,0,N120*$E$16/12)</f>
        <v/>
      </c>
      <c r="BV121">
        <f>IF(N120&lt;=0,0,MIN(N120+BU121,$F$16+BT121))</f>
        <v/>
      </c>
      <c r="BW121">
        <f>IF(N120&lt;=0,BT121,MAX(0,$F$16+BT121-N120-BU121))</f>
        <v/>
      </c>
      <c r="BX121">
        <f>IF(O120&lt;=0,0,O120*$E$17/12)</f>
        <v/>
      </c>
      <c r="BY121">
        <f>IF(O120&lt;=0,0,MIN(O120+BX121,$F$17+BW121))</f>
        <v/>
      </c>
      <c r="BZ121">
        <f>IF(O120&lt;=0,BW121,MAX(0,$F$17+BW121-O120-BX121))</f>
        <v/>
      </c>
      <c r="CA121">
        <f>IF(P120&lt;=0,0,P120*$E$18/12)</f>
        <v/>
      </c>
      <c r="CB121">
        <f>IF(P120&lt;=0,0,MIN(P120+CA121,$F$18+BZ121))</f>
        <v/>
      </c>
      <c r="CC121">
        <f>IF(P120&lt;=0,BZ121,MAX(0,$F$18+BZ121-P120-CA121))</f>
        <v/>
      </c>
      <c r="CD121">
        <f>IF(Q120&lt;=0,0,Q120*$E$19/12)</f>
        <v/>
      </c>
      <c r="CE121">
        <f>IF(Q120&lt;=0,0,MIN(Q120+CD121,$F$19+CC121))</f>
        <v/>
      </c>
      <c r="CF121">
        <f>IF(Q120&lt;=0,CC121,MAX(0,$F$19+CC121-Q120-CD121))</f>
        <v/>
      </c>
      <c r="CG121">
        <f>IF(R120&lt;=0,0,R120*$E$20/12)</f>
        <v/>
      </c>
      <c r="CH121">
        <f>IF(R120&lt;=0,0,MIN(R120+CG121,$F$20+CF121))</f>
        <v/>
      </c>
      <c r="CI121">
        <f>IF(R120&lt;=0,CF121,MAX(0,$F$20+CF121-R120-CG121))</f>
        <v/>
      </c>
      <c r="CJ121">
        <f>IF(S120&lt;=0,0,S120*$E$21/12)</f>
        <v/>
      </c>
      <c r="CK121">
        <f>IF(S120&lt;=0,0,MIN(S120+CJ121,$F$21+CI121))</f>
        <v/>
      </c>
      <c r="CL121">
        <f>IF(S120&lt;=0,CI121,MAX(0,$F$21+CI121-S120-CJ121))</f>
        <v/>
      </c>
      <c r="CM121">
        <f>IF(T120&lt;=0,0,T120*$E$22/12)</f>
        <v/>
      </c>
      <c r="CN121">
        <f>IF(T120&lt;=0,0,MIN(T120+CM121,$F$22+CL121))</f>
        <v/>
      </c>
      <c r="CO121">
        <f>IF(T120&lt;=0,CL121,MAX(0,$F$22+CL121-T120-CM121))</f>
        <v/>
      </c>
      <c r="CP121">
        <f>IF(U120&lt;=0,0,U120*$E$23/12)</f>
        <v/>
      </c>
      <c r="CQ121">
        <f>IF(U120&lt;=0,0,MIN(U120+CP121,$F$23+CO121))</f>
        <v/>
      </c>
      <c r="CR121">
        <f>IF(U120&lt;=0,CO121,MAX(0,$F$23+CO121-U120-CP121))</f>
        <v/>
      </c>
      <c r="CS121">
        <f>IF(V120&lt;=0,0,V120*$E$24/12)</f>
        <v/>
      </c>
      <c r="CT121">
        <f>IF(V120&lt;=0,0,MIN(V120+CS121,$F$24+CR121))</f>
        <v/>
      </c>
      <c r="CU121">
        <f>IF(V120&lt;=0,CR121,MAX(0,$F$24+CR121-V120-CS121))</f>
        <v/>
      </c>
    </row>
    <row r="122">
      <c r="B122" s="39" t="n">
        <v>96</v>
      </c>
      <c r="C122" s="13">
        <f>IF(C121&lt;=0,0,MAX(0,C121+AN122-AO122))</f>
        <v/>
      </c>
      <c r="D122" s="13">
        <f>IF(D121&lt;=0,0,MAX(0,D121+AQ122-AR122))</f>
        <v/>
      </c>
      <c r="E122" s="13">
        <f>IF(E121&lt;=0,0,MAX(0,E121+AT122-AU122))</f>
        <v/>
      </c>
      <c r="F122" s="13">
        <f>IF(F121&lt;=0,0,MAX(0,F121+AW122-AX122))</f>
        <v/>
      </c>
      <c r="G122" s="13">
        <f>IF(G121&lt;=0,0,MAX(0,G121+AZ122-BA122))</f>
        <v/>
      </c>
      <c r="H122" s="13">
        <f>IF(H121&lt;=0,0,MAX(0,H121+BC122-BD122))</f>
        <v/>
      </c>
      <c r="I122" s="13">
        <f>IF(I121&lt;=0,0,MAX(0,I121+BF122-BG122))</f>
        <v/>
      </c>
      <c r="J122" s="13">
        <f>IF(J121&lt;=0,0,MAX(0,J121+BI122-BJ122))</f>
        <v/>
      </c>
      <c r="K122" s="13">
        <f>IF(K121&lt;=0,0,MAX(0,K121+BL122-BM122))</f>
        <v/>
      </c>
      <c r="L122" s="13">
        <f>IF(L121&lt;=0,0,MAX(0,L121+BO122-BP122))</f>
        <v/>
      </c>
      <c r="M122" s="13">
        <f>IF(M121&lt;=0,0,MAX(0,M121+BR122-BS122))</f>
        <v/>
      </c>
      <c r="N122" s="13">
        <f>IF(N121&lt;=0,0,MAX(0,N121+BU122-BV122))</f>
        <v/>
      </c>
      <c r="O122" s="13">
        <f>IF(O121&lt;=0,0,MAX(0,O121+BX122-BY122))</f>
        <v/>
      </c>
      <c r="P122" s="13">
        <f>IF(P121&lt;=0,0,MAX(0,P121+CA122-CB122))</f>
        <v/>
      </c>
      <c r="Q122" s="13">
        <f>IF(Q121&lt;=0,0,MAX(0,Q121+CD122-CE122))</f>
        <v/>
      </c>
      <c r="R122" s="13">
        <f>IF(R121&lt;=0,0,MAX(0,R121+CG122-CH122))</f>
        <v/>
      </c>
      <c r="S122" s="13">
        <f>IF(S121&lt;=0,0,MAX(0,S121+CJ122-CK122))</f>
        <v/>
      </c>
      <c r="T122" s="13">
        <f>IF(T121&lt;=0,0,MAX(0,T121+CM122-CN122))</f>
        <v/>
      </c>
      <c r="U122" s="13">
        <f>IF(U121&lt;=0,0,MAX(0,U121+CP122-CQ122))</f>
        <v/>
      </c>
      <c r="V122" s="13">
        <f>IF(V121&lt;=0,0,MAX(0,V121+CS122-CT122))</f>
        <v/>
      </c>
      <c r="W122" s="13">
        <f>AO122+AR122+AU122+AX122+BA122+BD122+BG122+BJ122+BM122+BP122+BS122+BV122+BY122+CB122+CE122+CH122+CK122+CN122+CQ122+CT122</f>
        <v/>
      </c>
      <c r="X122" s="13">
        <f>AN122+AQ122+AT122+AW122+AZ122+BC122+BF122+BI122+BL122+BO122+BR122+BU122+BX122+CA122+CD122+CG122+CJ122+CM122+CP122+CS122</f>
        <v/>
      </c>
      <c r="Y122" s="27">
        <f>C122+D122+E122+F122+G122+H122+I122+J122+K122+L122+M122+N122+O122+P122+Q122+R122+S122+T122+U122+V122</f>
        <v/>
      </c>
      <c r="AN122">
        <f>IF(C121&lt;=0,0,C121*$E$5/12)</f>
        <v/>
      </c>
      <c r="AO122">
        <f>IF(C121&lt;=0,0,MIN(C121+AN122,$F$5+(Dashboard!$C$11+IF(C121&lt;=0,$F$5,0)+IF(D121&lt;=0,$F$6,0)+IF(E121&lt;=0,$F$7,0)+IF(F121&lt;=0,$F$8,0)+IF(G121&lt;=0,$F$9,0)+IF(H121&lt;=0,$F$10,0)+IF(I121&lt;=0,$F$11,0)+IF(J121&lt;=0,$F$12,0)+IF(K121&lt;=0,$F$13,0)+IF(L121&lt;=0,$F$14,0)+IF(M121&lt;=0,$F$15,0)+IF(N121&lt;=0,$F$16,0)+IF(O121&lt;=0,$F$17,0)+IF(P121&lt;=0,$F$18,0)+IF(Q121&lt;=0,$F$19,0)+IF(R121&lt;=0,$F$20,0)+IF(S121&lt;=0,$F$21,0)+IF(T121&lt;=0,$F$22,0)+IF(U121&lt;=0,$F$23,0)+IF(V121&lt;=0,$F$24,0))))</f>
        <v/>
      </c>
      <c r="AP122">
        <f>IF(C121&lt;=0,(Dashboard!$C$11+IF(C121&lt;=0,$F$5,0)+IF(D121&lt;=0,$F$6,0)+IF(E121&lt;=0,$F$7,0)+IF(F121&lt;=0,$F$8,0)+IF(G121&lt;=0,$F$9,0)+IF(H121&lt;=0,$F$10,0)+IF(I121&lt;=0,$F$11,0)+IF(J121&lt;=0,$F$12,0)+IF(K121&lt;=0,$F$13,0)+IF(L121&lt;=0,$F$14,0)+IF(M121&lt;=0,$F$15,0)+IF(N121&lt;=0,$F$16,0)+IF(O121&lt;=0,$F$17,0)+IF(P121&lt;=0,$F$18,0)+IF(Q121&lt;=0,$F$19,0)+IF(R121&lt;=0,$F$20,0)+IF(S121&lt;=0,$F$21,0)+IF(T121&lt;=0,$F$22,0)+IF(U121&lt;=0,$F$23,0)+IF(V121&lt;=0,$F$24,0)),MAX(0,$F$5+(Dashboard!$C$11+IF(C121&lt;=0,$F$5,0)+IF(D121&lt;=0,$F$6,0)+IF(E121&lt;=0,$F$7,0)+IF(F121&lt;=0,$F$8,0)+IF(G121&lt;=0,$F$9,0)+IF(H121&lt;=0,$F$10,0)+IF(I121&lt;=0,$F$11,0)+IF(J121&lt;=0,$F$12,0)+IF(K121&lt;=0,$F$13,0)+IF(L121&lt;=0,$F$14,0)+IF(M121&lt;=0,$F$15,0)+IF(N121&lt;=0,$F$16,0)+IF(O121&lt;=0,$F$17,0)+IF(P121&lt;=0,$F$18,0)+IF(Q121&lt;=0,$F$19,0)+IF(R121&lt;=0,$F$20,0)+IF(S121&lt;=0,$F$21,0)+IF(T121&lt;=0,$F$22,0)+IF(U121&lt;=0,$F$23,0)+IF(V121&lt;=0,$F$24,0))-C121-AN122))</f>
        <v/>
      </c>
      <c r="AQ122">
        <f>IF(D121&lt;=0,0,D121*$E$6/12)</f>
        <v/>
      </c>
      <c r="AR122">
        <f>IF(D121&lt;=0,0,MIN(D121+AQ122,$F$6+AP122))</f>
        <v/>
      </c>
      <c r="AS122">
        <f>IF(D121&lt;=0,AP122,MAX(0,$F$6+AP122-D121-AQ122))</f>
        <v/>
      </c>
      <c r="AT122">
        <f>IF(E121&lt;=0,0,E121*$E$7/12)</f>
        <v/>
      </c>
      <c r="AU122">
        <f>IF(E121&lt;=0,0,MIN(E121+AT122,$F$7+AS122))</f>
        <v/>
      </c>
      <c r="AV122">
        <f>IF(E121&lt;=0,AS122,MAX(0,$F$7+AS122-E121-AT122))</f>
        <v/>
      </c>
      <c r="AW122">
        <f>IF(F121&lt;=0,0,F121*$E$8/12)</f>
        <v/>
      </c>
      <c r="AX122">
        <f>IF(F121&lt;=0,0,MIN(F121+AW122,$F$8+AV122))</f>
        <v/>
      </c>
      <c r="AY122">
        <f>IF(F121&lt;=0,AV122,MAX(0,$F$8+AV122-F121-AW122))</f>
        <v/>
      </c>
      <c r="AZ122">
        <f>IF(G121&lt;=0,0,G121*$E$9/12)</f>
        <v/>
      </c>
      <c r="BA122">
        <f>IF(G121&lt;=0,0,MIN(G121+AZ122,$F$9+AY122))</f>
        <v/>
      </c>
      <c r="BB122">
        <f>IF(G121&lt;=0,AY122,MAX(0,$F$9+AY122-G121-AZ122))</f>
        <v/>
      </c>
      <c r="BC122">
        <f>IF(H121&lt;=0,0,H121*$E$10/12)</f>
        <v/>
      </c>
      <c r="BD122">
        <f>IF(H121&lt;=0,0,MIN(H121+BC122,$F$10+BB122))</f>
        <v/>
      </c>
      <c r="BE122">
        <f>IF(H121&lt;=0,BB122,MAX(0,$F$10+BB122-H121-BC122))</f>
        <v/>
      </c>
      <c r="BF122">
        <f>IF(I121&lt;=0,0,I121*$E$11/12)</f>
        <v/>
      </c>
      <c r="BG122">
        <f>IF(I121&lt;=0,0,MIN(I121+BF122,$F$11+BE122))</f>
        <v/>
      </c>
      <c r="BH122">
        <f>IF(I121&lt;=0,BE122,MAX(0,$F$11+BE122-I121-BF122))</f>
        <v/>
      </c>
      <c r="BI122">
        <f>IF(J121&lt;=0,0,J121*$E$12/12)</f>
        <v/>
      </c>
      <c r="BJ122">
        <f>IF(J121&lt;=0,0,MIN(J121+BI122,$F$12+BH122))</f>
        <v/>
      </c>
      <c r="BK122">
        <f>IF(J121&lt;=0,BH122,MAX(0,$F$12+BH122-J121-BI122))</f>
        <v/>
      </c>
      <c r="BL122">
        <f>IF(K121&lt;=0,0,K121*$E$13/12)</f>
        <v/>
      </c>
      <c r="BM122">
        <f>IF(K121&lt;=0,0,MIN(K121+BL122,$F$13+BK122))</f>
        <v/>
      </c>
      <c r="BN122">
        <f>IF(K121&lt;=0,BK122,MAX(0,$F$13+BK122-K121-BL122))</f>
        <v/>
      </c>
      <c r="BO122">
        <f>IF(L121&lt;=0,0,L121*$E$14/12)</f>
        <v/>
      </c>
      <c r="BP122">
        <f>IF(L121&lt;=0,0,MIN(L121+BO122,$F$14+BN122))</f>
        <v/>
      </c>
      <c r="BQ122">
        <f>IF(L121&lt;=0,BN122,MAX(0,$F$14+BN122-L121-BO122))</f>
        <v/>
      </c>
      <c r="BR122">
        <f>IF(M121&lt;=0,0,M121*$E$15/12)</f>
        <v/>
      </c>
      <c r="BS122">
        <f>IF(M121&lt;=0,0,MIN(M121+BR122,$F$15+BQ122))</f>
        <v/>
      </c>
      <c r="BT122">
        <f>IF(M121&lt;=0,BQ122,MAX(0,$F$15+BQ122-M121-BR122))</f>
        <v/>
      </c>
      <c r="BU122">
        <f>IF(N121&lt;=0,0,N121*$E$16/12)</f>
        <v/>
      </c>
      <c r="BV122">
        <f>IF(N121&lt;=0,0,MIN(N121+BU122,$F$16+BT122))</f>
        <v/>
      </c>
      <c r="BW122">
        <f>IF(N121&lt;=0,BT122,MAX(0,$F$16+BT122-N121-BU122))</f>
        <v/>
      </c>
      <c r="BX122">
        <f>IF(O121&lt;=0,0,O121*$E$17/12)</f>
        <v/>
      </c>
      <c r="BY122">
        <f>IF(O121&lt;=0,0,MIN(O121+BX122,$F$17+BW122))</f>
        <v/>
      </c>
      <c r="BZ122">
        <f>IF(O121&lt;=0,BW122,MAX(0,$F$17+BW122-O121-BX122))</f>
        <v/>
      </c>
      <c r="CA122">
        <f>IF(P121&lt;=0,0,P121*$E$18/12)</f>
        <v/>
      </c>
      <c r="CB122">
        <f>IF(P121&lt;=0,0,MIN(P121+CA122,$F$18+BZ122))</f>
        <v/>
      </c>
      <c r="CC122">
        <f>IF(P121&lt;=0,BZ122,MAX(0,$F$18+BZ122-P121-CA122))</f>
        <v/>
      </c>
      <c r="CD122">
        <f>IF(Q121&lt;=0,0,Q121*$E$19/12)</f>
        <v/>
      </c>
      <c r="CE122">
        <f>IF(Q121&lt;=0,0,MIN(Q121+CD122,$F$19+CC122))</f>
        <v/>
      </c>
      <c r="CF122">
        <f>IF(Q121&lt;=0,CC122,MAX(0,$F$19+CC122-Q121-CD122))</f>
        <v/>
      </c>
      <c r="CG122">
        <f>IF(R121&lt;=0,0,R121*$E$20/12)</f>
        <v/>
      </c>
      <c r="CH122">
        <f>IF(R121&lt;=0,0,MIN(R121+CG122,$F$20+CF122))</f>
        <v/>
      </c>
      <c r="CI122">
        <f>IF(R121&lt;=0,CF122,MAX(0,$F$20+CF122-R121-CG122))</f>
        <v/>
      </c>
      <c r="CJ122">
        <f>IF(S121&lt;=0,0,S121*$E$21/12)</f>
        <v/>
      </c>
      <c r="CK122">
        <f>IF(S121&lt;=0,0,MIN(S121+CJ122,$F$21+CI122))</f>
        <v/>
      </c>
      <c r="CL122">
        <f>IF(S121&lt;=0,CI122,MAX(0,$F$21+CI122-S121-CJ122))</f>
        <v/>
      </c>
      <c r="CM122">
        <f>IF(T121&lt;=0,0,T121*$E$22/12)</f>
        <v/>
      </c>
      <c r="CN122">
        <f>IF(T121&lt;=0,0,MIN(T121+CM122,$F$22+CL122))</f>
        <v/>
      </c>
      <c r="CO122">
        <f>IF(T121&lt;=0,CL122,MAX(0,$F$22+CL122-T121-CM122))</f>
        <v/>
      </c>
      <c r="CP122">
        <f>IF(U121&lt;=0,0,U121*$E$23/12)</f>
        <v/>
      </c>
      <c r="CQ122">
        <f>IF(U121&lt;=0,0,MIN(U121+CP122,$F$23+CO122))</f>
        <v/>
      </c>
      <c r="CR122">
        <f>IF(U121&lt;=0,CO122,MAX(0,$F$23+CO122-U121-CP122))</f>
        <v/>
      </c>
      <c r="CS122">
        <f>IF(V121&lt;=0,0,V121*$E$24/12)</f>
        <v/>
      </c>
      <c r="CT122">
        <f>IF(V121&lt;=0,0,MIN(V121+CS122,$F$24+CR122))</f>
        <v/>
      </c>
      <c r="CU122">
        <f>IF(V121&lt;=0,CR122,MAX(0,$F$24+CR122-V121-CS122))</f>
        <v/>
      </c>
    </row>
    <row r="123">
      <c r="B123" s="39" t="n">
        <v>97</v>
      </c>
      <c r="C123" s="13">
        <f>IF(C122&lt;=0,0,MAX(0,C122+AN123-AO123))</f>
        <v/>
      </c>
      <c r="D123" s="13">
        <f>IF(D122&lt;=0,0,MAX(0,D122+AQ123-AR123))</f>
        <v/>
      </c>
      <c r="E123" s="13">
        <f>IF(E122&lt;=0,0,MAX(0,E122+AT123-AU123))</f>
        <v/>
      </c>
      <c r="F123" s="13">
        <f>IF(F122&lt;=0,0,MAX(0,F122+AW123-AX123))</f>
        <v/>
      </c>
      <c r="G123" s="13">
        <f>IF(G122&lt;=0,0,MAX(0,G122+AZ123-BA123))</f>
        <v/>
      </c>
      <c r="H123" s="13">
        <f>IF(H122&lt;=0,0,MAX(0,H122+BC123-BD123))</f>
        <v/>
      </c>
      <c r="I123" s="13">
        <f>IF(I122&lt;=0,0,MAX(0,I122+BF123-BG123))</f>
        <v/>
      </c>
      <c r="J123" s="13">
        <f>IF(J122&lt;=0,0,MAX(0,J122+BI123-BJ123))</f>
        <v/>
      </c>
      <c r="K123" s="13">
        <f>IF(K122&lt;=0,0,MAX(0,K122+BL123-BM123))</f>
        <v/>
      </c>
      <c r="L123" s="13">
        <f>IF(L122&lt;=0,0,MAX(0,L122+BO123-BP123))</f>
        <v/>
      </c>
      <c r="M123" s="13">
        <f>IF(M122&lt;=0,0,MAX(0,M122+BR123-BS123))</f>
        <v/>
      </c>
      <c r="N123" s="13">
        <f>IF(N122&lt;=0,0,MAX(0,N122+BU123-BV123))</f>
        <v/>
      </c>
      <c r="O123" s="13">
        <f>IF(O122&lt;=0,0,MAX(0,O122+BX123-BY123))</f>
        <v/>
      </c>
      <c r="P123" s="13">
        <f>IF(P122&lt;=0,0,MAX(0,P122+CA123-CB123))</f>
        <v/>
      </c>
      <c r="Q123" s="13">
        <f>IF(Q122&lt;=0,0,MAX(0,Q122+CD123-CE123))</f>
        <v/>
      </c>
      <c r="R123" s="13">
        <f>IF(R122&lt;=0,0,MAX(0,R122+CG123-CH123))</f>
        <v/>
      </c>
      <c r="S123" s="13">
        <f>IF(S122&lt;=0,0,MAX(0,S122+CJ123-CK123))</f>
        <v/>
      </c>
      <c r="T123" s="13">
        <f>IF(T122&lt;=0,0,MAX(0,T122+CM123-CN123))</f>
        <v/>
      </c>
      <c r="U123" s="13">
        <f>IF(U122&lt;=0,0,MAX(0,U122+CP123-CQ123))</f>
        <v/>
      </c>
      <c r="V123" s="13">
        <f>IF(V122&lt;=0,0,MAX(0,V122+CS123-CT123))</f>
        <v/>
      </c>
      <c r="W123" s="13">
        <f>AO123+AR123+AU123+AX123+BA123+BD123+BG123+BJ123+BM123+BP123+BS123+BV123+BY123+CB123+CE123+CH123+CK123+CN123+CQ123+CT123</f>
        <v/>
      </c>
      <c r="X123" s="13">
        <f>AN123+AQ123+AT123+AW123+AZ123+BC123+BF123+BI123+BL123+BO123+BR123+BU123+BX123+CA123+CD123+CG123+CJ123+CM123+CP123+CS123</f>
        <v/>
      </c>
      <c r="Y123" s="27">
        <f>C123+D123+E123+F123+G123+H123+I123+J123+K123+L123+M123+N123+O123+P123+Q123+R123+S123+T123+U123+V123</f>
        <v/>
      </c>
      <c r="AN123">
        <f>IF(C122&lt;=0,0,C122*$E$5/12)</f>
        <v/>
      </c>
      <c r="AO123">
        <f>IF(C122&lt;=0,0,MIN(C122+AN123,$F$5+(Dashboard!$C$11+IF(C122&lt;=0,$F$5,0)+IF(D122&lt;=0,$F$6,0)+IF(E122&lt;=0,$F$7,0)+IF(F122&lt;=0,$F$8,0)+IF(G122&lt;=0,$F$9,0)+IF(H122&lt;=0,$F$10,0)+IF(I122&lt;=0,$F$11,0)+IF(J122&lt;=0,$F$12,0)+IF(K122&lt;=0,$F$13,0)+IF(L122&lt;=0,$F$14,0)+IF(M122&lt;=0,$F$15,0)+IF(N122&lt;=0,$F$16,0)+IF(O122&lt;=0,$F$17,0)+IF(P122&lt;=0,$F$18,0)+IF(Q122&lt;=0,$F$19,0)+IF(R122&lt;=0,$F$20,0)+IF(S122&lt;=0,$F$21,0)+IF(T122&lt;=0,$F$22,0)+IF(U122&lt;=0,$F$23,0)+IF(V122&lt;=0,$F$24,0))))</f>
        <v/>
      </c>
      <c r="AP123">
        <f>IF(C122&lt;=0,(Dashboard!$C$11+IF(C122&lt;=0,$F$5,0)+IF(D122&lt;=0,$F$6,0)+IF(E122&lt;=0,$F$7,0)+IF(F122&lt;=0,$F$8,0)+IF(G122&lt;=0,$F$9,0)+IF(H122&lt;=0,$F$10,0)+IF(I122&lt;=0,$F$11,0)+IF(J122&lt;=0,$F$12,0)+IF(K122&lt;=0,$F$13,0)+IF(L122&lt;=0,$F$14,0)+IF(M122&lt;=0,$F$15,0)+IF(N122&lt;=0,$F$16,0)+IF(O122&lt;=0,$F$17,0)+IF(P122&lt;=0,$F$18,0)+IF(Q122&lt;=0,$F$19,0)+IF(R122&lt;=0,$F$20,0)+IF(S122&lt;=0,$F$21,0)+IF(T122&lt;=0,$F$22,0)+IF(U122&lt;=0,$F$23,0)+IF(V122&lt;=0,$F$24,0)),MAX(0,$F$5+(Dashboard!$C$11+IF(C122&lt;=0,$F$5,0)+IF(D122&lt;=0,$F$6,0)+IF(E122&lt;=0,$F$7,0)+IF(F122&lt;=0,$F$8,0)+IF(G122&lt;=0,$F$9,0)+IF(H122&lt;=0,$F$10,0)+IF(I122&lt;=0,$F$11,0)+IF(J122&lt;=0,$F$12,0)+IF(K122&lt;=0,$F$13,0)+IF(L122&lt;=0,$F$14,0)+IF(M122&lt;=0,$F$15,0)+IF(N122&lt;=0,$F$16,0)+IF(O122&lt;=0,$F$17,0)+IF(P122&lt;=0,$F$18,0)+IF(Q122&lt;=0,$F$19,0)+IF(R122&lt;=0,$F$20,0)+IF(S122&lt;=0,$F$21,0)+IF(T122&lt;=0,$F$22,0)+IF(U122&lt;=0,$F$23,0)+IF(V122&lt;=0,$F$24,0))-C122-AN123))</f>
        <v/>
      </c>
      <c r="AQ123">
        <f>IF(D122&lt;=0,0,D122*$E$6/12)</f>
        <v/>
      </c>
      <c r="AR123">
        <f>IF(D122&lt;=0,0,MIN(D122+AQ123,$F$6+AP123))</f>
        <v/>
      </c>
      <c r="AS123">
        <f>IF(D122&lt;=0,AP123,MAX(0,$F$6+AP123-D122-AQ123))</f>
        <v/>
      </c>
      <c r="AT123">
        <f>IF(E122&lt;=0,0,E122*$E$7/12)</f>
        <v/>
      </c>
      <c r="AU123">
        <f>IF(E122&lt;=0,0,MIN(E122+AT123,$F$7+AS123))</f>
        <v/>
      </c>
      <c r="AV123">
        <f>IF(E122&lt;=0,AS123,MAX(0,$F$7+AS123-E122-AT123))</f>
        <v/>
      </c>
      <c r="AW123">
        <f>IF(F122&lt;=0,0,F122*$E$8/12)</f>
        <v/>
      </c>
      <c r="AX123">
        <f>IF(F122&lt;=0,0,MIN(F122+AW123,$F$8+AV123))</f>
        <v/>
      </c>
      <c r="AY123">
        <f>IF(F122&lt;=0,AV123,MAX(0,$F$8+AV123-F122-AW123))</f>
        <v/>
      </c>
      <c r="AZ123">
        <f>IF(G122&lt;=0,0,G122*$E$9/12)</f>
        <v/>
      </c>
      <c r="BA123">
        <f>IF(G122&lt;=0,0,MIN(G122+AZ123,$F$9+AY123))</f>
        <v/>
      </c>
      <c r="BB123">
        <f>IF(G122&lt;=0,AY123,MAX(0,$F$9+AY123-G122-AZ123))</f>
        <v/>
      </c>
      <c r="BC123">
        <f>IF(H122&lt;=0,0,H122*$E$10/12)</f>
        <v/>
      </c>
      <c r="BD123">
        <f>IF(H122&lt;=0,0,MIN(H122+BC123,$F$10+BB123))</f>
        <v/>
      </c>
      <c r="BE123">
        <f>IF(H122&lt;=0,BB123,MAX(0,$F$10+BB123-H122-BC123))</f>
        <v/>
      </c>
      <c r="BF123">
        <f>IF(I122&lt;=0,0,I122*$E$11/12)</f>
        <v/>
      </c>
      <c r="BG123">
        <f>IF(I122&lt;=0,0,MIN(I122+BF123,$F$11+BE123))</f>
        <v/>
      </c>
      <c r="BH123">
        <f>IF(I122&lt;=0,BE123,MAX(0,$F$11+BE123-I122-BF123))</f>
        <v/>
      </c>
      <c r="BI123">
        <f>IF(J122&lt;=0,0,J122*$E$12/12)</f>
        <v/>
      </c>
      <c r="BJ123">
        <f>IF(J122&lt;=0,0,MIN(J122+BI123,$F$12+BH123))</f>
        <v/>
      </c>
      <c r="BK123">
        <f>IF(J122&lt;=0,BH123,MAX(0,$F$12+BH123-J122-BI123))</f>
        <v/>
      </c>
      <c r="BL123">
        <f>IF(K122&lt;=0,0,K122*$E$13/12)</f>
        <v/>
      </c>
      <c r="BM123">
        <f>IF(K122&lt;=0,0,MIN(K122+BL123,$F$13+BK123))</f>
        <v/>
      </c>
      <c r="BN123">
        <f>IF(K122&lt;=0,BK123,MAX(0,$F$13+BK123-K122-BL123))</f>
        <v/>
      </c>
      <c r="BO123">
        <f>IF(L122&lt;=0,0,L122*$E$14/12)</f>
        <v/>
      </c>
      <c r="BP123">
        <f>IF(L122&lt;=0,0,MIN(L122+BO123,$F$14+BN123))</f>
        <v/>
      </c>
      <c r="BQ123">
        <f>IF(L122&lt;=0,BN123,MAX(0,$F$14+BN123-L122-BO123))</f>
        <v/>
      </c>
      <c r="BR123">
        <f>IF(M122&lt;=0,0,M122*$E$15/12)</f>
        <v/>
      </c>
      <c r="BS123">
        <f>IF(M122&lt;=0,0,MIN(M122+BR123,$F$15+BQ123))</f>
        <v/>
      </c>
      <c r="BT123">
        <f>IF(M122&lt;=0,BQ123,MAX(0,$F$15+BQ123-M122-BR123))</f>
        <v/>
      </c>
      <c r="BU123">
        <f>IF(N122&lt;=0,0,N122*$E$16/12)</f>
        <v/>
      </c>
      <c r="BV123">
        <f>IF(N122&lt;=0,0,MIN(N122+BU123,$F$16+BT123))</f>
        <v/>
      </c>
      <c r="BW123">
        <f>IF(N122&lt;=0,BT123,MAX(0,$F$16+BT123-N122-BU123))</f>
        <v/>
      </c>
      <c r="BX123">
        <f>IF(O122&lt;=0,0,O122*$E$17/12)</f>
        <v/>
      </c>
      <c r="BY123">
        <f>IF(O122&lt;=0,0,MIN(O122+BX123,$F$17+BW123))</f>
        <v/>
      </c>
      <c r="BZ123">
        <f>IF(O122&lt;=0,BW123,MAX(0,$F$17+BW123-O122-BX123))</f>
        <v/>
      </c>
      <c r="CA123">
        <f>IF(P122&lt;=0,0,P122*$E$18/12)</f>
        <v/>
      </c>
      <c r="CB123">
        <f>IF(P122&lt;=0,0,MIN(P122+CA123,$F$18+BZ123))</f>
        <v/>
      </c>
      <c r="CC123">
        <f>IF(P122&lt;=0,BZ123,MAX(0,$F$18+BZ123-P122-CA123))</f>
        <v/>
      </c>
      <c r="CD123">
        <f>IF(Q122&lt;=0,0,Q122*$E$19/12)</f>
        <v/>
      </c>
      <c r="CE123">
        <f>IF(Q122&lt;=0,0,MIN(Q122+CD123,$F$19+CC123))</f>
        <v/>
      </c>
      <c r="CF123">
        <f>IF(Q122&lt;=0,CC123,MAX(0,$F$19+CC123-Q122-CD123))</f>
        <v/>
      </c>
      <c r="CG123">
        <f>IF(R122&lt;=0,0,R122*$E$20/12)</f>
        <v/>
      </c>
      <c r="CH123">
        <f>IF(R122&lt;=0,0,MIN(R122+CG123,$F$20+CF123))</f>
        <v/>
      </c>
      <c r="CI123">
        <f>IF(R122&lt;=0,CF123,MAX(0,$F$20+CF123-R122-CG123))</f>
        <v/>
      </c>
      <c r="CJ123">
        <f>IF(S122&lt;=0,0,S122*$E$21/12)</f>
        <v/>
      </c>
      <c r="CK123">
        <f>IF(S122&lt;=0,0,MIN(S122+CJ123,$F$21+CI123))</f>
        <v/>
      </c>
      <c r="CL123">
        <f>IF(S122&lt;=0,CI123,MAX(0,$F$21+CI123-S122-CJ123))</f>
        <v/>
      </c>
      <c r="CM123">
        <f>IF(T122&lt;=0,0,T122*$E$22/12)</f>
        <v/>
      </c>
      <c r="CN123">
        <f>IF(T122&lt;=0,0,MIN(T122+CM123,$F$22+CL123))</f>
        <v/>
      </c>
      <c r="CO123">
        <f>IF(T122&lt;=0,CL123,MAX(0,$F$22+CL123-T122-CM123))</f>
        <v/>
      </c>
      <c r="CP123">
        <f>IF(U122&lt;=0,0,U122*$E$23/12)</f>
        <v/>
      </c>
      <c r="CQ123">
        <f>IF(U122&lt;=0,0,MIN(U122+CP123,$F$23+CO123))</f>
        <v/>
      </c>
      <c r="CR123">
        <f>IF(U122&lt;=0,CO123,MAX(0,$F$23+CO123-U122-CP123))</f>
        <v/>
      </c>
      <c r="CS123">
        <f>IF(V122&lt;=0,0,V122*$E$24/12)</f>
        <v/>
      </c>
      <c r="CT123">
        <f>IF(V122&lt;=0,0,MIN(V122+CS123,$F$24+CR123))</f>
        <v/>
      </c>
      <c r="CU123">
        <f>IF(V122&lt;=0,CR123,MAX(0,$F$24+CR123-V122-CS123))</f>
        <v/>
      </c>
    </row>
    <row r="124">
      <c r="B124" s="39" t="n">
        <v>98</v>
      </c>
      <c r="C124" s="13">
        <f>IF(C123&lt;=0,0,MAX(0,C123+AN124-AO124))</f>
        <v/>
      </c>
      <c r="D124" s="13">
        <f>IF(D123&lt;=0,0,MAX(0,D123+AQ124-AR124))</f>
        <v/>
      </c>
      <c r="E124" s="13">
        <f>IF(E123&lt;=0,0,MAX(0,E123+AT124-AU124))</f>
        <v/>
      </c>
      <c r="F124" s="13">
        <f>IF(F123&lt;=0,0,MAX(0,F123+AW124-AX124))</f>
        <v/>
      </c>
      <c r="G124" s="13">
        <f>IF(G123&lt;=0,0,MAX(0,G123+AZ124-BA124))</f>
        <v/>
      </c>
      <c r="H124" s="13">
        <f>IF(H123&lt;=0,0,MAX(0,H123+BC124-BD124))</f>
        <v/>
      </c>
      <c r="I124" s="13">
        <f>IF(I123&lt;=0,0,MAX(0,I123+BF124-BG124))</f>
        <v/>
      </c>
      <c r="J124" s="13">
        <f>IF(J123&lt;=0,0,MAX(0,J123+BI124-BJ124))</f>
        <v/>
      </c>
      <c r="K124" s="13">
        <f>IF(K123&lt;=0,0,MAX(0,K123+BL124-BM124))</f>
        <v/>
      </c>
      <c r="L124" s="13">
        <f>IF(L123&lt;=0,0,MAX(0,L123+BO124-BP124))</f>
        <v/>
      </c>
      <c r="M124" s="13">
        <f>IF(M123&lt;=0,0,MAX(0,M123+BR124-BS124))</f>
        <v/>
      </c>
      <c r="N124" s="13">
        <f>IF(N123&lt;=0,0,MAX(0,N123+BU124-BV124))</f>
        <v/>
      </c>
      <c r="O124" s="13">
        <f>IF(O123&lt;=0,0,MAX(0,O123+BX124-BY124))</f>
        <v/>
      </c>
      <c r="P124" s="13">
        <f>IF(P123&lt;=0,0,MAX(0,P123+CA124-CB124))</f>
        <v/>
      </c>
      <c r="Q124" s="13">
        <f>IF(Q123&lt;=0,0,MAX(0,Q123+CD124-CE124))</f>
        <v/>
      </c>
      <c r="R124" s="13">
        <f>IF(R123&lt;=0,0,MAX(0,R123+CG124-CH124))</f>
        <v/>
      </c>
      <c r="S124" s="13">
        <f>IF(S123&lt;=0,0,MAX(0,S123+CJ124-CK124))</f>
        <v/>
      </c>
      <c r="T124" s="13">
        <f>IF(T123&lt;=0,0,MAX(0,T123+CM124-CN124))</f>
        <v/>
      </c>
      <c r="U124" s="13">
        <f>IF(U123&lt;=0,0,MAX(0,U123+CP124-CQ124))</f>
        <v/>
      </c>
      <c r="V124" s="13">
        <f>IF(V123&lt;=0,0,MAX(0,V123+CS124-CT124))</f>
        <v/>
      </c>
      <c r="W124" s="13">
        <f>AO124+AR124+AU124+AX124+BA124+BD124+BG124+BJ124+BM124+BP124+BS124+BV124+BY124+CB124+CE124+CH124+CK124+CN124+CQ124+CT124</f>
        <v/>
      </c>
      <c r="X124" s="13">
        <f>AN124+AQ124+AT124+AW124+AZ124+BC124+BF124+BI124+BL124+BO124+BR124+BU124+BX124+CA124+CD124+CG124+CJ124+CM124+CP124+CS124</f>
        <v/>
      </c>
      <c r="Y124" s="27">
        <f>C124+D124+E124+F124+G124+H124+I124+J124+K124+L124+M124+N124+O124+P124+Q124+R124+S124+T124+U124+V124</f>
        <v/>
      </c>
      <c r="AN124">
        <f>IF(C123&lt;=0,0,C123*$E$5/12)</f>
        <v/>
      </c>
      <c r="AO124">
        <f>IF(C123&lt;=0,0,MIN(C123+AN124,$F$5+(Dashboard!$C$11+IF(C123&lt;=0,$F$5,0)+IF(D123&lt;=0,$F$6,0)+IF(E123&lt;=0,$F$7,0)+IF(F123&lt;=0,$F$8,0)+IF(G123&lt;=0,$F$9,0)+IF(H123&lt;=0,$F$10,0)+IF(I123&lt;=0,$F$11,0)+IF(J123&lt;=0,$F$12,0)+IF(K123&lt;=0,$F$13,0)+IF(L123&lt;=0,$F$14,0)+IF(M123&lt;=0,$F$15,0)+IF(N123&lt;=0,$F$16,0)+IF(O123&lt;=0,$F$17,0)+IF(P123&lt;=0,$F$18,0)+IF(Q123&lt;=0,$F$19,0)+IF(R123&lt;=0,$F$20,0)+IF(S123&lt;=0,$F$21,0)+IF(T123&lt;=0,$F$22,0)+IF(U123&lt;=0,$F$23,0)+IF(V123&lt;=0,$F$24,0))))</f>
        <v/>
      </c>
      <c r="AP124">
        <f>IF(C123&lt;=0,(Dashboard!$C$11+IF(C123&lt;=0,$F$5,0)+IF(D123&lt;=0,$F$6,0)+IF(E123&lt;=0,$F$7,0)+IF(F123&lt;=0,$F$8,0)+IF(G123&lt;=0,$F$9,0)+IF(H123&lt;=0,$F$10,0)+IF(I123&lt;=0,$F$11,0)+IF(J123&lt;=0,$F$12,0)+IF(K123&lt;=0,$F$13,0)+IF(L123&lt;=0,$F$14,0)+IF(M123&lt;=0,$F$15,0)+IF(N123&lt;=0,$F$16,0)+IF(O123&lt;=0,$F$17,0)+IF(P123&lt;=0,$F$18,0)+IF(Q123&lt;=0,$F$19,0)+IF(R123&lt;=0,$F$20,0)+IF(S123&lt;=0,$F$21,0)+IF(T123&lt;=0,$F$22,0)+IF(U123&lt;=0,$F$23,0)+IF(V123&lt;=0,$F$24,0)),MAX(0,$F$5+(Dashboard!$C$11+IF(C123&lt;=0,$F$5,0)+IF(D123&lt;=0,$F$6,0)+IF(E123&lt;=0,$F$7,0)+IF(F123&lt;=0,$F$8,0)+IF(G123&lt;=0,$F$9,0)+IF(H123&lt;=0,$F$10,0)+IF(I123&lt;=0,$F$11,0)+IF(J123&lt;=0,$F$12,0)+IF(K123&lt;=0,$F$13,0)+IF(L123&lt;=0,$F$14,0)+IF(M123&lt;=0,$F$15,0)+IF(N123&lt;=0,$F$16,0)+IF(O123&lt;=0,$F$17,0)+IF(P123&lt;=0,$F$18,0)+IF(Q123&lt;=0,$F$19,0)+IF(R123&lt;=0,$F$20,0)+IF(S123&lt;=0,$F$21,0)+IF(T123&lt;=0,$F$22,0)+IF(U123&lt;=0,$F$23,0)+IF(V123&lt;=0,$F$24,0))-C123-AN124))</f>
        <v/>
      </c>
      <c r="AQ124">
        <f>IF(D123&lt;=0,0,D123*$E$6/12)</f>
        <v/>
      </c>
      <c r="AR124">
        <f>IF(D123&lt;=0,0,MIN(D123+AQ124,$F$6+AP124))</f>
        <v/>
      </c>
      <c r="AS124">
        <f>IF(D123&lt;=0,AP124,MAX(0,$F$6+AP124-D123-AQ124))</f>
        <v/>
      </c>
      <c r="AT124">
        <f>IF(E123&lt;=0,0,E123*$E$7/12)</f>
        <v/>
      </c>
      <c r="AU124">
        <f>IF(E123&lt;=0,0,MIN(E123+AT124,$F$7+AS124))</f>
        <v/>
      </c>
      <c r="AV124">
        <f>IF(E123&lt;=0,AS124,MAX(0,$F$7+AS124-E123-AT124))</f>
        <v/>
      </c>
      <c r="AW124">
        <f>IF(F123&lt;=0,0,F123*$E$8/12)</f>
        <v/>
      </c>
      <c r="AX124">
        <f>IF(F123&lt;=0,0,MIN(F123+AW124,$F$8+AV124))</f>
        <v/>
      </c>
      <c r="AY124">
        <f>IF(F123&lt;=0,AV124,MAX(0,$F$8+AV124-F123-AW124))</f>
        <v/>
      </c>
      <c r="AZ124">
        <f>IF(G123&lt;=0,0,G123*$E$9/12)</f>
        <v/>
      </c>
      <c r="BA124">
        <f>IF(G123&lt;=0,0,MIN(G123+AZ124,$F$9+AY124))</f>
        <v/>
      </c>
      <c r="BB124">
        <f>IF(G123&lt;=0,AY124,MAX(0,$F$9+AY124-G123-AZ124))</f>
        <v/>
      </c>
      <c r="BC124">
        <f>IF(H123&lt;=0,0,H123*$E$10/12)</f>
        <v/>
      </c>
      <c r="BD124">
        <f>IF(H123&lt;=0,0,MIN(H123+BC124,$F$10+BB124))</f>
        <v/>
      </c>
      <c r="BE124">
        <f>IF(H123&lt;=0,BB124,MAX(0,$F$10+BB124-H123-BC124))</f>
        <v/>
      </c>
      <c r="BF124">
        <f>IF(I123&lt;=0,0,I123*$E$11/12)</f>
        <v/>
      </c>
      <c r="BG124">
        <f>IF(I123&lt;=0,0,MIN(I123+BF124,$F$11+BE124))</f>
        <v/>
      </c>
      <c r="BH124">
        <f>IF(I123&lt;=0,BE124,MAX(0,$F$11+BE124-I123-BF124))</f>
        <v/>
      </c>
      <c r="BI124">
        <f>IF(J123&lt;=0,0,J123*$E$12/12)</f>
        <v/>
      </c>
      <c r="BJ124">
        <f>IF(J123&lt;=0,0,MIN(J123+BI124,$F$12+BH124))</f>
        <v/>
      </c>
      <c r="BK124">
        <f>IF(J123&lt;=0,BH124,MAX(0,$F$12+BH124-J123-BI124))</f>
        <v/>
      </c>
      <c r="BL124">
        <f>IF(K123&lt;=0,0,K123*$E$13/12)</f>
        <v/>
      </c>
      <c r="BM124">
        <f>IF(K123&lt;=0,0,MIN(K123+BL124,$F$13+BK124))</f>
        <v/>
      </c>
      <c r="BN124">
        <f>IF(K123&lt;=0,BK124,MAX(0,$F$13+BK124-K123-BL124))</f>
        <v/>
      </c>
      <c r="BO124">
        <f>IF(L123&lt;=0,0,L123*$E$14/12)</f>
        <v/>
      </c>
      <c r="BP124">
        <f>IF(L123&lt;=0,0,MIN(L123+BO124,$F$14+BN124))</f>
        <v/>
      </c>
      <c r="BQ124">
        <f>IF(L123&lt;=0,BN124,MAX(0,$F$14+BN124-L123-BO124))</f>
        <v/>
      </c>
      <c r="BR124">
        <f>IF(M123&lt;=0,0,M123*$E$15/12)</f>
        <v/>
      </c>
      <c r="BS124">
        <f>IF(M123&lt;=0,0,MIN(M123+BR124,$F$15+BQ124))</f>
        <v/>
      </c>
      <c r="BT124">
        <f>IF(M123&lt;=0,BQ124,MAX(0,$F$15+BQ124-M123-BR124))</f>
        <v/>
      </c>
      <c r="BU124">
        <f>IF(N123&lt;=0,0,N123*$E$16/12)</f>
        <v/>
      </c>
      <c r="BV124">
        <f>IF(N123&lt;=0,0,MIN(N123+BU124,$F$16+BT124))</f>
        <v/>
      </c>
      <c r="BW124">
        <f>IF(N123&lt;=0,BT124,MAX(0,$F$16+BT124-N123-BU124))</f>
        <v/>
      </c>
      <c r="BX124">
        <f>IF(O123&lt;=0,0,O123*$E$17/12)</f>
        <v/>
      </c>
      <c r="BY124">
        <f>IF(O123&lt;=0,0,MIN(O123+BX124,$F$17+BW124))</f>
        <v/>
      </c>
      <c r="BZ124">
        <f>IF(O123&lt;=0,BW124,MAX(0,$F$17+BW124-O123-BX124))</f>
        <v/>
      </c>
      <c r="CA124">
        <f>IF(P123&lt;=0,0,P123*$E$18/12)</f>
        <v/>
      </c>
      <c r="CB124">
        <f>IF(P123&lt;=0,0,MIN(P123+CA124,$F$18+BZ124))</f>
        <v/>
      </c>
      <c r="CC124">
        <f>IF(P123&lt;=0,BZ124,MAX(0,$F$18+BZ124-P123-CA124))</f>
        <v/>
      </c>
      <c r="CD124">
        <f>IF(Q123&lt;=0,0,Q123*$E$19/12)</f>
        <v/>
      </c>
      <c r="CE124">
        <f>IF(Q123&lt;=0,0,MIN(Q123+CD124,$F$19+CC124))</f>
        <v/>
      </c>
      <c r="CF124">
        <f>IF(Q123&lt;=0,CC124,MAX(0,$F$19+CC124-Q123-CD124))</f>
        <v/>
      </c>
      <c r="CG124">
        <f>IF(R123&lt;=0,0,R123*$E$20/12)</f>
        <v/>
      </c>
      <c r="CH124">
        <f>IF(R123&lt;=0,0,MIN(R123+CG124,$F$20+CF124))</f>
        <v/>
      </c>
      <c r="CI124">
        <f>IF(R123&lt;=0,CF124,MAX(0,$F$20+CF124-R123-CG124))</f>
        <v/>
      </c>
      <c r="CJ124">
        <f>IF(S123&lt;=0,0,S123*$E$21/12)</f>
        <v/>
      </c>
      <c r="CK124">
        <f>IF(S123&lt;=0,0,MIN(S123+CJ124,$F$21+CI124))</f>
        <v/>
      </c>
      <c r="CL124">
        <f>IF(S123&lt;=0,CI124,MAX(0,$F$21+CI124-S123-CJ124))</f>
        <v/>
      </c>
      <c r="CM124">
        <f>IF(T123&lt;=0,0,T123*$E$22/12)</f>
        <v/>
      </c>
      <c r="CN124">
        <f>IF(T123&lt;=0,0,MIN(T123+CM124,$F$22+CL124))</f>
        <v/>
      </c>
      <c r="CO124">
        <f>IF(T123&lt;=0,CL124,MAX(0,$F$22+CL124-T123-CM124))</f>
        <v/>
      </c>
      <c r="CP124">
        <f>IF(U123&lt;=0,0,U123*$E$23/12)</f>
        <v/>
      </c>
      <c r="CQ124">
        <f>IF(U123&lt;=0,0,MIN(U123+CP124,$F$23+CO124))</f>
        <v/>
      </c>
      <c r="CR124">
        <f>IF(U123&lt;=0,CO124,MAX(0,$F$23+CO124-U123-CP124))</f>
        <v/>
      </c>
      <c r="CS124">
        <f>IF(V123&lt;=0,0,V123*$E$24/12)</f>
        <v/>
      </c>
      <c r="CT124">
        <f>IF(V123&lt;=0,0,MIN(V123+CS124,$F$24+CR124))</f>
        <v/>
      </c>
      <c r="CU124">
        <f>IF(V123&lt;=0,CR124,MAX(0,$F$24+CR124-V123-CS124))</f>
        <v/>
      </c>
    </row>
    <row r="125">
      <c r="B125" s="39" t="n">
        <v>99</v>
      </c>
      <c r="C125" s="13">
        <f>IF(C124&lt;=0,0,MAX(0,C124+AN125-AO125))</f>
        <v/>
      </c>
      <c r="D125" s="13">
        <f>IF(D124&lt;=0,0,MAX(0,D124+AQ125-AR125))</f>
        <v/>
      </c>
      <c r="E125" s="13">
        <f>IF(E124&lt;=0,0,MAX(0,E124+AT125-AU125))</f>
        <v/>
      </c>
      <c r="F125" s="13">
        <f>IF(F124&lt;=0,0,MAX(0,F124+AW125-AX125))</f>
        <v/>
      </c>
      <c r="G125" s="13">
        <f>IF(G124&lt;=0,0,MAX(0,G124+AZ125-BA125))</f>
        <v/>
      </c>
      <c r="H125" s="13">
        <f>IF(H124&lt;=0,0,MAX(0,H124+BC125-BD125))</f>
        <v/>
      </c>
      <c r="I125" s="13">
        <f>IF(I124&lt;=0,0,MAX(0,I124+BF125-BG125))</f>
        <v/>
      </c>
      <c r="J125" s="13">
        <f>IF(J124&lt;=0,0,MAX(0,J124+BI125-BJ125))</f>
        <v/>
      </c>
      <c r="K125" s="13">
        <f>IF(K124&lt;=0,0,MAX(0,K124+BL125-BM125))</f>
        <v/>
      </c>
      <c r="L125" s="13">
        <f>IF(L124&lt;=0,0,MAX(0,L124+BO125-BP125))</f>
        <v/>
      </c>
      <c r="M125" s="13">
        <f>IF(M124&lt;=0,0,MAX(0,M124+BR125-BS125))</f>
        <v/>
      </c>
      <c r="N125" s="13">
        <f>IF(N124&lt;=0,0,MAX(0,N124+BU125-BV125))</f>
        <v/>
      </c>
      <c r="O125" s="13">
        <f>IF(O124&lt;=0,0,MAX(0,O124+BX125-BY125))</f>
        <v/>
      </c>
      <c r="P125" s="13">
        <f>IF(P124&lt;=0,0,MAX(0,P124+CA125-CB125))</f>
        <v/>
      </c>
      <c r="Q125" s="13">
        <f>IF(Q124&lt;=0,0,MAX(0,Q124+CD125-CE125))</f>
        <v/>
      </c>
      <c r="R125" s="13">
        <f>IF(R124&lt;=0,0,MAX(0,R124+CG125-CH125))</f>
        <v/>
      </c>
      <c r="S125" s="13">
        <f>IF(S124&lt;=0,0,MAX(0,S124+CJ125-CK125))</f>
        <v/>
      </c>
      <c r="T125" s="13">
        <f>IF(T124&lt;=0,0,MAX(0,T124+CM125-CN125))</f>
        <v/>
      </c>
      <c r="U125" s="13">
        <f>IF(U124&lt;=0,0,MAX(0,U124+CP125-CQ125))</f>
        <v/>
      </c>
      <c r="V125" s="13">
        <f>IF(V124&lt;=0,0,MAX(0,V124+CS125-CT125))</f>
        <v/>
      </c>
      <c r="W125" s="13">
        <f>AO125+AR125+AU125+AX125+BA125+BD125+BG125+BJ125+BM125+BP125+BS125+BV125+BY125+CB125+CE125+CH125+CK125+CN125+CQ125+CT125</f>
        <v/>
      </c>
      <c r="X125" s="13">
        <f>AN125+AQ125+AT125+AW125+AZ125+BC125+BF125+BI125+BL125+BO125+BR125+BU125+BX125+CA125+CD125+CG125+CJ125+CM125+CP125+CS125</f>
        <v/>
      </c>
      <c r="Y125" s="27">
        <f>C125+D125+E125+F125+G125+H125+I125+J125+K125+L125+M125+N125+O125+P125+Q125+R125+S125+T125+U125+V125</f>
        <v/>
      </c>
      <c r="AN125">
        <f>IF(C124&lt;=0,0,C124*$E$5/12)</f>
        <v/>
      </c>
      <c r="AO125">
        <f>IF(C124&lt;=0,0,MIN(C124+AN125,$F$5+(Dashboard!$C$11+IF(C124&lt;=0,$F$5,0)+IF(D124&lt;=0,$F$6,0)+IF(E124&lt;=0,$F$7,0)+IF(F124&lt;=0,$F$8,0)+IF(G124&lt;=0,$F$9,0)+IF(H124&lt;=0,$F$10,0)+IF(I124&lt;=0,$F$11,0)+IF(J124&lt;=0,$F$12,0)+IF(K124&lt;=0,$F$13,0)+IF(L124&lt;=0,$F$14,0)+IF(M124&lt;=0,$F$15,0)+IF(N124&lt;=0,$F$16,0)+IF(O124&lt;=0,$F$17,0)+IF(P124&lt;=0,$F$18,0)+IF(Q124&lt;=0,$F$19,0)+IF(R124&lt;=0,$F$20,0)+IF(S124&lt;=0,$F$21,0)+IF(T124&lt;=0,$F$22,0)+IF(U124&lt;=0,$F$23,0)+IF(V124&lt;=0,$F$24,0))))</f>
        <v/>
      </c>
      <c r="AP125">
        <f>IF(C124&lt;=0,(Dashboard!$C$11+IF(C124&lt;=0,$F$5,0)+IF(D124&lt;=0,$F$6,0)+IF(E124&lt;=0,$F$7,0)+IF(F124&lt;=0,$F$8,0)+IF(G124&lt;=0,$F$9,0)+IF(H124&lt;=0,$F$10,0)+IF(I124&lt;=0,$F$11,0)+IF(J124&lt;=0,$F$12,0)+IF(K124&lt;=0,$F$13,0)+IF(L124&lt;=0,$F$14,0)+IF(M124&lt;=0,$F$15,0)+IF(N124&lt;=0,$F$16,0)+IF(O124&lt;=0,$F$17,0)+IF(P124&lt;=0,$F$18,0)+IF(Q124&lt;=0,$F$19,0)+IF(R124&lt;=0,$F$20,0)+IF(S124&lt;=0,$F$21,0)+IF(T124&lt;=0,$F$22,0)+IF(U124&lt;=0,$F$23,0)+IF(V124&lt;=0,$F$24,0)),MAX(0,$F$5+(Dashboard!$C$11+IF(C124&lt;=0,$F$5,0)+IF(D124&lt;=0,$F$6,0)+IF(E124&lt;=0,$F$7,0)+IF(F124&lt;=0,$F$8,0)+IF(G124&lt;=0,$F$9,0)+IF(H124&lt;=0,$F$10,0)+IF(I124&lt;=0,$F$11,0)+IF(J124&lt;=0,$F$12,0)+IF(K124&lt;=0,$F$13,0)+IF(L124&lt;=0,$F$14,0)+IF(M124&lt;=0,$F$15,0)+IF(N124&lt;=0,$F$16,0)+IF(O124&lt;=0,$F$17,0)+IF(P124&lt;=0,$F$18,0)+IF(Q124&lt;=0,$F$19,0)+IF(R124&lt;=0,$F$20,0)+IF(S124&lt;=0,$F$21,0)+IF(T124&lt;=0,$F$22,0)+IF(U124&lt;=0,$F$23,0)+IF(V124&lt;=0,$F$24,0))-C124-AN125))</f>
        <v/>
      </c>
      <c r="AQ125">
        <f>IF(D124&lt;=0,0,D124*$E$6/12)</f>
        <v/>
      </c>
      <c r="AR125">
        <f>IF(D124&lt;=0,0,MIN(D124+AQ125,$F$6+AP125))</f>
        <v/>
      </c>
      <c r="AS125">
        <f>IF(D124&lt;=0,AP125,MAX(0,$F$6+AP125-D124-AQ125))</f>
        <v/>
      </c>
      <c r="AT125">
        <f>IF(E124&lt;=0,0,E124*$E$7/12)</f>
        <v/>
      </c>
      <c r="AU125">
        <f>IF(E124&lt;=0,0,MIN(E124+AT125,$F$7+AS125))</f>
        <v/>
      </c>
      <c r="AV125">
        <f>IF(E124&lt;=0,AS125,MAX(0,$F$7+AS125-E124-AT125))</f>
        <v/>
      </c>
      <c r="AW125">
        <f>IF(F124&lt;=0,0,F124*$E$8/12)</f>
        <v/>
      </c>
      <c r="AX125">
        <f>IF(F124&lt;=0,0,MIN(F124+AW125,$F$8+AV125))</f>
        <v/>
      </c>
      <c r="AY125">
        <f>IF(F124&lt;=0,AV125,MAX(0,$F$8+AV125-F124-AW125))</f>
        <v/>
      </c>
      <c r="AZ125">
        <f>IF(G124&lt;=0,0,G124*$E$9/12)</f>
        <v/>
      </c>
      <c r="BA125">
        <f>IF(G124&lt;=0,0,MIN(G124+AZ125,$F$9+AY125))</f>
        <v/>
      </c>
      <c r="BB125">
        <f>IF(G124&lt;=0,AY125,MAX(0,$F$9+AY125-G124-AZ125))</f>
        <v/>
      </c>
      <c r="BC125">
        <f>IF(H124&lt;=0,0,H124*$E$10/12)</f>
        <v/>
      </c>
      <c r="BD125">
        <f>IF(H124&lt;=0,0,MIN(H124+BC125,$F$10+BB125))</f>
        <v/>
      </c>
      <c r="BE125">
        <f>IF(H124&lt;=0,BB125,MAX(0,$F$10+BB125-H124-BC125))</f>
        <v/>
      </c>
      <c r="BF125">
        <f>IF(I124&lt;=0,0,I124*$E$11/12)</f>
        <v/>
      </c>
      <c r="BG125">
        <f>IF(I124&lt;=0,0,MIN(I124+BF125,$F$11+BE125))</f>
        <v/>
      </c>
      <c r="BH125">
        <f>IF(I124&lt;=0,BE125,MAX(0,$F$11+BE125-I124-BF125))</f>
        <v/>
      </c>
      <c r="BI125">
        <f>IF(J124&lt;=0,0,J124*$E$12/12)</f>
        <v/>
      </c>
      <c r="BJ125">
        <f>IF(J124&lt;=0,0,MIN(J124+BI125,$F$12+BH125))</f>
        <v/>
      </c>
      <c r="BK125">
        <f>IF(J124&lt;=0,BH125,MAX(0,$F$12+BH125-J124-BI125))</f>
        <v/>
      </c>
      <c r="BL125">
        <f>IF(K124&lt;=0,0,K124*$E$13/12)</f>
        <v/>
      </c>
      <c r="BM125">
        <f>IF(K124&lt;=0,0,MIN(K124+BL125,$F$13+BK125))</f>
        <v/>
      </c>
      <c r="BN125">
        <f>IF(K124&lt;=0,BK125,MAX(0,$F$13+BK125-K124-BL125))</f>
        <v/>
      </c>
      <c r="BO125">
        <f>IF(L124&lt;=0,0,L124*$E$14/12)</f>
        <v/>
      </c>
      <c r="BP125">
        <f>IF(L124&lt;=0,0,MIN(L124+BO125,$F$14+BN125))</f>
        <v/>
      </c>
      <c r="BQ125">
        <f>IF(L124&lt;=0,BN125,MAX(0,$F$14+BN125-L124-BO125))</f>
        <v/>
      </c>
      <c r="BR125">
        <f>IF(M124&lt;=0,0,M124*$E$15/12)</f>
        <v/>
      </c>
      <c r="BS125">
        <f>IF(M124&lt;=0,0,MIN(M124+BR125,$F$15+BQ125))</f>
        <v/>
      </c>
      <c r="BT125">
        <f>IF(M124&lt;=0,BQ125,MAX(0,$F$15+BQ125-M124-BR125))</f>
        <v/>
      </c>
      <c r="BU125">
        <f>IF(N124&lt;=0,0,N124*$E$16/12)</f>
        <v/>
      </c>
      <c r="BV125">
        <f>IF(N124&lt;=0,0,MIN(N124+BU125,$F$16+BT125))</f>
        <v/>
      </c>
      <c r="BW125">
        <f>IF(N124&lt;=0,BT125,MAX(0,$F$16+BT125-N124-BU125))</f>
        <v/>
      </c>
      <c r="BX125">
        <f>IF(O124&lt;=0,0,O124*$E$17/12)</f>
        <v/>
      </c>
      <c r="BY125">
        <f>IF(O124&lt;=0,0,MIN(O124+BX125,$F$17+BW125))</f>
        <v/>
      </c>
      <c r="BZ125">
        <f>IF(O124&lt;=0,BW125,MAX(0,$F$17+BW125-O124-BX125))</f>
        <v/>
      </c>
      <c r="CA125">
        <f>IF(P124&lt;=0,0,P124*$E$18/12)</f>
        <v/>
      </c>
      <c r="CB125">
        <f>IF(P124&lt;=0,0,MIN(P124+CA125,$F$18+BZ125))</f>
        <v/>
      </c>
      <c r="CC125">
        <f>IF(P124&lt;=0,BZ125,MAX(0,$F$18+BZ125-P124-CA125))</f>
        <v/>
      </c>
      <c r="CD125">
        <f>IF(Q124&lt;=0,0,Q124*$E$19/12)</f>
        <v/>
      </c>
      <c r="CE125">
        <f>IF(Q124&lt;=0,0,MIN(Q124+CD125,$F$19+CC125))</f>
        <v/>
      </c>
      <c r="CF125">
        <f>IF(Q124&lt;=0,CC125,MAX(0,$F$19+CC125-Q124-CD125))</f>
        <v/>
      </c>
      <c r="CG125">
        <f>IF(R124&lt;=0,0,R124*$E$20/12)</f>
        <v/>
      </c>
      <c r="CH125">
        <f>IF(R124&lt;=0,0,MIN(R124+CG125,$F$20+CF125))</f>
        <v/>
      </c>
      <c r="CI125">
        <f>IF(R124&lt;=0,CF125,MAX(0,$F$20+CF125-R124-CG125))</f>
        <v/>
      </c>
      <c r="CJ125">
        <f>IF(S124&lt;=0,0,S124*$E$21/12)</f>
        <v/>
      </c>
      <c r="CK125">
        <f>IF(S124&lt;=0,0,MIN(S124+CJ125,$F$21+CI125))</f>
        <v/>
      </c>
      <c r="CL125">
        <f>IF(S124&lt;=0,CI125,MAX(0,$F$21+CI125-S124-CJ125))</f>
        <v/>
      </c>
      <c r="CM125">
        <f>IF(T124&lt;=0,0,T124*$E$22/12)</f>
        <v/>
      </c>
      <c r="CN125">
        <f>IF(T124&lt;=0,0,MIN(T124+CM125,$F$22+CL125))</f>
        <v/>
      </c>
      <c r="CO125">
        <f>IF(T124&lt;=0,CL125,MAX(0,$F$22+CL125-T124-CM125))</f>
        <v/>
      </c>
      <c r="CP125">
        <f>IF(U124&lt;=0,0,U124*$E$23/12)</f>
        <v/>
      </c>
      <c r="CQ125">
        <f>IF(U124&lt;=0,0,MIN(U124+CP125,$F$23+CO125))</f>
        <v/>
      </c>
      <c r="CR125">
        <f>IF(U124&lt;=0,CO125,MAX(0,$F$23+CO125-U124-CP125))</f>
        <v/>
      </c>
      <c r="CS125">
        <f>IF(V124&lt;=0,0,V124*$E$24/12)</f>
        <v/>
      </c>
      <c r="CT125">
        <f>IF(V124&lt;=0,0,MIN(V124+CS125,$F$24+CR125))</f>
        <v/>
      </c>
      <c r="CU125">
        <f>IF(V124&lt;=0,CR125,MAX(0,$F$24+CR125-V124-CS125))</f>
        <v/>
      </c>
    </row>
    <row r="126">
      <c r="B126" s="39" t="n">
        <v>100</v>
      </c>
      <c r="C126" s="13">
        <f>IF(C125&lt;=0,0,MAX(0,C125+AN126-AO126))</f>
        <v/>
      </c>
      <c r="D126" s="13">
        <f>IF(D125&lt;=0,0,MAX(0,D125+AQ126-AR126))</f>
        <v/>
      </c>
      <c r="E126" s="13">
        <f>IF(E125&lt;=0,0,MAX(0,E125+AT126-AU126))</f>
        <v/>
      </c>
      <c r="F126" s="13">
        <f>IF(F125&lt;=0,0,MAX(0,F125+AW126-AX126))</f>
        <v/>
      </c>
      <c r="G126" s="13">
        <f>IF(G125&lt;=0,0,MAX(0,G125+AZ126-BA126))</f>
        <v/>
      </c>
      <c r="H126" s="13">
        <f>IF(H125&lt;=0,0,MAX(0,H125+BC126-BD126))</f>
        <v/>
      </c>
      <c r="I126" s="13">
        <f>IF(I125&lt;=0,0,MAX(0,I125+BF126-BG126))</f>
        <v/>
      </c>
      <c r="J126" s="13">
        <f>IF(J125&lt;=0,0,MAX(0,J125+BI126-BJ126))</f>
        <v/>
      </c>
      <c r="K126" s="13">
        <f>IF(K125&lt;=0,0,MAX(0,K125+BL126-BM126))</f>
        <v/>
      </c>
      <c r="L126" s="13">
        <f>IF(L125&lt;=0,0,MAX(0,L125+BO126-BP126))</f>
        <v/>
      </c>
      <c r="M126" s="13">
        <f>IF(M125&lt;=0,0,MAX(0,M125+BR126-BS126))</f>
        <v/>
      </c>
      <c r="N126" s="13">
        <f>IF(N125&lt;=0,0,MAX(0,N125+BU126-BV126))</f>
        <v/>
      </c>
      <c r="O126" s="13">
        <f>IF(O125&lt;=0,0,MAX(0,O125+BX126-BY126))</f>
        <v/>
      </c>
      <c r="P126" s="13">
        <f>IF(P125&lt;=0,0,MAX(0,P125+CA126-CB126))</f>
        <v/>
      </c>
      <c r="Q126" s="13">
        <f>IF(Q125&lt;=0,0,MAX(0,Q125+CD126-CE126))</f>
        <v/>
      </c>
      <c r="R126" s="13">
        <f>IF(R125&lt;=0,0,MAX(0,R125+CG126-CH126))</f>
        <v/>
      </c>
      <c r="S126" s="13">
        <f>IF(S125&lt;=0,0,MAX(0,S125+CJ126-CK126))</f>
        <v/>
      </c>
      <c r="T126" s="13">
        <f>IF(T125&lt;=0,0,MAX(0,T125+CM126-CN126))</f>
        <v/>
      </c>
      <c r="U126" s="13">
        <f>IF(U125&lt;=0,0,MAX(0,U125+CP126-CQ126))</f>
        <v/>
      </c>
      <c r="V126" s="13">
        <f>IF(V125&lt;=0,0,MAX(0,V125+CS126-CT126))</f>
        <v/>
      </c>
      <c r="W126" s="13">
        <f>AO126+AR126+AU126+AX126+BA126+BD126+BG126+BJ126+BM126+BP126+BS126+BV126+BY126+CB126+CE126+CH126+CK126+CN126+CQ126+CT126</f>
        <v/>
      </c>
      <c r="X126" s="13">
        <f>AN126+AQ126+AT126+AW126+AZ126+BC126+BF126+BI126+BL126+BO126+BR126+BU126+BX126+CA126+CD126+CG126+CJ126+CM126+CP126+CS126</f>
        <v/>
      </c>
      <c r="Y126" s="27">
        <f>C126+D126+E126+F126+G126+H126+I126+J126+K126+L126+M126+N126+O126+P126+Q126+R126+S126+T126+U126+V126</f>
        <v/>
      </c>
      <c r="AN126">
        <f>IF(C125&lt;=0,0,C125*$E$5/12)</f>
        <v/>
      </c>
      <c r="AO126">
        <f>IF(C125&lt;=0,0,MIN(C125+AN126,$F$5+(Dashboard!$C$11+IF(C125&lt;=0,$F$5,0)+IF(D125&lt;=0,$F$6,0)+IF(E125&lt;=0,$F$7,0)+IF(F125&lt;=0,$F$8,0)+IF(G125&lt;=0,$F$9,0)+IF(H125&lt;=0,$F$10,0)+IF(I125&lt;=0,$F$11,0)+IF(J125&lt;=0,$F$12,0)+IF(K125&lt;=0,$F$13,0)+IF(L125&lt;=0,$F$14,0)+IF(M125&lt;=0,$F$15,0)+IF(N125&lt;=0,$F$16,0)+IF(O125&lt;=0,$F$17,0)+IF(P125&lt;=0,$F$18,0)+IF(Q125&lt;=0,$F$19,0)+IF(R125&lt;=0,$F$20,0)+IF(S125&lt;=0,$F$21,0)+IF(T125&lt;=0,$F$22,0)+IF(U125&lt;=0,$F$23,0)+IF(V125&lt;=0,$F$24,0))))</f>
        <v/>
      </c>
      <c r="AP126">
        <f>IF(C125&lt;=0,(Dashboard!$C$11+IF(C125&lt;=0,$F$5,0)+IF(D125&lt;=0,$F$6,0)+IF(E125&lt;=0,$F$7,0)+IF(F125&lt;=0,$F$8,0)+IF(G125&lt;=0,$F$9,0)+IF(H125&lt;=0,$F$10,0)+IF(I125&lt;=0,$F$11,0)+IF(J125&lt;=0,$F$12,0)+IF(K125&lt;=0,$F$13,0)+IF(L125&lt;=0,$F$14,0)+IF(M125&lt;=0,$F$15,0)+IF(N125&lt;=0,$F$16,0)+IF(O125&lt;=0,$F$17,0)+IF(P125&lt;=0,$F$18,0)+IF(Q125&lt;=0,$F$19,0)+IF(R125&lt;=0,$F$20,0)+IF(S125&lt;=0,$F$21,0)+IF(T125&lt;=0,$F$22,0)+IF(U125&lt;=0,$F$23,0)+IF(V125&lt;=0,$F$24,0)),MAX(0,$F$5+(Dashboard!$C$11+IF(C125&lt;=0,$F$5,0)+IF(D125&lt;=0,$F$6,0)+IF(E125&lt;=0,$F$7,0)+IF(F125&lt;=0,$F$8,0)+IF(G125&lt;=0,$F$9,0)+IF(H125&lt;=0,$F$10,0)+IF(I125&lt;=0,$F$11,0)+IF(J125&lt;=0,$F$12,0)+IF(K125&lt;=0,$F$13,0)+IF(L125&lt;=0,$F$14,0)+IF(M125&lt;=0,$F$15,0)+IF(N125&lt;=0,$F$16,0)+IF(O125&lt;=0,$F$17,0)+IF(P125&lt;=0,$F$18,0)+IF(Q125&lt;=0,$F$19,0)+IF(R125&lt;=0,$F$20,0)+IF(S125&lt;=0,$F$21,0)+IF(T125&lt;=0,$F$22,0)+IF(U125&lt;=0,$F$23,0)+IF(V125&lt;=0,$F$24,0))-C125-AN126))</f>
        <v/>
      </c>
      <c r="AQ126">
        <f>IF(D125&lt;=0,0,D125*$E$6/12)</f>
        <v/>
      </c>
      <c r="AR126">
        <f>IF(D125&lt;=0,0,MIN(D125+AQ126,$F$6+AP126))</f>
        <v/>
      </c>
      <c r="AS126">
        <f>IF(D125&lt;=0,AP126,MAX(0,$F$6+AP126-D125-AQ126))</f>
        <v/>
      </c>
      <c r="AT126">
        <f>IF(E125&lt;=0,0,E125*$E$7/12)</f>
        <v/>
      </c>
      <c r="AU126">
        <f>IF(E125&lt;=0,0,MIN(E125+AT126,$F$7+AS126))</f>
        <v/>
      </c>
      <c r="AV126">
        <f>IF(E125&lt;=0,AS126,MAX(0,$F$7+AS126-E125-AT126))</f>
        <v/>
      </c>
      <c r="AW126">
        <f>IF(F125&lt;=0,0,F125*$E$8/12)</f>
        <v/>
      </c>
      <c r="AX126">
        <f>IF(F125&lt;=0,0,MIN(F125+AW126,$F$8+AV126))</f>
        <v/>
      </c>
      <c r="AY126">
        <f>IF(F125&lt;=0,AV126,MAX(0,$F$8+AV126-F125-AW126))</f>
        <v/>
      </c>
      <c r="AZ126">
        <f>IF(G125&lt;=0,0,G125*$E$9/12)</f>
        <v/>
      </c>
      <c r="BA126">
        <f>IF(G125&lt;=0,0,MIN(G125+AZ126,$F$9+AY126))</f>
        <v/>
      </c>
      <c r="BB126">
        <f>IF(G125&lt;=0,AY126,MAX(0,$F$9+AY126-G125-AZ126))</f>
        <v/>
      </c>
      <c r="BC126">
        <f>IF(H125&lt;=0,0,H125*$E$10/12)</f>
        <v/>
      </c>
      <c r="BD126">
        <f>IF(H125&lt;=0,0,MIN(H125+BC126,$F$10+BB126))</f>
        <v/>
      </c>
      <c r="BE126">
        <f>IF(H125&lt;=0,BB126,MAX(0,$F$10+BB126-H125-BC126))</f>
        <v/>
      </c>
      <c r="BF126">
        <f>IF(I125&lt;=0,0,I125*$E$11/12)</f>
        <v/>
      </c>
      <c r="BG126">
        <f>IF(I125&lt;=0,0,MIN(I125+BF126,$F$11+BE126))</f>
        <v/>
      </c>
      <c r="BH126">
        <f>IF(I125&lt;=0,BE126,MAX(0,$F$11+BE126-I125-BF126))</f>
        <v/>
      </c>
      <c r="BI126">
        <f>IF(J125&lt;=0,0,J125*$E$12/12)</f>
        <v/>
      </c>
      <c r="BJ126">
        <f>IF(J125&lt;=0,0,MIN(J125+BI126,$F$12+BH126))</f>
        <v/>
      </c>
      <c r="BK126">
        <f>IF(J125&lt;=0,BH126,MAX(0,$F$12+BH126-J125-BI126))</f>
        <v/>
      </c>
      <c r="BL126">
        <f>IF(K125&lt;=0,0,K125*$E$13/12)</f>
        <v/>
      </c>
      <c r="BM126">
        <f>IF(K125&lt;=0,0,MIN(K125+BL126,$F$13+BK126))</f>
        <v/>
      </c>
      <c r="BN126">
        <f>IF(K125&lt;=0,BK126,MAX(0,$F$13+BK126-K125-BL126))</f>
        <v/>
      </c>
      <c r="BO126">
        <f>IF(L125&lt;=0,0,L125*$E$14/12)</f>
        <v/>
      </c>
      <c r="BP126">
        <f>IF(L125&lt;=0,0,MIN(L125+BO126,$F$14+BN126))</f>
        <v/>
      </c>
      <c r="BQ126">
        <f>IF(L125&lt;=0,BN126,MAX(0,$F$14+BN126-L125-BO126))</f>
        <v/>
      </c>
      <c r="BR126">
        <f>IF(M125&lt;=0,0,M125*$E$15/12)</f>
        <v/>
      </c>
      <c r="BS126">
        <f>IF(M125&lt;=0,0,MIN(M125+BR126,$F$15+BQ126))</f>
        <v/>
      </c>
      <c r="BT126">
        <f>IF(M125&lt;=0,BQ126,MAX(0,$F$15+BQ126-M125-BR126))</f>
        <v/>
      </c>
      <c r="BU126">
        <f>IF(N125&lt;=0,0,N125*$E$16/12)</f>
        <v/>
      </c>
      <c r="BV126">
        <f>IF(N125&lt;=0,0,MIN(N125+BU126,$F$16+BT126))</f>
        <v/>
      </c>
      <c r="BW126">
        <f>IF(N125&lt;=0,BT126,MAX(0,$F$16+BT126-N125-BU126))</f>
        <v/>
      </c>
      <c r="BX126">
        <f>IF(O125&lt;=0,0,O125*$E$17/12)</f>
        <v/>
      </c>
      <c r="BY126">
        <f>IF(O125&lt;=0,0,MIN(O125+BX126,$F$17+BW126))</f>
        <v/>
      </c>
      <c r="BZ126">
        <f>IF(O125&lt;=0,BW126,MAX(0,$F$17+BW126-O125-BX126))</f>
        <v/>
      </c>
      <c r="CA126">
        <f>IF(P125&lt;=0,0,P125*$E$18/12)</f>
        <v/>
      </c>
      <c r="CB126">
        <f>IF(P125&lt;=0,0,MIN(P125+CA126,$F$18+BZ126))</f>
        <v/>
      </c>
      <c r="CC126">
        <f>IF(P125&lt;=0,BZ126,MAX(0,$F$18+BZ126-P125-CA126))</f>
        <v/>
      </c>
      <c r="CD126">
        <f>IF(Q125&lt;=0,0,Q125*$E$19/12)</f>
        <v/>
      </c>
      <c r="CE126">
        <f>IF(Q125&lt;=0,0,MIN(Q125+CD126,$F$19+CC126))</f>
        <v/>
      </c>
      <c r="CF126">
        <f>IF(Q125&lt;=0,CC126,MAX(0,$F$19+CC126-Q125-CD126))</f>
        <v/>
      </c>
      <c r="CG126">
        <f>IF(R125&lt;=0,0,R125*$E$20/12)</f>
        <v/>
      </c>
      <c r="CH126">
        <f>IF(R125&lt;=0,0,MIN(R125+CG126,$F$20+CF126))</f>
        <v/>
      </c>
      <c r="CI126">
        <f>IF(R125&lt;=0,CF126,MAX(0,$F$20+CF126-R125-CG126))</f>
        <v/>
      </c>
      <c r="CJ126">
        <f>IF(S125&lt;=0,0,S125*$E$21/12)</f>
        <v/>
      </c>
      <c r="CK126">
        <f>IF(S125&lt;=0,0,MIN(S125+CJ126,$F$21+CI126))</f>
        <v/>
      </c>
      <c r="CL126">
        <f>IF(S125&lt;=0,CI126,MAX(0,$F$21+CI126-S125-CJ126))</f>
        <v/>
      </c>
      <c r="CM126">
        <f>IF(T125&lt;=0,0,T125*$E$22/12)</f>
        <v/>
      </c>
      <c r="CN126">
        <f>IF(T125&lt;=0,0,MIN(T125+CM126,$F$22+CL126))</f>
        <v/>
      </c>
      <c r="CO126">
        <f>IF(T125&lt;=0,CL126,MAX(0,$F$22+CL126-T125-CM126))</f>
        <v/>
      </c>
      <c r="CP126">
        <f>IF(U125&lt;=0,0,U125*$E$23/12)</f>
        <v/>
      </c>
      <c r="CQ126">
        <f>IF(U125&lt;=0,0,MIN(U125+CP126,$F$23+CO126))</f>
        <v/>
      </c>
      <c r="CR126">
        <f>IF(U125&lt;=0,CO126,MAX(0,$F$23+CO126-U125-CP126))</f>
        <v/>
      </c>
      <c r="CS126">
        <f>IF(V125&lt;=0,0,V125*$E$24/12)</f>
        <v/>
      </c>
      <c r="CT126">
        <f>IF(V125&lt;=0,0,MIN(V125+CS126,$F$24+CR126))</f>
        <v/>
      </c>
      <c r="CU126">
        <f>IF(V125&lt;=0,CR126,MAX(0,$F$24+CR126-V125-CS126))</f>
        <v/>
      </c>
    </row>
    <row r="127">
      <c r="B127" s="39" t="n">
        <v>101</v>
      </c>
      <c r="C127" s="13">
        <f>IF(C126&lt;=0,0,MAX(0,C126+AN127-AO127))</f>
        <v/>
      </c>
      <c r="D127" s="13">
        <f>IF(D126&lt;=0,0,MAX(0,D126+AQ127-AR127))</f>
        <v/>
      </c>
      <c r="E127" s="13">
        <f>IF(E126&lt;=0,0,MAX(0,E126+AT127-AU127))</f>
        <v/>
      </c>
      <c r="F127" s="13">
        <f>IF(F126&lt;=0,0,MAX(0,F126+AW127-AX127))</f>
        <v/>
      </c>
      <c r="G127" s="13">
        <f>IF(G126&lt;=0,0,MAX(0,G126+AZ127-BA127))</f>
        <v/>
      </c>
      <c r="H127" s="13">
        <f>IF(H126&lt;=0,0,MAX(0,H126+BC127-BD127))</f>
        <v/>
      </c>
      <c r="I127" s="13">
        <f>IF(I126&lt;=0,0,MAX(0,I126+BF127-BG127))</f>
        <v/>
      </c>
      <c r="J127" s="13">
        <f>IF(J126&lt;=0,0,MAX(0,J126+BI127-BJ127))</f>
        <v/>
      </c>
      <c r="K127" s="13">
        <f>IF(K126&lt;=0,0,MAX(0,K126+BL127-BM127))</f>
        <v/>
      </c>
      <c r="L127" s="13">
        <f>IF(L126&lt;=0,0,MAX(0,L126+BO127-BP127))</f>
        <v/>
      </c>
      <c r="M127" s="13">
        <f>IF(M126&lt;=0,0,MAX(0,M126+BR127-BS127))</f>
        <v/>
      </c>
      <c r="N127" s="13">
        <f>IF(N126&lt;=0,0,MAX(0,N126+BU127-BV127))</f>
        <v/>
      </c>
      <c r="O127" s="13">
        <f>IF(O126&lt;=0,0,MAX(0,O126+BX127-BY127))</f>
        <v/>
      </c>
      <c r="P127" s="13">
        <f>IF(P126&lt;=0,0,MAX(0,P126+CA127-CB127))</f>
        <v/>
      </c>
      <c r="Q127" s="13">
        <f>IF(Q126&lt;=0,0,MAX(0,Q126+CD127-CE127))</f>
        <v/>
      </c>
      <c r="R127" s="13">
        <f>IF(R126&lt;=0,0,MAX(0,R126+CG127-CH127))</f>
        <v/>
      </c>
      <c r="S127" s="13">
        <f>IF(S126&lt;=0,0,MAX(0,S126+CJ127-CK127))</f>
        <v/>
      </c>
      <c r="T127" s="13">
        <f>IF(T126&lt;=0,0,MAX(0,T126+CM127-CN127))</f>
        <v/>
      </c>
      <c r="U127" s="13">
        <f>IF(U126&lt;=0,0,MAX(0,U126+CP127-CQ127))</f>
        <v/>
      </c>
      <c r="V127" s="13">
        <f>IF(V126&lt;=0,0,MAX(0,V126+CS127-CT127))</f>
        <v/>
      </c>
      <c r="W127" s="13">
        <f>AO127+AR127+AU127+AX127+BA127+BD127+BG127+BJ127+BM127+BP127+BS127+BV127+BY127+CB127+CE127+CH127+CK127+CN127+CQ127+CT127</f>
        <v/>
      </c>
      <c r="X127" s="13">
        <f>AN127+AQ127+AT127+AW127+AZ127+BC127+BF127+BI127+BL127+BO127+BR127+BU127+BX127+CA127+CD127+CG127+CJ127+CM127+CP127+CS127</f>
        <v/>
      </c>
      <c r="Y127" s="27">
        <f>C127+D127+E127+F127+G127+H127+I127+J127+K127+L127+M127+N127+O127+P127+Q127+R127+S127+T127+U127+V127</f>
        <v/>
      </c>
      <c r="AN127">
        <f>IF(C126&lt;=0,0,C126*$E$5/12)</f>
        <v/>
      </c>
      <c r="AO127">
        <f>IF(C126&lt;=0,0,MIN(C126+AN127,$F$5+(Dashboard!$C$11+IF(C126&lt;=0,$F$5,0)+IF(D126&lt;=0,$F$6,0)+IF(E126&lt;=0,$F$7,0)+IF(F126&lt;=0,$F$8,0)+IF(G126&lt;=0,$F$9,0)+IF(H126&lt;=0,$F$10,0)+IF(I126&lt;=0,$F$11,0)+IF(J126&lt;=0,$F$12,0)+IF(K126&lt;=0,$F$13,0)+IF(L126&lt;=0,$F$14,0)+IF(M126&lt;=0,$F$15,0)+IF(N126&lt;=0,$F$16,0)+IF(O126&lt;=0,$F$17,0)+IF(P126&lt;=0,$F$18,0)+IF(Q126&lt;=0,$F$19,0)+IF(R126&lt;=0,$F$20,0)+IF(S126&lt;=0,$F$21,0)+IF(T126&lt;=0,$F$22,0)+IF(U126&lt;=0,$F$23,0)+IF(V126&lt;=0,$F$24,0))))</f>
        <v/>
      </c>
      <c r="AP127">
        <f>IF(C126&lt;=0,(Dashboard!$C$11+IF(C126&lt;=0,$F$5,0)+IF(D126&lt;=0,$F$6,0)+IF(E126&lt;=0,$F$7,0)+IF(F126&lt;=0,$F$8,0)+IF(G126&lt;=0,$F$9,0)+IF(H126&lt;=0,$F$10,0)+IF(I126&lt;=0,$F$11,0)+IF(J126&lt;=0,$F$12,0)+IF(K126&lt;=0,$F$13,0)+IF(L126&lt;=0,$F$14,0)+IF(M126&lt;=0,$F$15,0)+IF(N126&lt;=0,$F$16,0)+IF(O126&lt;=0,$F$17,0)+IF(P126&lt;=0,$F$18,0)+IF(Q126&lt;=0,$F$19,0)+IF(R126&lt;=0,$F$20,0)+IF(S126&lt;=0,$F$21,0)+IF(T126&lt;=0,$F$22,0)+IF(U126&lt;=0,$F$23,0)+IF(V126&lt;=0,$F$24,0)),MAX(0,$F$5+(Dashboard!$C$11+IF(C126&lt;=0,$F$5,0)+IF(D126&lt;=0,$F$6,0)+IF(E126&lt;=0,$F$7,0)+IF(F126&lt;=0,$F$8,0)+IF(G126&lt;=0,$F$9,0)+IF(H126&lt;=0,$F$10,0)+IF(I126&lt;=0,$F$11,0)+IF(J126&lt;=0,$F$12,0)+IF(K126&lt;=0,$F$13,0)+IF(L126&lt;=0,$F$14,0)+IF(M126&lt;=0,$F$15,0)+IF(N126&lt;=0,$F$16,0)+IF(O126&lt;=0,$F$17,0)+IF(P126&lt;=0,$F$18,0)+IF(Q126&lt;=0,$F$19,0)+IF(R126&lt;=0,$F$20,0)+IF(S126&lt;=0,$F$21,0)+IF(T126&lt;=0,$F$22,0)+IF(U126&lt;=0,$F$23,0)+IF(V126&lt;=0,$F$24,0))-C126-AN127))</f>
        <v/>
      </c>
      <c r="AQ127">
        <f>IF(D126&lt;=0,0,D126*$E$6/12)</f>
        <v/>
      </c>
      <c r="AR127">
        <f>IF(D126&lt;=0,0,MIN(D126+AQ127,$F$6+AP127))</f>
        <v/>
      </c>
      <c r="AS127">
        <f>IF(D126&lt;=0,AP127,MAX(0,$F$6+AP127-D126-AQ127))</f>
        <v/>
      </c>
      <c r="AT127">
        <f>IF(E126&lt;=0,0,E126*$E$7/12)</f>
        <v/>
      </c>
      <c r="AU127">
        <f>IF(E126&lt;=0,0,MIN(E126+AT127,$F$7+AS127))</f>
        <v/>
      </c>
      <c r="AV127">
        <f>IF(E126&lt;=0,AS127,MAX(0,$F$7+AS127-E126-AT127))</f>
        <v/>
      </c>
      <c r="AW127">
        <f>IF(F126&lt;=0,0,F126*$E$8/12)</f>
        <v/>
      </c>
      <c r="AX127">
        <f>IF(F126&lt;=0,0,MIN(F126+AW127,$F$8+AV127))</f>
        <v/>
      </c>
      <c r="AY127">
        <f>IF(F126&lt;=0,AV127,MAX(0,$F$8+AV127-F126-AW127))</f>
        <v/>
      </c>
      <c r="AZ127">
        <f>IF(G126&lt;=0,0,G126*$E$9/12)</f>
        <v/>
      </c>
      <c r="BA127">
        <f>IF(G126&lt;=0,0,MIN(G126+AZ127,$F$9+AY127))</f>
        <v/>
      </c>
      <c r="BB127">
        <f>IF(G126&lt;=0,AY127,MAX(0,$F$9+AY127-G126-AZ127))</f>
        <v/>
      </c>
      <c r="BC127">
        <f>IF(H126&lt;=0,0,H126*$E$10/12)</f>
        <v/>
      </c>
      <c r="BD127">
        <f>IF(H126&lt;=0,0,MIN(H126+BC127,$F$10+BB127))</f>
        <v/>
      </c>
      <c r="BE127">
        <f>IF(H126&lt;=0,BB127,MAX(0,$F$10+BB127-H126-BC127))</f>
        <v/>
      </c>
      <c r="BF127">
        <f>IF(I126&lt;=0,0,I126*$E$11/12)</f>
        <v/>
      </c>
      <c r="BG127">
        <f>IF(I126&lt;=0,0,MIN(I126+BF127,$F$11+BE127))</f>
        <v/>
      </c>
      <c r="BH127">
        <f>IF(I126&lt;=0,BE127,MAX(0,$F$11+BE127-I126-BF127))</f>
        <v/>
      </c>
      <c r="BI127">
        <f>IF(J126&lt;=0,0,J126*$E$12/12)</f>
        <v/>
      </c>
      <c r="BJ127">
        <f>IF(J126&lt;=0,0,MIN(J126+BI127,$F$12+BH127))</f>
        <v/>
      </c>
      <c r="BK127">
        <f>IF(J126&lt;=0,BH127,MAX(0,$F$12+BH127-J126-BI127))</f>
        <v/>
      </c>
      <c r="BL127">
        <f>IF(K126&lt;=0,0,K126*$E$13/12)</f>
        <v/>
      </c>
      <c r="BM127">
        <f>IF(K126&lt;=0,0,MIN(K126+BL127,$F$13+BK127))</f>
        <v/>
      </c>
      <c r="BN127">
        <f>IF(K126&lt;=0,BK127,MAX(0,$F$13+BK127-K126-BL127))</f>
        <v/>
      </c>
      <c r="BO127">
        <f>IF(L126&lt;=0,0,L126*$E$14/12)</f>
        <v/>
      </c>
      <c r="BP127">
        <f>IF(L126&lt;=0,0,MIN(L126+BO127,$F$14+BN127))</f>
        <v/>
      </c>
      <c r="BQ127">
        <f>IF(L126&lt;=0,BN127,MAX(0,$F$14+BN127-L126-BO127))</f>
        <v/>
      </c>
      <c r="BR127">
        <f>IF(M126&lt;=0,0,M126*$E$15/12)</f>
        <v/>
      </c>
      <c r="BS127">
        <f>IF(M126&lt;=0,0,MIN(M126+BR127,$F$15+BQ127))</f>
        <v/>
      </c>
      <c r="BT127">
        <f>IF(M126&lt;=0,BQ127,MAX(0,$F$15+BQ127-M126-BR127))</f>
        <v/>
      </c>
      <c r="BU127">
        <f>IF(N126&lt;=0,0,N126*$E$16/12)</f>
        <v/>
      </c>
      <c r="BV127">
        <f>IF(N126&lt;=0,0,MIN(N126+BU127,$F$16+BT127))</f>
        <v/>
      </c>
      <c r="BW127">
        <f>IF(N126&lt;=0,BT127,MAX(0,$F$16+BT127-N126-BU127))</f>
        <v/>
      </c>
      <c r="BX127">
        <f>IF(O126&lt;=0,0,O126*$E$17/12)</f>
        <v/>
      </c>
      <c r="BY127">
        <f>IF(O126&lt;=0,0,MIN(O126+BX127,$F$17+BW127))</f>
        <v/>
      </c>
      <c r="BZ127">
        <f>IF(O126&lt;=0,BW127,MAX(0,$F$17+BW127-O126-BX127))</f>
        <v/>
      </c>
      <c r="CA127">
        <f>IF(P126&lt;=0,0,P126*$E$18/12)</f>
        <v/>
      </c>
      <c r="CB127">
        <f>IF(P126&lt;=0,0,MIN(P126+CA127,$F$18+BZ127))</f>
        <v/>
      </c>
      <c r="CC127">
        <f>IF(P126&lt;=0,BZ127,MAX(0,$F$18+BZ127-P126-CA127))</f>
        <v/>
      </c>
      <c r="CD127">
        <f>IF(Q126&lt;=0,0,Q126*$E$19/12)</f>
        <v/>
      </c>
      <c r="CE127">
        <f>IF(Q126&lt;=0,0,MIN(Q126+CD127,$F$19+CC127))</f>
        <v/>
      </c>
      <c r="CF127">
        <f>IF(Q126&lt;=0,CC127,MAX(0,$F$19+CC127-Q126-CD127))</f>
        <v/>
      </c>
      <c r="CG127">
        <f>IF(R126&lt;=0,0,R126*$E$20/12)</f>
        <v/>
      </c>
      <c r="CH127">
        <f>IF(R126&lt;=0,0,MIN(R126+CG127,$F$20+CF127))</f>
        <v/>
      </c>
      <c r="CI127">
        <f>IF(R126&lt;=0,CF127,MAX(0,$F$20+CF127-R126-CG127))</f>
        <v/>
      </c>
      <c r="CJ127">
        <f>IF(S126&lt;=0,0,S126*$E$21/12)</f>
        <v/>
      </c>
      <c r="CK127">
        <f>IF(S126&lt;=0,0,MIN(S126+CJ127,$F$21+CI127))</f>
        <v/>
      </c>
      <c r="CL127">
        <f>IF(S126&lt;=0,CI127,MAX(0,$F$21+CI127-S126-CJ127))</f>
        <v/>
      </c>
      <c r="CM127">
        <f>IF(T126&lt;=0,0,T126*$E$22/12)</f>
        <v/>
      </c>
      <c r="CN127">
        <f>IF(T126&lt;=0,0,MIN(T126+CM127,$F$22+CL127))</f>
        <v/>
      </c>
      <c r="CO127">
        <f>IF(T126&lt;=0,CL127,MAX(0,$F$22+CL127-T126-CM127))</f>
        <v/>
      </c>
      <c r="CP127">
        <f>IF(U126&lt;=0,0,U126*$E$23/12)</f>
        <v/>
      </c>
      <c r="CQ127">
        <f>IF(U126&lt;=0,0,MIN(U126+CP127,$F$23+CO127))</f>
        <v/>
      </c>
      <c r="CR127">
        <f>IF(U126&lt;=0,CO127,MAX(0,$F$23+CO127-U126-CP127))</f>
        <v/>
      </c>
      <c r="CS127">
        <f>IF(V126&lt;=0,0,V126*$E$24/12)</f>
        <v/>
      </c>
      <c r="CT127">
        <f>IF(V126&lt;=0,0,MIN(V126+CS127,$F$24+CR127))</f>
        <v/>
      </c>
      <c r="CU127">
        <f>IF(V126&lt;=0,CR127,MAX(0,$F$24+CR127-V126-CS127))</f>
        <v/>
      </c>
    </row>
    <row r="128">
      <c r="B128" s="39" t="n">
        <v>102</v>
      </c>
      <c r="C128" s="13">
        <f>IF(C127&lt;=0,0,MAX(0,C127+AN128-AO128))</f>
        <v/>
      </c>
      <c r="D128" s="13">
        <f>IF(D127&lt;=0,0,MAX(0,D127+AQ128-AR128))</f>
        <v/>
      </c>
      <c r="E128" s="13">
        <f>IF(E127&lt;=0,0,MAX(0,E127+AT128-AU128))</f>
        <v/>
      </c>
      <c r="F128" s="13">
        <f>IF(F127&lt;=0,0,MAX(0,F127+AW128-AX128))</f>
        <v/>
      </c>
      <c r="G128" s="13">
        <f>IF(G127&lt;=0,0,MAX(0,G127+AZ128-BA128))</f>
        <v/>
      </c>
      <c r="H128" s="13">
        <f>IF(H127&lt;=0,0,MAX(0,H127+BC128-BD128))</f>
        <v/>
      </c>
      <c r="I128" s="13">
        <f>IF(I127&lt;=0,0,MAX(0,I127+BF128-BG128))</f>
        <v/>
      </c>
      <c r="J128" s="13">
        <f>IF(J127&lt;=0,0,MAX(0,J127+BI128-BJ128))</f>
        <v/>
      </c>
      <c r="K128" s="13">
        <f>IF(K127&lt;=0,0,MAX(0,K127+BL128-BM128))</f>
        <v/>
      </c>
      <c r="L128" s="13">
        <f>IF(L127&lt;=0,0,MAX(0,L127+BO128-BP128))</f>
        <v/>
      </c>
      <c r="M128" s="13">
        <f>IF(M127&lt;=0,0,MAX(0,M127+BR128-BS128))</f>
        <v/>
      </c>
      <c r="N128" s="13">
        <f>IF(N127&lt;=0,0,MAX(0,N127+BU128-BV128))</f>
        <v/>
      </c>
      <c r="O128" s="13">
        <f>IF(O127&lt;=0,0,MAX(0,O127+BX128-BY128))</f>
        <v/>
      </c>
      <c r="P128" s="13">
        <f>IF(P127&lt;=0,0,MAX(0,P127+CA128-CB128))</f>
        <v/>
      </c>
      <c r="Q128" s="13">
        <f>IF(Q127&lt;=0,0,MAX(0,Q127+CD128-CE128))</f>
        <v/>
      </c>
      <c r="R128" s="13">
        <f>IF(R127&lt;=0,0,MAX(0,R127+CG128-CH128))</f>
        <v/>
      </c>
      <c r="S128" s="13">
        <f>IF(S127&lt;=0,0,MAX(0,S127+CJ128-CK128))</f>
        <v/>
      </c>
      <c r="T128" s="13">
        <f>IF(T127&lt;=0,0,MAX(0,T127+CM128-CN128))</f>
        <v/>
      </c>
      <c r="U128" s="13">
        <f>IF(U127&lt;=0,0,MAX(0,U127+CP128-CQ128))</f>
        <v/>
      </c>
      <c r="V128" s="13">
        <f>IF(V127&lt;=0,0,MAX(0,V127+CS128-CT128))</f>
        <v/>
      </c>
      <c r="W128" s="13">
        <f>AO128+AR128+AU128+AX128+BA128+BD128+BG128+BJ128+BM128+BP128+BS128+BV128+BY128+CB128+CE128+CH128+CK128+CN128+CQ128+CT128</f>
        <v/>
      </c>
      <c r="X128" s="13">
        <f>AN128+AQ128+AT128+AW128+AZ128+BC128+BF128+BI128+BL128+BO128+BR128+BU128+BX128+CA128+CD128+CG128+CJ128+CM128+CP128+CS128</f>
        <v/>
      </c>
      <c r="Y128" s="27">
        <f>C128+D128+E128+F128+G128+H128+I128+J128+K128+L128+M128+N128+O128+P128+Q128+R128+S128+T128+U128+V128</f>
        <v/>
      </c>
      <c r="AN128">
        <f>IF(C127&lt;=0,0,C127*$E$5/12)</f>
        <v/>
      </c>
      <c r="AO128">
        <f>IF(C127&lt;=0,0,MIN(C127+AN128,$F$5+(Dashboard!$C$11+IF(C127&lt;=0,$F$5,0)+IF(D127&lt;=0,$F$6,0)+IF(E127&lt;=0,$F$7,0)+IF(F127&lt;=0,$F$8,0)+IF(G127&lt;=0,$F$9,0)+IF(H127&lt;=0,$F$10,0)+IF(I127&lt;=0,$F$11,0)+IF(J127&lt;=0,$F$12,0)+IF(K127&lt;=0,$F$13,0)+IF(L127&lt;=0,$F$14,0)+IF(M127&lt;=0,$F$15,0)+IF(N127&lt;=0,$F$16,0)+IF(O127&lt;=0,$F$17,0)+IF(P127&lt;=0,$F$18,0)+IF(Q127&lt;=0,$F$19,0)+IF(R127&lt;=0,$F$20,0)+IF(S127&lt;=0,$F$21,0)+IF(T127&lt;=0,$F$22,0)+IF(U127&lt;=0,$F$23,0)+IF(V127&lt;=0,$F$24,0))))</f>
        <v/>
      </c>
      <c r="AP128">
        <f>IF(C127&lt;=0,(Dashboard!$C$11+IF(C127&lt;=0,$F$5,0)+IF(D127&lt;=0,$F$6,0)+IF(E127&lt;=0,$F$7,0)+IF(F127&lt;=0,$F$8,0)+IF(G127&lt;=0,$F$9,0)+IF(H127&lt;=0,$F$10,0)+IF(I127&lt;=0,$F$11,0)+IF(J127&lt;=0,$F$12,0)+IF(K127&lt;=0,$F$13,0)+IF(L127&lt;=0,$F$14,0)+IF(M127&lt;=0,$F$15,0)+IF(N127&lt;=0,$F$16,0)+IF(O127&lt;=0,$F$17,0)+IF(P127&lt;=0,$F$18,0)+IF(Q127&lt;=0,$F$19,0)+IF(R127&lt;=0,$F$20,0)+IF(S127&lt;=0,$F$21,0)+IF(T127&lt;=0,$F$22,0)+IF(U127&lt;=0,$F$23,0)+IF(V127&lt;=0,$F$24,0)),MAX(0,$F$5+(Dashboard!$C$11+IF(C127&lt;=0,$F$5,0)+IF(D127&lt;=0,$F$6,0)+IF(E127&lt;=0,$F$7,0)+IF(F127&lt;=0,$F$8,0)+IF(G127&lt;=0,$F$9,0)+IF(H127&lt;=0,$F$10,0)+IF(I127&lt;=0,$F$11,0)+IF(J127&lt;=0,$F$12,0)+IF(K127&lt;=0,$F$13,0)+IF(L127&lt;=0,$F$14,0)+IF(M127&lt;=0,$F$15,0)+IF(N127&lt;=0,$F$16,0)+IF(O127&lt;=0,$F$17,0)+IF(P127&lt;=0,$F$18,0)+IF(Q127&lt;=0,$F$19,0)+IF(R127&lt;=0,$F$20,0)+IF(S127&lt;=0,$F$21,0)+IF(T127&lt;=0,$F$22,0)+IF(U127&lt;=0,$F$23,0)+IF(V127&lt;=0,$F$24,0))-C127-AN128))</f>
        <v/>
      </c>
      <c r="AQ128">
        <f>IF(D127&lt;=0,0,D127*$E$6/12)</f>
        <v/>
      </c>
      <c r="AR128">
        <f>IF(D127&lt;=0,0,MIN(D127+AQ128,$F$6+AP128))</f>
        <v/>
      </c>
      <c r="AS128">
        <f>IF(D127&lt;=0,AP128,MAX(0,$F$6+AP128-D127-AQ128))</f>
        <v/>
      </c>
      <c r="AT128">
        <f>IF(E127&lt;=0,0,E127*$E$7/12)</f>
        <v/>
      </c>
      <c r="AU128">
        <f>IF(E127&lt;=0,0,MIN(E127+AT128,$F$7+AS128))</f>
        <v/>
      </c>
      <c r="AV128">
        <f>IF(E127&lt;=0,AS128,MAX(0,$F$7+AS128-E127-AT128))</f>
        <v/>
      </c>
      <c r="AW128">
        <f>IF(F127&lt;=0,0,F127*$E$8/12)</f>
        <v/>
      </c>
      <c r="AX128">
        <f>IF(F127&lt;=0,0,MIN(F127+AW128,$F$8+AV128))</f>
        <v/>
      </c>
      <c r="AY128">
        <f>IF(F127&lt;=0,AV128,MAX(0,$F$8+AV128-F127-AW128))</f>
        <v/>
      </c>
      <c r="AZ128">
        <f>IF(G127&lt;=0,0,G127*$E$9/12)</f>
        <v/>
      </c>
      <c r="BA128">
        <f>IF(G127&lt;=0,0,MIN(G127+AZ128,$F$9+AY128))</f>
        <v/>
      </c>
      <c r="BB128">
        <f>IF(G127&lt;=0,AY128,MAX(0,$F$9+AY128-G127-AZ128))</f>
        <v/>
      </c>
      <c r="BC128">
        <f>IF(H127&lt;=0,0,H127*$E$10/12)</f>
        <v/>
      </c>
      <c r="BD128">
        <f>IF(H127&lt;=0,0,MIN(H127+BC128,$F$10+BB128))</f>
        <v/>
      </c>
      <c r="BE128">
        <f>IF(H127&lt;=0,BB128,MAX(0,$F$10+BB128-H127-BC128))</f>
        <v/>
      </c>
      <c r="BF128">
        <f>IF(I127&lt;=0,0,I127*$E$11/12)</f>
        <v/>
      </c>
      <c r="BG128">
        <f>IF(I127&lt;=0,0,MIN(I127+BF128,$F$11+BE128))</f>
        <v/>
      </c>
      <c r="BH128">
        <f>IF(I127&lt;=0,BE128,MAX(0,$F$11+BE128-I127-BF128))</f>
        <v/>
      </c>
      <c r="BI128">
        <f>IF(J127&lt;=0,0,J127*$E$12/12)</f>
        <v/>
      </c>
      <c r="BJ128">
        <f>IF(J127&lt;=0,0,MIN(J127+BI128,$F$12+BH128))</f>
        <v/>
      </c>
      <c r="BK128">
        <f>IF(J127&lt;=0,BH128,MAX(0,$F$12+BH128-J127-BI128))</f>
        <v/>
      </c>
      <c r="BL128">
        <f>IF(K127&lt;=0,0,K127*$E$13/12)</f>
        <v/>
      </c>
      <c r="BM128">
        <f>IF(K127&lt;=0,0,MIN(K127+BL128,$F$13+BK128))</f>
        <v/>
      </c>
      <c r="BN128">
        <f>IF(K127&lt;=0,BK128,MAX(0,$F$13+BK128-K127-BL128))</f>
        <v/>
      </c>
      <c r="BO128">
        <f>IF(L127&lt;=0,0,L127*$E$14/12)</f>
        <v/>
      </c>
      <c r="BP128">
        <f>IF(L127&lt;=0,0,MIN(L127+BO128,$F$14+BN128))</f>
        <v/>
      </c>
      <c r="BQ128">
        <f>IF(L127&lt;=0,BN128,MAX(0,$F$14+BN128-L127-BO128))</f>
        <v/>
      </c>
      <c r="BR128">
        <f>IF(M127&lt;=0,0,M127*$E$15/12)</f>
        <v/>
      </c>
      <c r="BS128">
        <f>IF(M127&lt;=0,0,MIN(M127+BR128,$F$15+BQ128))</f>
        <v/>
      </c>
      <c r="BT128">
        <f>IF(M127&lt;=0,BQ128,MAX(0,$F$15+BQ128-M127-BR128))</f>
        <v/>
      </c>
      <c r="BU128">
        <f>IF(N127&lt;=0,0,N127*$E$16/12)</f>
        <v/>
      </c>
      <c r="BV128">
        <f>IF(N127&lt;=0,0,MIN(N127+BU128,$F$16+BT128))</f>
        <v/>
      </c>
      <c r="BW128">
        <f>IF(N127&lt;=0,BT128,MAX(0,$F$16+BT128-N127-BU128))</f>
        <v/>
      </c>
      <c r="BX128">
        <f>IF(O127&lt;=0,0,O127*$E$17/12)</f>
        <v/>
      </c>
      <c r="BY128">
        <f>IF(O127&lt;=0,0,MIN(O127+BX128,$F$17+BW128))</f>
        <v/>
      </c>
      <c r="BZ128">
        <f>IF(O127&lt;=0,BW128,MAX(0,$F$17+BW128-O127-BX128))</f>
        <v/>
      </c>
      <c r="CA128">
        <f>IF(P127&lt;=0,0,P127*$E$18/12)</f>
        <v/>
      </c>
      <c r="CB128">
        <f>IF(P127&lt;=0,0,MIN(P127+CA128,$F$18+BZ128))</f>
        <v/>
      </c>
      <c r="CC128">
        <f>IF(P127&lt;=0,BZ128,MAX(0,$F$18+BZ128-P127-CA128))</f>
        <v/>
      </c>
      <c r="CD128">
        <f>IF(Q127&lt;=0,0,Q127*$E$19/12)</f>
        <v/>
      </c>
      <c r="CE128">
        <f>IF(Q127&lt;=0,0,MIN(Q127+CD128,$F$19+CC128))</f>
        <v/>
      </c>
      <c r="CF128">
        <f>IF(Q127&lt;=0,CC128,MAX(0,$F$19+CC128-Q127-CD128))</f>
        <v/>
      </c>
      <c r="CG128">
        <f>IF(R127&lt;=0,0,R127*$E$20/12)</f>
        <v/>
      </c>
      <c r="CH128">
        <f>IF(R127&lt;=0,0,MIN(R127+CG128,$F$20+CF128))</f>
        <v/>
      </c>
      <c r="CI128">
        <f>IF(R127&lt;=0,CF128,MAX(0,$F$20+CF128-R127-CG128))</f>
        <v/>
      </c>
      <c r="CJ128">
        <f>IF(S127&lt;=0,0,S127*$E$21/12)</f>
        <v/>
      </c>
      <c r="CK128">
        <f>IF(S127&lt;=0,0,MIN(S127+CJ128,$F$21+CI128))</f>
        <v/>
      </c>
      <c r="CL128">
        <f>IF(S127&lt;=0,CI128,MAX(0,$F$21+CI128-S127-CJ128))</f>
        <v/>
      </c>
      <c r="CM128">
        <f>IF(T127&lt;=0,0,T127*$E$22/12)</f>
        <v/>
      </c>
      <c r="CN128">
        <f>IF(T127&lt;=0,0,MIN(T127+CM128,$F$22+CL128))</f>
        <v/>
      </c>
      <c r="CO128">
        <f>IF(T127&lt;=0,CL128,MAX(0,$F$22+CL128-T127-CM128))</f>
        <v/>
      </c>
      <c r="CP128">
        <f>IF(U127&lt;=0,0,U127*$E$23/12)</f>
        <v/>
      </c>
      <c r="CQ128">
        <f>IF(U127&lt;=0,0,MIN(U127+CP128,$F$23+CO128))</f>
        <v/>
      </c>
      <c r="CR128">
        <f>IF(U127&lt;=0,CO128,MAX(0,$F$23+CO128-U127-CP128))</f>
        <v/>
      </c>
      <c r="CS128">
        <f>IF(V127&lt;=0,0,V127*$E$24/12)</f>
        <v/>
      </c>
      <c r="CT128">
        <f>IF(V127&lt;=0,0,MIN(V127+CS128,$F$24+CR128))</f>
        <v/>
      </c>
      <c r="CU128">
        <f>IF(V127&lt;=0,CR128,MAX(0,$F$24+CR128-V127-CS128))</f>
        <v/>
      </c>
    </row>
    <row r="129">
      <c r="B129" s="39" t="n">
        <v>103</v>
      </c>
      <c r="C129" s="13">
        <f>IF(C128&lt;=0,0,MAX(0,C128+AN129-AO129))</f>
        <v/>
      </c>
      <c r="D129" s="13">
        <f>IF(D128&lt;=0,0,MAX(0,D128+AQ129-AR129))</f>
        <v/>
      </c>
      <c r="E129" s="13">
        <f>IF(E128&lt;=0,0,MAX(0,E128+AT129-AU129))</f>
        <v/>
      </c>
      <c r="F129" s="13">
        <f>IF(F128&lt;=0,0,MAX(0,F128+AW129-AX129))</f>
        <v/>
      </c>
      <c r="G129" s="13">
        <f>IF(G128&lt;=0,0,MAX(0,G128+AZ129-BA129))</f>
        <v/>
      </c>
      <c r="H129" s="13">
        <f>IF(H128&lt;=0,0,MAX(0,H128+BC129-BD129))</f>
        <v/>
      </c>
      <c r="I129" s="13">
        <f>IF(I128&lt;=0,0,MAX(0,I128+BF129-BG129))</f>
        <v/>
      </c>
      <c r="J129" s="13">
        <f>IF(J128&lt;=0,0,MAX(0,J128+BI129-BJ129))</f>
        <v/>
      </c>
      <c r="K129" s="13">
        <f>IF(K128&lt;=0,0,MAX(0,K128+BL129-BM129))</f>
        <v/>
      </c>
      <c r="L129" s="13">
        <f>IF(L128&lt;=0,0,MAX(0,L128+BO129-BP129))</f>
        <v/>
      </c>
      <c r="M129" s="13">
        <f>IF(M128&lt;=0,0,MAX(0,M128+BR129-BS129))</f>
        <v/>
      </c>
      <c r="N129" s="13">
        <f>IF(N128&lt;=0,0,MAX(0,N128+BU129-BV129))</f>
        <v/>
      </c>
      <c r="O129" s="13">
        <f>IF(O128&lt;=0,0,MAX(0,O128+BX129-BY129))</f>
        <v/>
      </c>
      <c r="P129" s="13">
        <f>IF(P128&lt;=0,0,MAX(0,P128+CA129-CB129))</f>
        <v/>
      </c>
      <c r="Q129" s="13">
        <f>IF(Q128&lt;=0,0,MAX(0,Q128+CD129-CE129))</f>
        <v/>
      </c>
      <c r="R129" s="13">
        <f>IF(R128&lt;=0,0,MAX(0,R128+CG129-CH129))</f>
        <v/>
      </c>
      <c r="S129" s="13">
        <f>IF(S128&lt;=0,0,MAX(0,S128+CJ129-CK129))</f>
        <v/>
      </c>
      <c r="T129" s="13">
        <f>IF(T128&lt;=0,0,MAX(0,T128+CM129-CN129))</f>
        <v/>
      </c>
      <c r="U129" s="13">
        <f>IF(U128&lt;=0,0,MAX(0,U128+CP129-CQ129))</f>
        <v/>
      </c>
      <c r="V129" s="13">
        <f>IF(V128&lt;=0,0,MAX(0,V128+CS129-CT129))</f>
        <v/>
      </c>
      <c r="W129" s="13">
        <f>AO129+AR129+AU129+AX129+BA129+BD129+BG129+BJ129+BM129+BP129+BS129+BV129+BY129+CB129+CE129+CH129+CK129+CN129+CQ129+CT129</f>
        <v/>
      </c>
      <c r="X129" s="13">
        <f>AN129+AQ129+AT129+AW129+AZ129+BC129+BF129+BI129+BL129+BO129+BR129+BU129+BX129+CA129+CD129+CG129+CJ129+CM129+CP129+CS129</f>
        <v/>
      </c>
      <c r="Y129" s="27">
        <f>C129+D129+E129+F129+G129+H129+I129+J129+K129+L129+M129+N129+O129+P129+Q129+R129+S129+T129+U129+V129</f>
        <v/>
      </c>
      <c r="AN129">
        <f>IF(C128&lt;=0,0,C128*$E$5/12)</f>
        <v/>
      </c>
      <c r="AO129">
        <f>IF(C128&lt;=0,0,MIN(C128+AN129,$F$5+(Dashboard!$C$11+IF(C128&lt;=0,$F$5,0)+IF(D128&lt;=0,$F$6,0)+IF(E128&lt;=0,$F$7,0)+IF(F128&lt;=0,$F$8,0)+IF(G128&lt;=0,$F$9,0)+IF(H128&lt;=0,$F$10,0)+IF(I128&lt;=0,$F$11,0)+IF(J128&lt;=0,$F$12,0)+IF(K128&lt;=0,$F$13,0)+IF(L128&lt;=0,$F$14,0)+IF(M128&lt;=0,$F$15,0)+IF(N128&lt;=0,$F$16,0)+IF(O128&lt;=0,$F$17,0)+IF(P128&lt;=0,$F$18,0)+IF(Q128&lt;=0,$F$19,0)+IF(R128&lt;=0,$F$20,0)+IF(S128&lt;=0,$F$21,0)+IF(T128&lt;=0,$F$22,0)+IF(U128&lt;=0,$F$23,0)+IF(V128&lt;=0,$F$24,0))))</f>
        <v/>
      </c>
      <c r="AP129">
        <f>IF(C128&lt;=0,(Dashboard!$C$11+IF(C128&lt;=0,$F$5,0)+IF(D128&lt;=0,$F$6,0)+IF(E128&lt;=0,$F$7,0)+IF(F128&lt;=0,$F$8,0)+IF(G128&lt;=0,$F$9,0)+IF(H128&lt;=0,$F$10,0)+IF(I128&lt;=0,$F$11,0)+IF(J128&lt;=0,$F$12,0)+IF(K128&lt;=0,$F$13,0)+IF(L128&lt;=0,$F$14,0)+IF(M128&lt;=0,$F$15,0)+IF(N128&lt;=0,$F$16,0)+IF(O128&lt;=0,$F$17,0)+IF(P128&lt;=0,$F$18,0)+IF(Q128&lt;=0,$F$19,0)+IF(R128&lt;=0,$F$20,0)+IF(S128&lt;=0,$F$21,0)+IF(T128&lt;=0,$F$22,0)+IF(U128&lt;=0,$F$23,0)+IF(V128&lt;=0,$F$24,0)),MAX(0,$F$5+(Dashboard!$C$11+IF(C128&lt;=0,$F$5,0)+IF(D128&lt;=0,$F$6,0)+IF(E128&lt;=0,$F$7,0)+IF(F128&lt;=0,$F$8,0)+IF(G128&lt;=0,$F$9,0)+IF(H128&lt;=0,$F$10,0)+IF(I128&lt;=0,$F$11,0)+IF(J128&lt;=0,$F$12,0)+IF(K128&lt;=0,$F$13,0)+IF(L128&lt;=0,$F$14,0)+IF(M128&lt;=0,$F$15,0)+IF(N128&lt;=0,$F$16,0)+IF(O128&lt;=0,$F$17,0)+IF(P128&lt;=0,$F$18,0)+IF(Q128&lt;=0,$F$19,0)+IF(R128&lt;=0,$F$20,0)+IF(S128&lt;=0,$F$21,0)+IF(T128&lt;=0,$F$22,0)+IF(U128&lt;=0,$F$23,0)+IF(V128&lt;=0,$F$24,0))-C128-AN129))</f>
        <v/>
      </c>
      <c r="AQ129">
        <f>IF(D128&lt;=0,0,D128*$E$6/12)</f>
        <v/>
      </c>
      <c r="AR129">
        <f>IF(D128&lt;=0,0,MIN(D128+AQ129,$F$6+AP129))</f>
        <v/>
      </c>
      <c r="AS129">
        <f>IF(D128&lt;=0,AP129,MAX(0,$F$6+AP129-D128-AQ129))</f>
        <v/>
      </c>
      <c r="AT129">
        <f>IF(E128&lt;=0,0,E128*$E$7/12)</f>
        <v/>
      </c>
      <c r="AU129">
        <f>IF(E128&lt;=0,0,MIN(E128+AT129,$F$7+AS129))</f>
        <v/>
      </c>
      <c r="AV129">
        <f>IF(E128&lt;=0,AS129,MAX(0,$F$7+AS129-E128-AT129))</f>
        <v/>
      </c>
      <c r="AW129">
        <f>IF(F128&lt;=0,0,F128*$E$8/12)</f>
        <v/>
      </c>
      <c r="AX129">
        <f>IF(F128&lt;=0,0,MIN(F128+AW129,$F$8+AV129))</f>
        <v/>
      </c>
      <c r="AY129">
        <f>IF(F128&lt;=0,AV129,MAX(0,$F$8+AV129-F128-AW129))</f>
        <v/>
      </c>
      <c r="AZ129">
        <f>IF(G128&lt;=0,0,G128*$E$9/12)</f>
        <v/>
      </c>
      <c r="BA129">
        <f>IF(G128&lt;=0,0,MIN(G128+AZ129,$F$9+AY129))</f>
        <v/>
      </c>
      <c r="BB129">
        <f>IF(G128&lt;=0,AY129,MAX(0,$F$9+AY129-G128-AZ129))</f>
        <v/>
      </c>
      <c r="BC129">
        <f>IF(H128&lt;=0,0,H128*$E$10/12)</f>
        <v/>
      </c>
      <c r="BD129">
        <f>IF(H128&lt;=0,0,MIN(H128+BC129,$F$10+BB129))</f>
        <v/>
      </c>
      <c r="BE129">
        <f>IF(H128&lt;=0,BB129,MAX(0,$F$10+BB129-H128-BC129))</f>
        <v/>
      </c>
      <c r="BF129">
        <f>IF(I128&lt;=0,0,I128*$E$11/12)</f>
        <v/>
      </c>
      <c r="BG129">
        <f>IF(I128&lt;=0,0,MIN(I128+BF129,$F$11+BE129))</f>
        <v/>
      </c>
      <c r="BH129">
        <f>IF(I128&lt;=0,BE129,MAX(0,$F$11+BE129-I128-BF129))</f>
        <v/>
      </c>
      <c r="BI129">
        <f>IF(J128&lt;=0,0,J128*$E$12/12)</f>
        <v/>
      </c>
      <c r="BJ129">
        <f>IF(J128&lt;=0,0,MIN(J128+BI129,$F$12+BH129))</f>
        <v/>
      </c>
      <c r="BK129">
        <f>IF(J128&lt;=0,BH129,MAX(0,$F$12+BH129-J128-BI129))</f>
        <v/>
      </c>
      <c r="BL129">
        <f>IF(K128&lt;=0,0,K128*$E$13/12)</f>
        <v/>
      </c>
      <c r="BM129">
        <f>IF(K128&lt;=0,0,MIN(K128+BL129,$F$13+BK129))</f>
        <v/>
      </c>
      <c r="BN129">
        <f>IF(K128&lt;=0,BK129,MAX(0,$F$13+BK129-K128-BL129))</f>
        <v/>
      </c>
      <c r="BO129">
        <f>IF(L128&lt;=0,0,L128*$E$14/12)</f>
        <v/>
      </c>
      <c r="BP129">
        <f>IF(L128&lt;=0,0,MIN(L128+BO129,$F$14+BN129))</f>
        <v/>
      </c>
      <c r="BQ129">
        <f>IF(L128&lt;=0,BN129,MAX(0,$F$14+BN129-L128-BO129))</f>
        <v/>
      </c>
      <c r="BR129">
        <f>IF(M128&lt;=0,0,M128*$E$15/12)</f>
        <v/>
      </c>
      <c r="BS129">
        <f>IF(M128&lt;=0,0,MIN(M128+BR129,$F$15+BQ129))</f>
        <v/>
      </c>
      <c r="BT129">
        <f>IF(M128&lt;=0,BQ129,MAX(0,$F$15+BQ129-M128-BR129))</f>
        <v/>
      </c>
      <c r="BU129">
        <f>IF(N128&lt;=0,0,N128*$E$16/12)</f>
        <v/>
      </c>
      <c r="BV129">
        <f>IF(N128&lt;=0,0,MIN(N128+BU129,$F$16+BT129))</f>
        <v/>
      </c>
      <c r="BW129">
        <f>IF(N128&lt;=0,BT129,MAX(0,$F$16+BT129-N128-BU129))</f>
        <v/>
      </c>
      <c r="BX129">
        <f>IF(O128&lt;=0,0,O128*$E$17/12)</f>
        <v/>
      </c>
      <c r="BY129">
        <f>IF(O128&lt;=0,0,MIN(O128+BX129,$F$17+BW129))</f>
        <v/>
      </c>
      <c r="BZ129">
        <f>IF(O128&lt;=0,BW129,MAX(0,$F$17+BW129-O128-BX129))</f>
        <v/>
      </c>
      <c r="CA129">
        <f>IF(P128&lt;=0,0,P128*$E$18/12)</f>
        <v/>
      </c>
      <c r="CB129">
        <f>IF(P128&lt;=0,0,MIN(P128+CA129,$F$18+BZ129))</f>
        <v/>
      </c>
      <c r="CC129">
        <f>IF(P128&lt;=0,BZ129,MAX(0,$F$18+BZ129-P128-CA129))</f>
        <v/>
      </c>
      <c r="CD129">
        <f>IF(Q128&lt;=0,0,Q128*$E$19/12)</f>
        <v/>
      </c>
      <c r="CE129">
        <f>IF(Q128&lt;=0,0,MIN(Q128+CD129,$F$19+CC129))</f>
        <v/>
      </c>
      <c r="CF129">
        <f>IF(Q128&lt;=0,CC129,MAX(0,$F$19+CC129-Q128-CD129))</f>
        <v/>
      </c>
      <c r="CG129">
        <f>IF(R128&lt;=0,0,R128*$E$20/12)</f>
        <v/>
      </c>
      <c r="CH129">
        <f>IF(R128&lt;=0,0,MIN(R128+CG129,$F$20+CF129))</f>
        <v/>
      </c>
      <c r="CI129">
        <f>IF(R128&lt;=0,CF129,MAX(0,$F$20+CF129-R128-CG129))</f>
        <v/>
      </c>
      <c r="CJ129">
        <f>IF(S128&lt;=0,0,S128*$E$21/12)</f>
        <v/>
      </c>
      <c r="CK129">
        <f>IF(S128&lt;=0,0,MIN(S128+CJ129,$F$21+CI129))</f>
        <v/>
      </c>
      <c r="CL129">
        <f>IF(S128&lt;=0,CI129,MAX(0,$F$21+CI129-S128-CJ129))</f>
        <v/>
      </c>
      <c r="CM129">
        <f>IF(T128&lt;=0,0,T128*$E$22/12)</f>
        <v/>
      </c>
      <c r="CN129">
        <f>IF(T128&lt;=0,0,MIN(T128+CM129,$F$22+CL129))</f>
        <v/>
      </c>
      <c r="CO129">
        <f>IF(T128&lt;=0,CL129,MAX(0,$F$22+CL129-T128-CM129))</f>
        <v/>
      </c>
      <c r="CP129">
        <f>IF(U128&lt;=0,0,U128*$E$23/12)</f>
        <v/>
      </c>
      <c r="CQ129">
        <f>IF(U128&lt;=0,0,MIN(U128+CP129,$F$23+CO129))</f>
        <v/>
      </c>
      <c r="CR129">
        <f>IF(U128&lt;=0,CO129,MAX(0,$F$23+CO129-U128-CP129))</f>
        <v/>
      </c>
      <c r="CS129">
        <f>IF(V128&lt;=0,0,V128*$E$24/12)</f>
        <v/>
      </c>
      <c r="CT129">
        <f>IF(V128&lt;=0,0,MIN(V128+CS129,$F$24+CR129))</f>
        <v/>
      </c>
      <c r="CU129">
        <f>IF(V128&lt;=0,CR129,MAX(0,$F$24+CR129-V128-CS129))</f>
        <v/>
      </c>
    </row>
    <row r="130">
      <c r="B130" s="39" t="n">
        <v>104</v>
      </c>
      <c r="C130" s="13">
        <f>IF(C129&lt;=0,0,MAX(0,C129+AN130-AO130))</f>
        <v/>
      </c>
      <c r="D130" s="13">
        <f>IF(D129&lt;=0,0,MAX(0,D129+AQ130-AR130))</f>
        <v/>
      </c>
      <c r="E130" s="13">
        <f>IF(E129&lt;=0,0,MAX(0,E129+AT130-AU130))</f>
        <v/>
      </c>
      <c r="F130" s="13">
        <f>IF(F129&lt;=0,0,MAX(0,F129+AW130-AX130))</f>
        <v/>
      </c>
      <c r="G130" s="13">
        <f>IF(G129&lt;=0,0,MAX(0,G129+AZ130-BA130))</f>
        <v/>
      </c>
      <c r="H130" s="13">
        <f>IF(H129&lt;=0,0,MAX(0,H129+BC130-BD130))</f>
        <v/>
      </c>
      <c r="I130" s="13">
        <f>IF(I129&lt;=0,0,MAX(0,I129+BF130-BG130))</f>
        <v/>
      </c>
      <c r="J130" s="13">
        <f>IF(J129&lt;=0,0,MAX(0,J129+BI130-BJ130))</f>
        <v/>
      </c>
      <c r="K130" s="13">
        <f>IF(K129&lt;=0,0,MAX(0,K129+BL130-BM130))</f>
        <v/>
      </c>
      <c r="L130" s="13">
        <f>IF(L129&lt;=0,0,MAX(0,L129+BO130-BP130))</f>
        <v/>
      </c>
      <c r="M130" s="13">
        <f>IF(M129&lt;=0,0,MAX(0,M129+BR130-BS130))</f>
        <v/>
      </c>
      <c r="N130" s="13">
        <f>IF(N129&lt;=0,0,MAX(0,N129+BU130-BV130))</f>
        <v/>
      </c>
      <c r="O130" s="13">
        <f>IF(O129&lt;=0,0,MAX(0,O129+BX130-BY130))</f>
        <v/>
      </c>
      <c r="P130" s="13">
        <f>IF(P129&lt;=0,0,MAX(0,P129+CA130-CB130))</f>
        <v/>
      </c>
      <c r="Q130" s="13">
        <f>IF(Q129&lt;=0,0,MAX(0,Q129+CD130-CE130))</f>
        <v/>
      </c>
      <c r="R130" s="13">
        <f>IF(R129&lt;=0,0,MAX(0,R129+CG130-CH130))</f>
        <v/>
      </c>
      <c r="S130" s="13">
        <f>IF(S129&lt;=0,0,MAX(0,S129+CJ130-CK130))</f>
        <v/>
      </c>
      <c r="T130" s="13">
        <f>IF(T129&lt;=0,0,MAX(0,T129+CM130-CN130))</f>
        <v/>
      </c>
      <c r="U130" s="13">
        <f>IF(U129&lt;=0,0,MAX(0,U129+CP130-CQ130))</f>
        <v/>
      </c>
      <c r="V130" s="13">
        <f>IF(V129&lt;=0,0,MAX(0,V129+CS130-CT130))</f>
        <v/>
      </c>
      <c r="W130" s="13">
        <f>AO130+AR130+AU130+AX130+BA130+BD130+BG130+BJ130+BM130+BP130+BS130+BV130+BY130+CB130+CE130+CH130+CK130+CN130+CQ130+CT130</f>
        <v/>
      </c>
      <c r="X130" s="13">
        <f>AN130+AQ130+AT130+AW130+AZ130+BC130+BF130+BI130+BL130+BO130+BR130+BU130+BX130+CA130+CD130+CG130+CJ130+CM130+CP130+CS130</f>
        <v/>
      </c>
      <c r="Y130" s="27">
        <f>C130+D130+E130+F130+G130+H130+I130+J130+K130+L130+M130+N130+O130+P130+Q130+R130+S130+T130+U130+V130</f>
        <v/>
      </c>
      <c r="AN130">
        <f>IF(C129&lt;=0,0,C129*$E$5/12)</f>
        <v/>
      </c>
      <c r="AO130">
        <f>IF(C129&lt;=0,0,MIN(C129+AN130,$F$5+(Dashboard!$C$11+IF(C129&lt;=0,$F$5,0)+IF(D129&lt;=0,$F$6,0)+IF(E129&lt;=0,$F$7,0)+IF(F129&lt;=0,$F$8,0)+IF(G129&lt;=0,$F$9,0)+IF(H129&lt;=0,$F$10,0)+IF(I129&lt;=0,$F$11,0)+IF(J129&lt;=0,$F$12,0)+IF(K129&lt;=0,$F$13,0)+IF(L129&lt;=0,$F$14,0)+IF(M129&lt;=0,$F$15,0)+IF(N129&lt;=0,$F$16,0)+IF(O129&lt;=0,$F$17,0)+IF(P129&lt;=0,$F$18,0)+IF(Q129&lt;=0,$F$19,0)+IF(R129&lt;=0,$F$20,0)+IF(S129&lt;=0,$F$21,0)+IF(T129&lt;=0,$F$22,0)+IF(U129&lt;=0,$F$23,0)+IF(V129&lt;=0,$F$24,0))))</f>
        <v/>
      </c>
      <c r="AP130">
        <f>IF(C129&lt;=0,(Dashboard!$C$11+IF(C129&lt;=0,$F$5,0)+IF(D129&lt;=0,$F$6,0)+IF(E129&lt;=0,$F$7,0)+IF(F129&lt;=0,$F$8,0)+IF(G129&lt;=0,$F$9,0)+IF(H129&lt;=0,$F$10,0)+IF(I129&lt;=0,$F$11,0)+IF(J129&lt;=0,$F$12,0)+IF(K129&lt;=0,$F$13,0)+IF(L129&lt;=0,$F$14,0)+IF(M129&lt;=0,$F$15,0)+IF(N129&lt;=0,$F$16,0)+IF(O129&lt;=0,$F$17,0)+IF(P129&lt;=0,$F$18,0)+IF(Q129&lt;=0,$F$19,0)+IF(R129&lt;=0,$F$20,0)+IF(S129&lt;=0,$F$21,0)+IF(T129&lt;=0,$F$22,0)+IF(U129&lt;=0,$F$23,0)+IF(V129&lt;=0,$F$24,0)),MAX(0,$F$5+(Dashboard!$C$11+IF(C129&lt;=0,$F$5,0)+IF(D129&lt;=0,$F$6,0)+IF(E129&lt;=0,$F$7,0)+IF(F129&lt;=0,$F$8,0)+IF(G129&lt;=0,$F$9,0)+IF(H129&lt;=0,$F$10,0)+IF(I129&lt;=0,$F$11,0)+IF(J129&lt;=0,$F$12,0)+IF(K129&lt;=0,$F$13,0)+IF(L129&lt;=0,$F$14,0)+IF(M129&lt;=0,$F$15,0)+IF(N129&lt;=0,$F$16,0)+IF(O129&lt;=0,$F$17,0)+IF(P129&lt;=0,$F$18,0)+IF(Q129&lt;=0,$F$19,0)+IF(R129&lt;=0,$F$20,0)+IF(S129&lt;=0,$F$21,0)+IF(T129&lt;=0,$F$22,0)+IF(U129&lt;=0,$F$23,0)+IF(V129&lt;=0,$F$24,0))-C129-AN130))</f>
        <v/>
      </c>
      <c r="AQ130">
        <f>IF(D129&lt;=0,0,D129*$E$6/12)</f>
        <v/>
      </c>
      <c r="AR130">
        <f>IF(D129&lt;=0,0,MIN(D129+AQ130,$F$6+AP130))</f>
        <v/>
      </c>
      <c r="AS130">
        <f>IF(D129&lt;=0,AP130,MAX(0,$F$6+AP130-D129-AQ130))</f>
        <v/>
      </c>
      <c r="AT130">
        <f>IF(E129&lt;=0,0,E129*$E$7/12)</f>
        <v/>
      </c>
      <c r="AU130">
        <f>IF(E129&lt;=0,0,MIN(E129+AT130,$F$7+AS130))</f>
        <v/>
      </c>
      <c r="AV130">
        <f>IF(E129&lt;=0,AS130,MAX(0,$F$7+AS130-E129-AT130))</f>
        <v/>
      </c>
      <c r="AW130">
        <f>IF(F129&lt;=0,0,F129*$E$8/12)</f>
        <v/>
      </c>
      <c r="AX130">
        <f>IF(F129&lt;=0,0,MIN(F129+AW130,$F$8+AV130))</f>
        <v/>
      </c>
      <c r="AY130">
        <f>IF(F129&lt;=0,AV130,MAX(0,$F$8+AV130-F129-AW130))</f>
        <v/>
      </c>
      <c r="AZ130">
        <f>IF(G129&lt;=0,0,G129*$E$9/12)</f>
        <v/>
      </c>
      <c r="BA130">
        <f>IF(G129&lt;=0,0,MIN(G129+AZ130,$F$9+AY130))</f>
        <v/>
      </c>
      <c r="BB130">
        <f>IF(G129&lt;=0,AY130,MAX(0,$F$9+AY130-G129-AZ130))</f>
        <v/>
      </c>
      <c r="BC130">
        <f>IF(H129&lt;=0,0,H129*$E$10/12)</f>
        <v/>
      </c>
      <c r="BD130">
        <f>IF(H129&lt;=0,0,MIN(H129+BC130,$F$10+BB130))</f>
        <v/>
      </c>
      <c r="BE130">
        <f>IF(H129&lt;=0,BB130,MAX(0,$F$10+BB130-H129-BC130))</f>
        <v/>
      </c>
      <c r="BF130">
        <f>IF(I129&lt;=0,0,I129*$E$11/12)</f>
        <v/>
      </c>
      <c r="BG130">
        <f>IF(I129&lt;=0,0,MIN(I129+BF130,$F$11+BE130))</f>
        <v/>
      </c>
      <c r="BH130">
        <f>IF(I129&lt;=0,BE130,MAX(0,$F$11+BE130-I129-BF130))</f>
        <v/>
      </c>
      <c r="BI130">
        <f>IF(J129&lt;=0,0,J129*$E$12/12)</f>
        <v/>
      </c>
      <c r="BJ130">
        <f>IF(J129&lt;=0,0,MIN(J129+BI130,$F$12+BH130))</f>
        <v/>
      </c>
      <c r="BK130">
        <f>IF(J129&lt;=0,BH130,MAX(0,$F$12+BH130-J129-BI130))</f>
        <v/>
      </c>
      <c r="BL130">
        <f>IF(K129&lt;=0,0,K129*$E$13/12)</f>
        <v/>
      </c>
      <c r="BM130">
        <f>IF(K129&lt;=0,0,MIN(K129+BL130,$F$13+BK130))</f>
        <v/>
      </c>
      <c r="BN130">
        <f>IF(K129&lt;=0,BK130,MAX(0,$F$13+BK130-K129-BL130))</f>
        <v/>
      </c>
      <c r="BO130">
        <f>IF(L129&lt;=0,0,L129*$E$14/12)</f>
        <v/>
      </c>
      <c r="BP130">
        <f>IF(L129&lt;=0,0,MIN(L129+BO130,$F$14+BN130))</f>
        <v/>
      </c>
      <c r="BQ130">
        <f>IF(L129&lt;=0,BN130,MAX(0,$F$14+BN130-L129-BO130))</f>
        <v/>
      </c>
      <c r="BR130">
        <f>IF(M129&lt;=0,0,M129*$E$15/12)</f>
        <v/>
      </c>
      <c r="BS130">
        <f>IF(M129&lt;=0,0,MIN(M129+BR130,$F$15+BQ130))</f>
        <v/>
      </c>
      <c r="BT130">
        <f>IF(M129&lt;=0,BQ130,MAX(0,$F$15+BQ130-M129-BR130))</f>
        <v/>
      </c>
      <c r="BU130">
        <f>IF(N129&lt;=0,0,N129*$E$16/12)</f>
        <v/>
      </c>
      <c r="BV130">
        <f>IF(N129&lt;=0,0,MIN(N129+BU130,$F$16+BT130))</f>
        <v/>
      </c>
      <c r="BW130">
        <f>IF(N129&lt;=0,BT130,MAX(0,$F$16+BT130-N129-BU130))</f>
        <v/>
      </c>
      <c r="BX130">
        <f>IF(O129&lt;=0,0,O129*$E$17/12)</f>
        <v/>
      </c>
      <c r="BY130">
        <f>IF(O129&lt;=0,0,MIN(O129+BX130,$F$17+BW130))</f>
        <v/>
      </c>
      <c r="BZ130">
        <f>IF(O129&lt;=0,BW130,MAX(0,$F$17+BW130-O129-BX130))</f>
        <v/>
      </c>
      <c r="CA130">
        <f>IF(P129&lt;=0,0,P129*$E$18/12)</f>
        <v/>
      </c>
      <c r="CB130">
        <f>IF(P129&lt;=0,0,MIN(P129+CA130,$F$18+BZ130))</f>
        <v/>
      </c>
      <c r="CC130">
        <f>IF(P129&lt;=0,BZ130,MAX(0,$F$18+BZ130-P129-CA130))</f>
        <v/>
      </c>
      <c r="CD130">
        <f>IF(Q129&lt;=0,0,Q129*$E$19/12)</f>
        <v/>
      </c>
      <c r="CE130">
        <f>IF(Q129&lt;=0,0,MIN(Q129+CD130,$F$19+CC130))</f>
        <v/>
      </c>
      <c r="CF130">
        <f>IF(Q129&lt;=0,CC130,MAX(0,$F$19+CC130-Q129-CD130))</f>
        <v/>
      </c>
      <c r="CG130">
        <f>IF(R129&lt;=0,0,R129*$E$20/12)</f>
        <v/>
      </c>
      <c r="CH130">
        <f>IF(R129&lt;=0,0,MIN(R129+CG130,$F$20+CF130))</f>
        <v/>
      </c>
      <c r="CI130">
        <f>IF(R129&lt;=0,CF130,MAX(0,$F$20+CF130-R129-CG130))</f>
        <v/>
      </c>
      <c r="CJ130">
        <f>IF(S129&lt;=0,0,S129*$E$21/12)</f>
        <v/>
      </c>
      <c r="CK130">
        <f>IF(S129&lt;=0,0,MIN(S129+CJ130,$F$21+CI130))</f>
        <v/>
      </c>
      <c r="CL130">
        <f>IF(S129&lt;=0,CI130,MAX(0,$F$21+CI130-S129-CJ130))</f>
        <v/>
      </c>
      <c r="CM130">
        <f>IF(T129&lt;=0,0,T129*$E$22/12)</f>
        <v/>
      </c>
      <c r="CN130">
        <f>IF(T129&lt;=0,0,MIN(T129+CM130,$F$22+CL130))</f>
        <v/>
      </c>
      <c r="CO130">
        <f>IF(T129&lt;=0,CL130,MAX(0,$F$22+CL130-T129-CM130))</f>
        <v/>
      </c>
      <c r="CP130">
        <f>IF(U129&lt;=0,0,U129*$E$23/12)</f>
        <v/>
      </c>
      <c r="CQ130">
        <f>IF(U129&lt;=0,0,MIN(U129+CP130,$F$23+CO130))</f>
        <v/>
      </c>
      <c r="CR130">
        <f>IF(U129&lt;=0,CO130,MAX(0,$F$23+CO130-U129-CP130))</f>
        <v/>
      </c>
      <c r="CS130">
        <f>IF(V129&lt;=0,0,V129*$E$24/12)</f>
        <v/>
      </c>
      <c r="CT130">
        <f>IF(V129&lt;=0,0,MIN(V129+CS130,$F$24+CR130))</f>
        <v/>
      </c>
      <c r="CU130">
        <f>IF(V129&lt;=0,CR130,MAX(0,$F$24+CR130-V129-CS130))</f>
        <v/>
      </c>
    </row>
    <row r="131">
      <c r="B131" s="39" t="n">
        <v>105</v>
      </c>
      <c r="C131" s="13">
        <f>IF(C130&lt;=0,0,MAX(0,C130+AN131-AO131))</f>
        <v/>
      </c>
      <c r="D131" s="13">
        <f>IF(D130&lt;=0,0,MAX(0,D130+AQ131-AR131))</f>
        <v/>
      </c>
      <c r="E131" s="13">
        <f>IF(E130&lt;=0,0,MAX(0,E130+AT131-AU131))</f>
        <v/>
      </c>
      <c r="F131" s="13">
        <f>IF(F130&lt;=0,0,MAX(0,F130+AW131-AX131))</f>
        <v/>
      </c>
      <c r="G131" s="13">
        <f>IF(G130&lt;=0,0,MAX(0,G130+AZ131-BA131))</f>
        <v/>
      </c>
      <c r="H131" s="13">
        <f>IF(H130&lt;=0,0,MAX(0,H130+BC131-BD131))</f>
        <v/>
      </c>
      <c r="I131" s="13">
        <f>IF(I130&lt;=0,0,MAX(0,I130+BF131-BG131))</f>
        <v/>
      </c>
      <c r="J131" s="13">
        <f>IF(J130&lt;=0,0,MAX(0,J130+BI131-BJ131))</f>
        <v/>
      </c>
      <c r="K131" s="13">
        <f>IF(K130&lt;=0,0,MAX(0,K130+BL131-BM131))</f>
        <v/>
      </c>
      <c r="L131" s="13">
        <f>IF(L130&lt;=0,0,MAX(0,L130+BO131-BP131))</f>
        <v/>
      </c>
      <c r="M131" s="13">
        <f>IF(M130&lt;=0,0,MAX(0,M130+BR131-BS131))</f>
        <v/>
      </c>
      <c r="N131" s="13">
        <f>IF(N130&lt;=0,0,MAX(0,N130+BU131-BV131))</f>
        <v/>
      </c>
      <c r="O131" s="13">
        <f>IF(O130&lt;=0,0,MAX(0,O130+BX131-BY131))</f>
        <v/>
      </c>
      <c r="P131" s="13">
        <f>IF(P130&lt;=0,0,MAX(0,P130+CA131-CB131))</f>
        <v/>
      </c>
      <c r="Q131" s="13">
        <f>IF(Q130&lt;=0,0,MAX(0,Q130+CD131-CE131))</f>
        <v/>
      </c>
      <c r="R131" s="13">
        <f>IF(R130&lt;=0,0,MAX(0,R130+CG131-CH131))</f>
        <v/>
      </c>
      <c r="S131" s="13">
        <f>IF(S130&lt;=0,0,MAX(0,S130+CJ131-CK131))</f>
        <v/>
      </c>
      <c r="T131" s="13">
        <f>IF(T130&lt;=0,0,MAX(0,T130+CM131-CN131))</f>
        <v/>
      </c>
      <c r="U131" s="13">
        <f>IF(U130&lt;=0,0,MAX(0,U130+CP131-CQ131))</f>
        <v/>
      </c>
      <c r="V131" s="13">
        <f>IF(V130&lt;=0,0,MAX(0,V130+CS131-CT131))</f>
        <v/>
      </c>
      <c r="W131" s="13">
        <f>AO131+AR131+AU131+AX131+BA131+BD131+BG131+BJ131+BM131+BP131+BS131+BV131+BY131+CB131+CE131+CH131+CK131+CN131+CQ131+CT131</f>
        <v/>
      </c>
      <c r="X131" s="13">
        <f>AN131+AQ131+AT131+AW131+AZ131+BC131+BF131+BI131+BL131+BO131+BR131+BU131+BX131+CA131+CD131+CG131+CJ131+CM131+CP131+CS131</f>
        <v/>
      </c>
      <c r="Y131" s="27">
        <f>C131+D131+E131+F131+G131+H131+I131+J131+K131+L131+M131+N131+O131+P131+Q131+R131+S131+T131+U131+V131</f>
        <v/>
      </c>
      <c r="AN131">
        <f>IF(C130&lt;=0,0,C130*$E$5/12)</f>
        <v/>
      </c>
      <c r="AO131">
        <f>IF(C130&lt;=0,0,MIN(C130+AN131,$F$5+(Dashboard!$C$11+IF(C130&lt;=0,$F$5,0)+IF(D130&lt;=0,$F$6,0)+IF(E130&lt;=0,$F$7,0)+IF(F130&lt;=0,$F$8,0)+IF(G130&lt;=0,$F$9,0)+IF(H130&lt;=0,$F$10,0)+IF(I130&lt;=0,$F$11,0)+IF(J130&lt;=0,$F$12,0)+IF(K130&lt;=0,$F$13,0)+IF(L130&lt;=0,$F$14,0)+IF(M130&lt;=0,$F$15,0)+IF(N130&lt;=0,$F$16,0)+IF(O130&lt;=0,$F$17,0)+IF(P130&lt;=0,$F$18,0)+IF(Q130&lt;=0,$F$19,0)+IF(R130&lt;=0,$F$20,0)+IF(S130&lt;=0,$F$21,0)+IF(T130&lt;=0,$F$22,0)+IF(U130&lt;=0,$F$23,0)+IF(V130&lt;=0,$F$24,0))))</f>
        <v/>
      </c>
      <c r="AP131">
        <f>IF(C130&lt;=0,(Dashboard!$C$11+IF(C130&lt;=0,$F$5,0)+IF(D130&lt;=0,$F$6,0)+IF(E130&lt;=0,$F$7,0)+IF(F130&lt;=0,$F$8,0)+IF(G130&lt;=0,$F$9,0)+IF(H130&lt;=0,$F$10,0)+IF(I130&lt;=0,$F$11,0)+IF(J130&lt;=0,$F$12,0)+IF(K130&lt;=0,$F$13,0)+IF(L130&lt;=0,$F$14,0)+IF(M130&lt;=0,$F$15,0)+IF(N130&lt;=0,$F$16,0)+IF(O130&lt;=0,$F$17,0)+IF(P130&lt;=0,$F$18,0)+IF(Q130&lt;=0,$F$19,0)+IF(R130&lt;=0,$F$20,0)+IF(S130&lt;=0,$F$21,0)+IF(T130&lt;=0,$F$22,0)+IF(U130&lt;=0,$F$23,0)+IF(V130&lt;=0,$F$24,0)),MAX(0,$F$5+(Dashboard!$C$11+IF(C130&lt;=0,$F$5,0)+IF(D130&lt;=0,$F$6,0)+IF(E130&lt;=0,$F$7,0)+IF(F130&lt;=0,$F$8,0)+IF(G130&lt;=0,$F$9,0)+IF(H130&lt;=0,$F$10,0)+IF(I130&lt;=0,$F$11,0)+IF(J130&lt;=0,$F$12,0)+IF(K130&lt;=0,$F$13,0)+IF(L130&lt;=0,$F$14,0)+IF(M130&lt;=0,$F$15,0)+IF(N130&lt;=0,$F$16,0)+IF(O130&lt;=0,$F$17,0)+IF(P130&lt;=0,$F$18,0)+IF(Q130&lt;=0,$F$19,0)+IF(R130&lt;=0,$F$20,0)+IF(S130&lt;=0,$F$21,0)+IF(T130&lt;=0,$F$22,0)+IF(U130&lt;=0,$F$23,0)+IF(V130&lt;=0,$F$24,0))-C130-AN131))</f>
        <v/>
      </c>
      <c r="AQ131">
        <f>IF(D130&lt;=0,0,D130*$E$6/12)</f>
        <v/>
      </c>
      <c r="AR131">
        <f>IF(D130&lt;=0,0,MIN(D130+AQ131,$F$6+AP131))</f>
        <v/>
      </c>
      <c r="AS131">
        <f>IF(D130&lt;=0,AP131,MAX(0,$F$6+AP131-D130-AQ131))</f>
        <v/>
      </c>
      <c r="AT131">
        <f>IF(E130&lt;=0,0,E130*$E$7/12)</f>
        <v/>
      </c>
      <c r="AU131">
        <f>IF(E130&lt;=0,0,MIN(E130+AT131,$F$7+AS131))</f>
        <v/>
      </c>
      <c r="AV131">
        <f>IF(E130&lt;=0,AS131,MAX(0,$F$7+AS131-E130-AT131))</f>
        <v/>
      </c>
      <c r="AW131">
        <f>IF(F130&lt;=0,0,F130*$E$8/12)</f>
        <v/>
      </c>
      <c r="AX131">
        <f>IF(F130&lt;=0,0,MIN(F130+AW131,$F$8+AV131))</f>
        <v/>
      </c>
      <c r="AY131">
        <f>IF(F130&lt;=0,AV131,MAX(0,$F$8+AV131-F130-AW131))</f>
        <v/>
      </c>
      <c r="AZ131">
        <f>IF(G130&lt;=0,0,G130*$E$9/12)</f>
        <v/>
      </c>
      <c r="BA131">
        <f>IF(G130&lt;=0,0,MIN(G130+AZ131,$F$9+AY131))</f>
        <v/>
      </c>
      <c r="BB131">
        <f>IF(G130&lt;=0,AY131,MAX(0,$F$9+AY131-G130-AZ131))</f>
        <v/>
      </c>
      <c r="BC131">
        <f>IF(H130&lt;=0,0,H130*$E$10/12)</f>
        <v/>
      </c>
      <c r="BD131">
        <f>IF(H130&lt;=0,0,MIN(H130+BC131,$F$10+BB131))</f>
        <v/>
      </c>
      <c r="BE131">
        <f>IF(H130&lt;=0,BB131,MAX(0,$F$10+BB131-H130-BC131))</f>
        <v/>
      </c>
      <c r="BF131">
        <f>IF(I130&lt;=0,0,I130*$E$11/12)</f>
        <v/>
      </c>
      <c r="BG131">
        <f>IF(I130&lt;=0,0,MIN(I130+BF131,$F$11+BE131))</f>
        <v/>
      </c>
      <c r="BH131">
        <f>IF(I130&lt;=0,BE131,MAX(0,$F$11+BE131-I130-BF131))</f>
        <v/>
      </c>
      <c r="BI131">
        <f>IF(J130&lt;=0,0,J130*$E$12/12)</f>
        <v/>
      </c>
      <c r="BJ131">
        <f>IF(J130&lt;=0,0,MIN(J130+BI131,$F$12+BH131))</f>
        <v/>
      </c>
      <c r="BK131">
        <f>IF(J130&lt;=0,BH131,MAX(0,$F$12+BH131-J130-BI131))</f>
        <v/>
      </c>
      <c r="BL131">
        <f>IF(K130&lt;=0,0,K130*$E$13/12)</f>
        <v/>
      </c>
      <c r="BM131">
        <f>IF(K130&lt;=0,0,MIN(K130+BL131,$F$13+BK131))</f>
        <v/>
      </c>
      <c r="BN131">
        <f>IF(K130&lt;=0,BK131,MAX(0,$F$13+BK131-K130-BL131))</f>
        <v/>
      </c>
      <c r="BO131">
        <f>IF(L130&lt;=0,0,L130*$E$14/12)</f>
        <v/>
      </c>
      <c r="BP131">
        <f>IF(L130&lt;=0,0,MIN(L130+BO131,$F$14+BN131))</f>
        <v/>
      </c>
      <c r="BQ131">
        <f>IF(L130&lt;=0,BN131,MAX(0,$F$14+BN131-L130-BO131))</f>
        <v/>
      </c>
      <c r="BR131">
        <f>IF(M130&lt;=0,0,M130*$E$15/12)</f>
        <v/>
      </c>
      <c r="BS131">
        <f>IF(M130&lt;=0,0,MIN(M130+BR131,$F$15+BQ131))</f>
        <v/>
      </c>
      <c r="BT131">
        <f>IF(M130&lt;=0,BQ131,MAX(0,$F$15+BQ131-M130-BR131))</f>
        <v/>
      </c>
      <c r="BU131">
        <f>IF(N130&lt;=0,0,N130*$E$16/12)</f>
        <v/>
      </c>
      <c r="BV131">
        <f>IF(N130&lt;=0,0,MIN(N130+BU131,$F$16+BT131))</f>
        <v/>
      </c>
      <c r="BW131">
        <f>IF(N130&lt;=0,BT131,MAX(0,$F$16+BT131-N130-BU131))</f>
        <v/>
      </c>
      <c r="BX131">
        <f>IF(O130&lt;=0,0,O130*$E$17/12)</f>
        <v/>
      </c>
      <c r="BY131">
        <f>IF(O130&lt;=0,0,MIN(O130+BX131,$F$17+BW131))</f>
        <v/>
      </c>
      <c r="BZ131">
        <f>IF(O130&lt;=0,BW131,MAX(0,$F$17+BW131-O130-BX131))</f>
        <v/>
      </c>
      <c r="CA131">
        <f>IF(P130&lt;=0,0,P130*$E$18/12)</f>
        <v/>
      </c>
      <c r="CB131">
        <f>IF(P130&lt;=0,0,MIN(P130+CA131,$F$18+BZ131))</f>
        <v/>
      </c>
      <c r="CC131">
        <f>IF(P130&lt;=0,BZ131,MAX(0,$F$18+BZ131-P130-CA131))</f>
        <v/>
      </c>
      <c r="CD131">
        <f>IF(Q130&lt;=0,0,Q130*$E$19/12)</f>
        <v/>
      </c>
      <c r="CE131">
        <f>IF(Q130&lt;=0,0,MIN(Q130+CD131,$F$19+CC131))</f>
        <v/>
      </c>
      <c r="CF131">
        <f>IF(Q130&lt;=0,CC131,MAX(0,$F$19+CC131-Q130-CD131))</f>
        <v/>
      </c>
      <c r="CG131">
        <f>IF(R130&lt;=0,0,R130*$E$20/12)</f>
        <v/>
      </c>
      <c r="CH131">
        <f>IF(R130&lt;=0,0,MIN(R130+CG131,$F$20+CF131))</f>
        <v/>
      </c>
      <c r="CI131">
        <f>IF(R130&lt;=0,CF131,MAX(0,$F$20+CF131-R130-CG131))</f>
        <v/>
      </c>
      <c r="CJ131">
        <f>IF(S130&lt;=0,0,S130*$E$21/12)</f>
        <v/>
      </c>
      <c r="CK131">
        <f>IF(S130&lt;=0,0,MIN(S130+CJ131,$F$21+CI131))</f>
        <v/>
      </c>
      <c r="CL131">
        <f>IF(S130&lt;=0,CI131,MAX(0,$F$21+CI131-S130-CJ131))</f>
        <v/>
      </c>
      <c r="CM131">
        <f>IF(T130&lt;=0,0,T130*$E$22/12)</f>
        <v/>
      </c>
      <c r="CN131">
        <f>IF(T130&lt;=0,0,MIN(T130+CM131,$F$22+CL131))</f>
        <v/>
      </c>
      <c r="CO131">
        <f>IF(T130&lt;=0,CL131,MAX(0,$F$22+CL131-T130-CM131))</f>
        <v/>
      </c>
      <c r="CP131">
        <f>IF(U130&lt;=0,0,U130*$E$23/12)</f>
        <v/>
      </c>
      <c r="CQ131">
        <f>IF(U130&lt;=0,0,MIN(U130+CP131,$F$23+CO131))</f>
        <v/>
      </c>
      <c r="CR131">
        <f>IF(U130&lt;=0,CO131,MAX(0,$F$23+CO131-U130-CP131))</f>
        <v/>
      </c>
      <c r="CS131">
        <f>IF(V130&lt;=0,0,V130*$E$24/12)</f>
        <v/>
      </c>
      <c r="CT131">
        <f>IF(V130&lt;=0,0,MIN(V130+CS131,$F$24+CR131))</f>
        <v/>
      </c>
      <c r="CU131">
        <f>IF(V130&lt;=0,CR131,MAX(0,$F$24+CR131-V130-CS131))</f>
        <v/>
      </c>
    </row>
    <row r="132">
      <c r="B132" s="39" t="n">
        <v>106</v>
      </c>
      <c r="C132" s="13">
        <f>IF(C131&lt;=0,0,MAX(0,C131+AN132-AO132))</f>
        <v/>
      </c>
      <c r="D132" s="13">
        <f>IF(D131&lt;=0,0,MAX(0,D131+AQ132-AR132))</f>
        <v/>
      </c>
      <c r="E132" s="13">
        <f>IF(E131&lt;=0,0,MAX(0,E131+AT132-AU132))</f>
        <v/>
      </c>
      <c r="F132" s="13">
        <f>IF(F131&lt;=0,0,MAX(0,F131+AW132-AX132))</f>
        <v/>
      </c>
      <c r="G132" s="13">
        <f>IF(G131&lt;=0,0,MAX(0,G131+AZ132-BA132))</f>
        <v/>
      </c>
      <c r="H132" s="13">
        <f>IF(H131&lt;=0,0,MAX(0,H131+BC132-BD132))</f>
        <v/>
      </c>
      <c r="I132" s="13">
        <f>IF(I131&lt;=0,0,MAX(0,I131+BF132-BG132))</f>
        <v/>
      </c>
      <c r="J132" s="13">
        <f>IF(J131&lt;=0,0,MAX(0,J131+BI132-BJ132))</f>
        <v/>
      </c>
      <c r="K132" s="13">
        <f>IF(K131&lt;=0,0,MAX(0,K131+BL132-BM132))</f>
        <v/>
      </c>
      <c r="L132" s="13">
        <f>IF(L131&lt;=0,0,MAX(0,L131+BO132-BP132))</f>
        <v/>
      </c>
      <c r="M132" s="13">
        <f>IF(M131&lt;=0,0,MAX(0,M131+BR132-BS132))</f>
        <v/>
      </c>
      <c r="N132" s="13">
        <f>IF(N131&lt;=0,0,MAX(0,N131+BU132-BV132))</f>
        <v/>
      </c>
      <c r="O132" s="13">
        <f>IF(O131&lt;=0,0,MAX(0,O131+BX132-BY132))</f>
        <v/>
      </c>
      <c r="P132" s="13">
        <f>IF(P131&lt;=0,0,MAX(0,P131+CA132-CB132))</f>
        <v/>
      </c>
      <c r="Q132" s="13">
        <f>IF(Q131&lt;=0,0,MAX(0,Q131+CD132-CE132))</f>
        <v/>
      </c>
      <c r="R132" s="13">
        <f>IF(R131&lt;=0,0,MAX(0,R131+CG132-CH132))</f>
        <v/>
      </c>
      <c r="S132" s="13">
        <f>IF(S131&lt;=0,0,MAX(0,S131+CJ132-CK132))</f>
        <v/>
      </c>
      <c r="T132" s="13">
        <f>IF(T131&lt;=0,0,MAX(0,T131+CM132-CN132))</f>
        <v/>
      </c>
      <c r="U132" s="13">
        <f>IF(U131&lt;=0,0,MAX(0,U131+CP132-CQ132))</f>
        <v/>
      </c>
      <c r="V132" s="13">
        <f>IF(V131&lt;=0,0,MAX(0,V131+CS132-CT132))</f>
        <v/>
      </c>
      <c r="W132" s="13">
        <f>AO132+AR132+AU132+AX132+BA132+BD132+BG132+BJ132+BM132+BP132+BS132+BV132+BY132+CB132+CE132+CH132+CK132+CN132+CQ132+CT132</f>
        <v/>
      </c>
      <c r="X132" s="13">
        <f>AN132+AQ132+AT132+AW132+AZ132+BC132+BF132+BI132+BL132+BO132+BR132+BU132+BX132+CA132+CD132+CG132+CJ132+CM132+CP132+CS132</f>
        <v/>
      </c>
      <c r="Y132" s="27">
        <f>C132+D132+E132+F132+G132+H132+I132+J132+K132+L132+M132+N132+O132+P132+Q132+R132+S132+T132+U132+V132</f>
        <v/>
      </c>
      <c r="AN132">
        <f>IF(C131&lt;=0,0,C131*$E$5/12)</f>
        <v/>
      </c>
      <c r="AO132">
        <f>IF(C131&lt;=0,0,MIN(C131+AN132,$F$5+(Dashboard!$C$11+IF(C131&lt;=0,$F$5,0)+IF(D131&lt;=0,$F$6,0)+IF(E131&lt;=0,$F$7,0)+IF(F131&lt;=0,$F$8,0)+IF(G131&lt;=0,$F$9,0)+IF(H131&lt;=0,$F$10,0)+IF(I131&lt;=0,$F$11,0)+IF(J131&lt;=0,$F$12,0)+IF(K131&lt;=0,$F$13,0)+IF(L131&lt;=0,$F$14,0)+IF(M131&lt;=0,$F$15,0)+IF(N131&lt;=0,$F$16,0)+IF(O131&lt;=0,$F$17,0)+IF(P131&lt;=0,$F$18,0)+IF(Q131&lt;=0,$F$19,0)+IF(R131&lt;=0,$F$20,0)+IF(S131&lt;=0,$F$21,0)+IF(T131&lt;=0,$F$22,0)+IF(U131&lt;=0,$F$23,0)+IF(V131&lt;=0,$F$24,0))))</f>
        <v/>
      </c>
      <c r="AP132">
        <f>IF(C131&lt;=0,(Dashboard!$C$11+IF(C131&lt;=0,$F$5,0)+IF(D131&lt;=0,$F$6,0)+IF(E131&lt;=0,$F$7,0)+IF(F131&lt;=0,$F$8,0)+IF(G131&lt;=0,$F$9,0)+IF(H131&lt;=0,$F$10,0)+IF(I131&lt;=0,$F$11,0)+IF(J131&lt;=0,$F$12,0)+IF(K131&lt;=0,$F$13,0)+IF(L131&lt;=0,$F$14,0)+IF(M131&lt;=0,$F$15,0)+IF(N131&lt;=0,$F$16,0)+IF(O131&lt;=0,$F$17,0)+IF(P131&lt;=0,$F$18,0)+IF(Q131&lt;=0,$F$19,0)+IF(R131&lt;=0,$F$20,0)+IF(S131&lt;=0,$F$21,0)+IF(T131&lt;=0,$F$22,0)+IF(U131&lt;=0,$F$23,0)+IF(V131&lt;=0,$F$24,0)),MAX(0,$F$5+(Dashboard!$C$11+IF(C131&lt;=0,$F$5,0)+IF(D131&lt;=0,$F$6,0)+IF(E131&lt;=0,$F$7,0)+IF(F131&lt;=0,$F$8,0)+IF(G131&lt;=0,$F$9,0)+IF(H131&lt;=0,$F$10,0)+IF(I131&lt;=0,$F$11,0)+IF(J131&lt;=0,$F$12,0)+IF(K131&lt;=0,$F$13,0)+IF(L131&lt;=0,$F$14,0)+IF(M131&lt;=0,$F$15,0)+IF(N131&lt;=0,$F$16,0)+IF(O131&lt;=0,$F$17,0)+IF(P131&lt;=0,$F$18,0)+IF(Q131&lt;=0,$F$19,0)+IF(R131&lt;=0,$F$20,0)+IF(S131&lt;=0,$F$21,0)+IF(T131&lt;=0,$F$22,0)+IF(U131&lt;=0,$F$23,0)+IF(V131&lt;=0,$F$24,0))-C131-AN132))</f>
        <v/>
      </c>
      <c r="AQ132">
        <f>IF(D131&lt;=0,0,D131*$E$6/12)</f>
        <v/>
      </c>
      <c r="AR132">
        <f>IF(D131&lt;=0,0,MIN(D131+AQ132,$F$6+AP132))</f>
        <v/>
      </c>
      <c r="AS132">
        <f>IF(D131&lt;=0,AP132,MAX(0,$F$6+AP132-D131-AQ132))</f>
        <v/>
      </c>
      <c r="AT132">
        <f>IF(E131&lt;=0,0,E131*$E$7/12)</f>
        <v/>
      </c>
      <c r="AU132">
        <f>IF(E131&lt;=0,0,MIN(E131+AT132,$F$7+AS132))</f>
        <v/>
      </c>
      <c r="AV132">
        <f>IF(E131&lt;=0,AS132,MAX(0,$F$7+AS132-E131-AT132))</f>
        <v/>
      </c>
      <c r="AW132">
        <f>IF(F131&lt;=0,0,F131*$E$8/12)</f>
        <v/>
      </c>
      <c r="AX132">
        <f>IF(F131&lt;=0,0,MIN(F131+AW132,$F$8+AV132))</f>
        <v/>
      </c>
      <c r="AY132">
        <f>IF(F131&lt;=0,AV132,MAX(0,$F$8+AV132-F131-AW132))</f>
        <v/>
      </c>
      <c r="AZ132">
        <f>IF(G131&lt;=0,0,G131*$E$9/12)</f>
        <v/>
      </c>
      <c r="BA132">
        <f>IF(G131&lt;=0,0,MIN(G131+AZ132,$F$9+AY132))</f>
        <v/>
      </c>
      <c r="BB132">
        <f>IF(G131&lt;=0,AY132,MAX(0,$F$9+AY132-G131-AZ132))</f>
        <v/>
      </c>
      <c r="BC132">
        <f>IF(H131&lt;=0,0,H131*$E$10/12)</f>
        <v/>
      </c>
      <c r="BD132">
        <f>IF(H131&lt;=0,0,MIN(H131+BC132,$F$10+BB132))</f>
        <v/>
      </c>
      <c r="BE132">
        <f>IF(H131&lt;=0,BB132,MAX(0,$F$10+BB132-H131-BC132))</f>
        <v/>
      </c>
      <c r="BF132">
        <f>IF(I131&lt;=0,0,I131*$E$11/12)</f>
        <v/>
      </c>
      <c r="BG132">
        <f>IF(I131&lt;=0,0,MIN(I131+BF132,$F$11+BE132))</f>
        <v/>
      </c>
      <c r="BH132">
        <f>IF(I131&lt;=0,BE132,MAX(0,$F$11+BE132-I131-BF132))</f>
        <v/>
      </c>
      <c r="BI132">
        <f>IF(J131&lt;=0,0,J131*$E$12/12)</f>
        <v/>
      </c>
      <c r="BJ132">
        <f>IF(J131&lt;=0,0,MIN(J131+BI132,$F$12+BH132))</f>
        <v/>
      </c>
      <c r="BK132">
        <f>IF(J131&lt;=0,BH132,MAX(0,$F$12+BH132-J131-BI132))</f>
        <v/>
      </c>
      <c r="BL132">
        <f>IF(K131&lt;=0,0,K131*$E$13/12)</f>
        <v/>
      </c>
      <c r="BM132">
        <f>IF(K131&lt;=0,0,MIN(K131+BL132,$F$13+BK132))</f>
        <v/>
      </c>
      <c r="BN132">
        <f>IF(K131&lt;=0,BK132,MAX(0,$F$13+BK132-K131-BL132))</f>
        <v/>
      </c>
      <c r="BO132">
        <f>IF(L131&lt;=0,0,L131*$E$14/12)</f>
        <v/>
      </c>
      <c r="BP132">
        <f>IF(L131&lt;=0,0,MIN(L131+BO132,$F$14+BN132))</f>
        <v/>
      </c>
      <c r="BQ132">
        <f>IF(L131&lt;=0,BN132,MAX(0,$F$14+BN132-L131-BO132))</f>
        <v/>
      </c>
      <c r="BR132">
        <f>IF(M131&lt;=0,0,M131*$E$15/12)</f>
        <v/>
      </c>
      <c r="BS132">
        <f>IF(M131&lt;=0,0,MIN(M131+BR132,$F$15+BQ132))</f>
        <v/>
      </c>
      <c r="BT132">
        <f>IF(M131&lt;=0,BQ132,MAX(0,$F$15+BQ132-M131-BR132))</f>
        <v/>
      </c>
      <c r="BU132">
        <f>IF(N131&lt;=0,0,N131*$E$16/12)</f>
        <v/>
      </c>
      <c r="BV132">
        <f>IF(N131&lt;=0,0,MIN(N131+BU132,$F$16+BT132))</f>
        <v/>
      </c>
      <c r="BW132">
        <f>IF(N131&lt;=0,BT132,MAX(0,$F$16+BT132-N131-BU132))</f>
        <v/>
      </c>
      <c r="BX132">
        <f>IF(O131&lt;=0,0,O131*$E$17/12)</f>
        <v/>
      </c>
      <c r="BY132">
        <f>IF(O131&lt;=0,0,MIN(O131+BX132,$F$17+BW132))</f>
        <v/>
      </c>
      <c r="BZ132">
        <f>IF(O131&lt;=0,BW132,MAX(0,$F$17+BW132-O131-BX132))</f>
        <v/>
      </c>
      <c r="CA132">
        <f>IF(P131&lt;=0,0,P131*$E$18/12)</f>
        <v/>
      </c>
      <c r="CB132">
        <f>IF(P131&lt;=0,0,MIN(P131+CA132,$F$18+BZ132))</f>
        <v/>
      </c>
      <c r="CC132">
        <f>IF(P131&lt;=0,BZ132,MAX(0,$F$18+BZ132-P131-CA132))</f>
        <v/>
      </c>
      <c r="CD132">
        <f>IF(Q131&lt;=0,0,Q131*$E$19/12)</f>
        <v/>
      </c>
      <c r="CE132">
        <f>IF(Q131&lt;=0,0,MIN(Q131+CD132,$F$19+CC132))</f>
        <v/>
      </c>
      <c r="CF132">
        <f>IF(Q131&lt;=0,CC132,MAX(0,$F$19+CC132-Q131-CD132))</f>
        <v/>
      </c>
      <c r="CG132">
        <f>IF(R131&lt;=0,0,R131*$E$20/12)</f>
        <v/>
      </c>
      <c r="CH132">
        <f>IF(R131&lt;=0,0,MIN(R131+CG132,$F$20+CF132))</f>
        <v/>
      </c>
      <c r="CI132">
        <f>IF(R131&lt;=0,CF132,MAX(0,$F$20+CF132-R131-CG132))</f>
        <v/>
      </c>
      <c r="CJ132">
        <f>IF(S131&lt;=0,0,S131*$E$21/12)</f>
        <v/>
      </c>
      <c r="CK132">
        <f>IF(S131&lt;=0,0,MIN(S131+CJ132,$F$21+CI132))</f>
        <v/>
      </c>
      <c r="CL132">
        <f>IF(S131&lt;=0,CI132,MAX(0,$F$21+CI132-S131-CJ132))</f>
        <v/>
      </c>
      <c r="CM132">
        <f>IF(T131&lt;=0,0,T131*$E$22/12)</f>
        <v/>
      </c>
      <c r="CN132">
        <f>IF(T131&lt;=0,0,MIN(T131+CM132,$F$22+CL132))</f>
        <v/>
      </c>
      <c r="CO132">
        <f>IF(T131&lt;=0,CL132,MAX(0,$F$22+CL132-T131-CM132))</f>
        <v/>
      </c>
      <c r="CP132">
        <f>IF(U131&lt;=0,0,U131*$E$23/12)</f>
        <v/>
      </c>
      <c r="CQ132">
        <f>IF(U131&lt;=0,0,MIN(U131+CP132,$F$23+CO132))</f>
        <v/>
      </c>
      <c r="CR132">
        <f>IF(U131&lt;=0,CO132,MAX(0,$F$23+CO132-U131-CP132))</f>
        <v/>
      </c>
      <c r="CS132">
        <f>IF(V131&lt;=0,0,V131*$E$24/12)</f>
        <v/>
      </c>
      <c r="CT132">
        <f>IF(V131&lt;=0,0,MIN(V131+CS132,$F$24+CR132))</f>
        <v/>
      </c>
      <c r="CU132">
        <f>IF(V131&lt;=0,CR132,MAX(0,$F$24+CR132-V131-CS132))</f>
        <v/>
      </c>
    </row>
    <row r="133">
      <c r="B133" s="39" t="n">
        <v>107</v>
      </c>
      <c r="C133" s="13">
        <f>IF(C132&lt;=0,0,MAX(0,C132+AN133-AO133))</f>
        <v/>
      </c>
      <c r="D133" s="13">
        <f>IF(D132&lt;=0,0,MAX(0,D132+AQ133-AR133))</f>
        <v/>
      </c>
      <c r="E133" s="13">
        <f>IF(E132&lt;=0,0,MAX(0,E132+AT133-AU133))</f>
        <v/>
      </c>
      <c r="F133" s="13">
        <f>IF(F132&lt;=0,0,MAX(0,F132+AW133-AX133))</f>
        <v/>
      </c>
      <c r="G133" s="13">
        <f>IF(G132&lt;=0,0,MAX(0,G132+AZ133-BA133))</f>
        <v/>
      </c>
      <c r="H133" s="13">
        <f>IF(H132&lt;=0,0,MAX(0,H132+BC133-BD133))</f>
        <v/>
      </c>
      <c r="I133" s="13">
        <f>IF(I132&lt;=0,0,MAX(0,I132+BF133-BG133))</f>
        <v/>
      </c>
      <c r="J133" s="13">
        <f>IF(J132&lt;=0,0,MAX(0,J132+BI133-BJ133))</f>
        <v/>
      </c>
      <c r="K133" s="13">
        <f>IF(K132&lt;=0,0,MAX(0,K132+BL133-BM133))</f>
        <v/>
      </c>
      <c r="L133" s="13">
        <f>IF(L132&lt;=0,0,MAX(0,L132+BO133-BP133))</f>
        <v/>
      </c>
      <c r="M133" s="13">
        <f>IF(M132&lt;=0,0,MAX(0,M132+BR133-BS133))</f>
        <v/>
      </c>
      <c r="N133" s="13">
        <f>IF(N132&lt;=0,0,MAX(0,N132+BU133-BV133))</f>
        <v/>
      </c>
      <c r="O133" s="13">
        <f>IF(O132&lt;=0,0,MAX(0,O132+BX133-BY133))</f>
        <v/>
      </c>
      <c r="P133" s="13">
        <f>IF(P132&lt;=0,0,MAX(0,P132+CA133-CB133))</f>
        <v/>
      </c>
      <c r="Q133" s="13">
        <f>IF(Q132&lt;=0,0,MAX(0,Q132+CD133-CE133))</f>
        <v/>
      </c>
      <c r="R133" s="13">
        <f>IF(R132&lt;=0,0,MAX(0,R132+CG133-CH133))</f>
        <v/>
      </c>
      <c r="S133" s="13">
        <f>IF(S132&lt;=0,0,MAX(0,S132+CJ133-CK133))</f>
        <v/>
      </c>
      <c r="T133" s="13">
        <f>IF(T132&lt;=0,0,MAX(0,T132+CM133-CN133))</f>
        <v/>
      </c>
      <c r="U133" s="13">
        <f>IF(U132&lt;=0,0,MAX(0,U132+CP133-CQ133))</f>
        <v/>
      </c>
      <c r="V133" s="13">
        <f>IF(V132&lt;=0,0,MAX(0,V132+CS133-CT133))</f>
        <v/>
      </c>
      <c r="W133" s="13">
        <f>AO133+AR133+AU133+AX133+BA133+BD133+BG133+BJ133+BM133+BP133+BS133+BV133+BY133+CB133+CE133+CH133+CK133+CN133+CQ133+CT133</f>
        <v/>
      </c>
      <c r="X133" s="13">
        <f>AN133+AQ133+AT133+AW133+AZ133+BC133+BF133+BI133+BL133+BO133+BR133+BU133+BX133+CA133+CD133+CG133+CJ133+CM133+CP133+CS133</f>
        <v/>
      </c>
      <c r="Y133" s="27">
        <f>C133+D133+E133+F133+G133+H133+I133+J133+K133+L133+M133+N133+O133+P133+Q133+R133+S133+T133+U133+V133</f>
        <v/>
      </c>
      <c r="AN133">
        <f>IF(C132&lt;=0,0,C132*$E$5/12)</f>
        <v/>
      </c>
      <c r="AO133">
        <f>IF(C132&lt;=0,0,MIN(C132+AN133,$F$5+(Dashboard!$C$11+IF(C132&lt;=0,$F$5,0)+IF(D132&lt;=0,$F$6,0)+IF(E132&lt;=0,$F$7,0)+IF(F132&lt;=0,$F$8,0)+IF(G132&lt;=0,$F$9,0)+IF(H132&lt;=0,$F$10,0)+IF(I132&lt;=0,$F$11,0)+IF(J132&lt;=0,$F$12,0)+IF(K132&lt;=0,$F$13,0)+IF(L132&lt;=0,$F$14,0)+IF(M132&lt;=0,$F$15,0)+IF(N132&lt;=0,$F$16,0)+IF(O132&lt;=0,$F$17,0)+IF(P132&lt;=0,$F$18,0)+IF(Q132&lt;=0,$F$19,0)+IF(R132&lt;=0,$F$20,0)+IF(S132&lt;=0,$F$21,0)+IF(T132&lt;=0,$F$22,0)+IF(U132&lt;=0,$F$23,0)+IF(V132&lt;=0,$F$24,0))))</f>
        <v/>
      </c>
      <c r="AP133">
        <f>IF(C132&lt;=0,(Dashboard!$C$11+IF(C132&lt;=0,$F$5,0)+IF(D132&lt;=0,$F$6,0)+IF(E132&lt;=0,$F$7,0)+IF(F132&lt;=0,$F$8,0)+IF(G132&lt;=0,$F$9,0)+IF(H132&lt;=0,$F$10,0)+IF(I132&lt;=0,$F$11,0)+IF(J132&lt;=0,$F$12,0)+IF(K132&lt;=0,$F$13,0)+IF(L132&lt;=0,$F$14,0)+IF(M132&lt;=0,$F$15,0)+IF(N132&lt;=0,$F$16,0)+IF(O132&lt;=0,$F$17,0)+IF(P132&lt;=0,$F$18,0)+IF(Q132&lt;=0,$F$19,0)+IF(R132&lt;=0,$F$20,0)+IF(S132&lt;=0,$F$21,0)+IF(T132&lt;=0,$F$22,0)+IF(U132&lt;=0,$F$23,0)+IF(V132&lt;=0,$F$24,0)),MAX(0,$F$5+(Dashboard!$C$11+IF(C132&lt;=0,$F$5,0)+IF(D132&lt;=0,$F$6,0)+IF(E132&lt;=0,$F$7,0)+IF(F132&lt;=0,$F$8,0)+IF(G132&lt;=0,$F$9,0)+IF(H132&lt;=0,$F$10,0)+IF(I132&lt;=0,$F$11,0)+IF(J132&lt;=0,$F$12,0)+IF(K132&lt;=0,$F$13,0)+IF(L132&lt;=0,$F$14,0)+IF(M132&lt;=0,$F$15,0)+IF(N132&lt;=0,$F$16,0)+IF(O132&lt;=0,$F$17,0)+IF(P132&lt;=0,$F$18,0)+IF(Q132&lt;=0,$F$19,0)+IF(R132&lt;=0,$F$20,0)+IF(S132&lt;=0,$F$21,0)+IF(T132&lt;=0,$F$22,0)+IF(U132&lt;=0,$F$23,0)+IF(V132&lt;=0,$F$24,0))-C132-AN133))</f>
        <v/>
      </c>
      <c r="AQ133">
        <f>IF(D132&lt;=0,0,D132*$E$6/12)</f>
        <v/>
      </c>
      <c r="AR133">
        <f>IF(D132&lt;=0,0,MIN(D132+AQ133,$F$6+AP133))</f>
        <v/>
      </c>
      <c r="AS133">
        <f>IF(D132&lt;=0,AP133,MAX(0,$F$6+AP133-D132-AQ133))</f>
        <v/>
      </c>
      <c r="AT133">
        <f>IF(E132&lt;=0,0,E132*$E$7/12)</f>
        <v/>
      </c>
      <c r="AU133">
        <f>IF(E132&lt;=0,0,MIN(E132+AT133,$F$7+AS133))</f>
        <v/>
      </c>
      <c r="AV133">
        <f>IF(E132&lt;=0,AS133,MAX(0,$F$7+AS133-E132-AT133))</f>
        <v/>
      </c>
      <c r="AW133">
        <f>IF(F132&lt;=0,0,F132*$E$8/12)</f>
        <v/>
      </c>
      <c r="AX133">
        <f>IF(F132&lt;=0,0,MIN(F132+AW133,$F$8+AV133))</f>
        <v/>
      </c>
      <c r="AY133">
        <f>IF(F132&lt;=0,AV133,MAX(0,$F$8+AV133-F132-AW133))</f>
        <v/>
      </c>
      <c r="AZ133">
        <f>IF(G132&lt;=0,0,G132*$E$9/12)</f>
        <v/>
      </c>
      <c r="BA133">
        <f>IF(G132&lt;=0,0,MIN(G132+AZ133,$F$9+AY133))</f>
        <v/>
      </c>
      <c r="BB133">
        <f>IF(G132&lt;=0,AY133,MAX(0,$F$9+AY133-G132-AZ133))</f>
        <v/>
      </c>
      <c r="BC133">
        <f>IF(H132&lt;=0,0,H132*$E$10/12)</f>
        <v/>
      </c>
      <c r="BD133">
        <f>IF(H132&lt;=0,0,MIN(H132+BC133,$F$10+BB133))</f>
        <v/>
      </c>
      <c r="BE133">
        <f>IF(H132&lt;=0,BB133,MAX(0,$F$10+BB133-H132-BC133))</f>
        <v/>
      </c>
      <c r="BF133">
        <f>IF(I132&lt;=0,0,I132*$E$11/12)</f>
        <v/>
      </c>
      <c r="BG133">
        <f>IF(I132&lt;=0,0,MIN(I132+BF133,$F$11+BE133))</f>
        <v/>
      </c>
      <c r="BH133">
        <f>IF(I132&lt;=0,BE133,MAX(0,$F$11+BE133-I132-BF133))</f>
        <v/>
      </c>
      <c r="BI133">
        <f>IF(J132&lt;=0,0,J132*$E$12/12)</f>
        <v/>
      </c>
      <c r="BJ133">
        <f>IF(J132&lt;=0,0,MIN(J132+BI133,$F$12+BH133))</f>
        <v/>
      </c>
      <c r="BK133">
        <f>IF(J132&lt;=0,BH133,MAX(0,$F$12+BH133-J132-BI133))</f>
        <v/>
      </c>
      <c r="BL133">
        <f>IF(K132&lt;=0,0,K132*$E$13/12)</f>
        <v/>
      </c>
      <c r="BM133">
        <f>IF(K132&lt;=0,0,MIN(K132+BL133,$F$13+BK133))</f>
        <v/>
      </c>
      <c r="BN133">
        <f>IF(K132&lt;=0,BK133,MAX(0,$F$13+BK133-K132-BL133))</f>
        <v/>
      </c>
      <c r="BO133">
        <f>IF(L132&lt;=0,0,L132*$E$14/12)</f>
        <v/>
      </c>
      <c r="BP133">
        <f>IF(L132&lt;=0,0,MIN(L132+BO133,$F$14+BN133))</f>
        <v/>
      </c>
      <c r="BQ133">
        <f>IF(L132&lt;=0,BN133,MAX(0,$F$14+BN133-L132-BO133))</f>
        <v/>
      </c>
      <c r="BR133">
        <f>IF(M132&lt;=0,0,M132*$E$15/12)</f>
        <v/>
      </c>
      <c r="BS133">
        <f>IF(M132&lt;=0,0,MIN(M132+BR133,$F$15+BQ133))</f>
        <v/>
      </c>
      <c r="BT133">
        <f>IF(M132&lt;=0,BQ133,MAX(0,$F$15+BQ133-M132-BR133))</f>
        <v/>
      </c>
      <c r="BU133">
        <f>IF(N132&lt;=0,0,N132*$E$16/12)</f>
        <v/>
      </c>
      <c r="BV133">
        <f>IF(N132&lt;=0,0,MIN(N132+BU133,$F$16+BT133))</f>
        <v/>
      </c>
      <c r="BW133">
        <f>IF(N132&lt;=0,BT133,MAX(0,$F$16+BT133-N132-BU133))</f>
        <v/>
      </c>
      <c r="BX133">
        <f>IF(O132&lt;=0,0,O132*$E$17/12)</f>
        <v/>
      </c>
      <c r="BY133">
        <f>IF(O132&lt;=0,0,MIN(O132+BX133,$F$17+BW133))</f>
        <v/>
      </c>
      <c r="BZ133">
        <f>IF(O132&lt;=0,BW133,MAX(0,$F$17+BW133-O132-BX133))</f>
        <v/>
      </c>
      <c r="CA133">
        <f>IF(P132&lt;=0,0,P132*$E$18/12)</f>
        <v/>
      </c>
      <c r="CB133">
        <f>IF(P132&lt;=0,0,MIN(P132+CA133,$F$18+BZ133))</f>
        <v/>
      </c>
      <c r="CC133">
        <f>IF(P132&lt;=0,BZ133,MAX(0,$F$18+BZ133-P132-CA133))</f>
        <v/>
      </c>
      <c r="CD133">
        <f>IF(Q132&lt;=0,0,Q132*$E$19/12)</f>
        <v/>
      </c>
      <c r="CE133">
        <f>IF(Q132&lt;=0,0,MIN(Q132+CD133,$F$19+CC133))</f>
        <v/>
      </c>
      <c r="CF133">
        <f>IF(Q132&lt;=0,CC133,MAX(0,$F$19+CC133-Q132-CD133))</f>
        <v/>
      </c>
      <c r="CG133">
        <f>IF(R132&lt;=0,0,R132*$E$20/12)</f>
        <v/>
      </c>
      <c r="CH133">
        <f>IF(R132&lt;=0,0,MIN(R132+CG133,$F$20+CF133))</f>
        <v/>
      </c>
      <c r="CI133">
        <f>IF(R132&lt;=0,CF133,MAX(0,$F$20+CF133-R132-CG133))</f>
        <v/>
      </c>
      <c r="CJ133">
        <f>IF(S132&lt;=0,0,S132*$E$21/12)</f>
        <v/>
      </c>
      <c r="CK133">
        <f>IF(S132&lt;=0,0,MIN(S132+CJ133,$F$21+CI133))</f>
        <v/>
      </c>
      <c r="CL133">
        <f>IF(S132&lt;=0,CI133,MAX(0,$F$21+CI133-S132-CJ133))</f>
        <v/>
      </c>
      <c r="CM133">
        <f>IF(T132&lt;=0,0,T132*$E$22/12)</f>
        <v/>
      </c>
      <c r="CN133">
        <f>IF(T132&lt;=0,0,MIN(T132+CM133,$F$22+CL133))</f>
        <v/>
      </c>
      <c r="CO133">
        <f>IF(T132&lt;=0,CL133,MAX(0,$F$22+CL133-T132-CM133))</f>
        <v/>
      </c>
      <c r="CP133">
        <f>IF(U132&lt;=0,0,U132*$E$23/12)</f>
        <v/>
      </c>
      <c r="CQ133">
        <f>IF(U132&lt;=0,0,MIN(U132+CP133,$F$23+CO133))</f>
        <v/>
      </c>
      <c r="CR133">
        <f>IF(U132&lt;=0,CO133,MAX(0,$F$23+CO133-U132-CP133))</f>
        <v/>
      </c>
      <c r="CS133">
        <f>IF(V132&lt;=0,0,V132*$E$24/12)</f>
        <v/>
      </c>
      <c r="CT133">
        <f>IF(V132&lt;=0,0,MIN(V132+CS133,$F$24+CR133))</f>
        <v/>
      </c>
      <c r="CU133">
        <f>IF(V132&lt;=0,CR133,MAX(0,$F$24+CR133-V132-CS133))</f>
        <v/>
      </c>
    </row>
    <row r="134">
      <c r="B134" s="39" t="n">
        <v>108</v>
      </c>
      <c r="C134" s="13">
        <f>IF(C133&lt;=0,0,MAX(0,C133+AN134-AO134))</f>
        <v/>
      </c>
      <c r="D134" s="13">
        <f>IF(D133&lt;=0,0,MAX(0,D133+AQ134-AR134))</f>
        <v/>
      </c>
      <c r="E134" s="13">
        <f>IF(E133&lt;=0,0,MAX(0,E133+AT134-AU134))</f>
        <v/>
      </c>
      <c r="F134" s="13">
        <f>IF(F133&lt;=0,0,MAX(0,F133+AW134-AX134))</f>
        <v/>
      </c>
      <c r="G134" s="13">
        <f>IF(G133&lt;=0,0,MAX(0,G133+AZ134-BA134))</f>
        <v/>
      </c>
      <c r="H134" s="13">
        <f>IF(H133&lt;=0,0,MAX(0,H133+BC134-BD134))</f>
        <v/>
      </c>
      <c r="I134" s="13">
        <f>IF(I133&lt;=0,0,MAX(0,I133+BF134-BG134))</f>
        <v/>
      </c>
      <c r="J134" s="13">
        <f>IF(J133&lt;=0,0,MAX(0,J133+BI134-BJ134))</f>
        <v/>
      </c>
      <c r="K134" s="13">
        <f>IF(K133&lt;=0,0,MAX(0,K133+BL134-BM134))</f>
        <v/>
      </c>
      <c r="L134" s="13">
        <f>IF(L133&lt;=0,0,MAX(0,L133+BO134-BP134))</f>
        <v/>
      </c>
      <c r="M134" s="13">
        <f>IF(M133&lt;=0,0,MAX(0,M133+BR134-BS134))</f>
        <v/>
      </c>
      <c r="N134" s="13">
        <f>IF(N133&lt;=0,0,MAX(0,N133+BU134-BV134))</f>
        <v/>
      </c>
      <c r="O134" s="13">
        <f>IF(O133&lt;=0,0,MAX(0,O133+BX134-BY134))</f>
        <v/>
      </c>
      <c r="P134" s="13">
        <f>IF(P133&lt;=0,0,MAX(0,P133+CA134-CB134))</f>
        <v/>
      </c>
      <c r="Q134" s="13">
        <f>IF(Q133&lt;=0,0,MAX(0,Q133+CD134-CE134))</f>
        <v/>
      </c>
      <c r="R134" s="13">
        <f>IF(R133&lt;=0,0,MAX(0,R133+CG134-CH134))</f>
        <v/>
      </c>
      <c r="S134" s="13">
        <f>IF(S133&lt;=0,0,MAX(0,S133+CJ134-CK134))</f>
        <v/>
      </c>
      <c r="T134" s="13">
        <f>IF(T133&lt;=0,0,MAX(0,T133+CM134-CN134))</f>
        <v/>
      </c>
      <c r="U134" s="13">
        <f>IF(U133&lt;=0,0,MAX(0,U133+CP134-CQ134))</f>
        <v/>
      </c>
      <c r="V134" s="13">
        <f>IF(V133&lt;=0,0,MAX(0,V133+CS134-CT134))</f>
        <v/>
      </c>
      <c r="W134" s="13">
        <f>AO134+AR134+AU134+AX134+BA134+BD134+BG134+BJ134+BM134+BP134+BS134+BV134+BY134+CB134+CE134+CH134+CK134+CN134+CQ134+CT134</f>
        <v/>
      </c>
      <c r="X134" s="13">
        <f>AN134+AQ134+AT134+AW134+AZ134+BC134+BF134+BI134+BL134+BO134+BR134+BU134+BX134+CA134+CD134+CG134+CJ134+CM134+CP134+CS134</f>
        <v/>
      </c>
      <c r="Y134" s="27">
        <f>C134+D134+E134+F134+G134+H134+I134+J134+K134+L134+M134+N134+O134+P134+Q134+R134+S134+T134+U134+V134</f>
        <v/>
      </c>
      <c r="AN134">
        <f>IF(C133&lt;=0,0,C133*$E$5/12)</f>
        <v/>
      </c>
      <c r="AO134">
        <f>IF(C133&lt;=0,0,MIN(C133+AN134,$F$5+(Dashboard!$C$11+IF(C133&lt;=0,$F$5,0)+IF(D133&lt;=0,$F$6,0)+IF(E133&lt;=0,$F$7,0)+IF(F133&lt;=0,$F$8,0)+IF(G133&lt;=0,$F$9,0)+IF(H133&lt;=0,$F$10,0)+IF(I133&lt;=0,$F$11,0)+IF(J133&lt;=0,$F$12,0)+IF(K133&lt;=0,$F$13,0)+IF(L133&lt;=0,$F$14,0)+IF(M133&lt;=0,$F$15,0)+IF(N133&lt;=0,$F$16,0)+IF(O133&lt;=0,$F$17,0)+IF(P133&lt;=0,$F$18,0)+IF(Q133&lt;=0,$F$19,0)+IF(R133&lt;=0,$F$20,0)+IF(S133&lt;=0,$F$21,0)+IF(T133&lt;=0,$F$22,0)+IF(U133&lt;=0,$F$23,0)+IF(V133&lt;=0,$F$24,0))))</f>
        <v/>
      </c>
      <c r="AP134">
        <f>IF(C133&lt;=0,(Dashboard!$C$11+IF(C133&lt;=0,$F$5,0)+IF(D133&lt;=0,$F$6,0)+IF(E133&lt;=0,$F$7,0)+IF(F133&lt;=0,$F$8,0)+IF(G133&lt;=0,$F$9,0)+IF(H133&lt;=0,$F$10,0)+IF(I133&lt;=0,$F$11,0)+IF(J133&lt;=0,$F$12,0)+IF(K133&lt;=0,$F$13,0)+IF(L133&lt;=0,$F$14,0)+IF(M133&lt;=0,$F$15,0)+IF(N133&lt;=0,$F$16,0)+IF(O133&lt;=0,$F$17,0)+IF(P133&lt;=0,$F$18,0)+IF(Q133&lt;=0,$F$19,0)+IF(R133&lt;=0,$F$20,0)+IF(S133&lt;=0,$F$21,0)+IF(T133&lt;=0,$F$22,0)+IF(U133&lt;=0,$F$23,0)+IF(V133&lt;=0,$F$24,0)),MAX(0,$F$5+(Dashboard!$C$11+IF(C133&lt;=0,$F$5,0)+IF(D133&lt;=0,$F$6,0)+IF(E133&lt;=0,$F$7,0)+IF(F133&lt;=0,$F$8,0)+IF(G133&lt;=0,$F$9,0)+IF(H133&lt;=0,$F$10,0)+IF(I133&lt;=0,$F$11,0)+IF(J133&lt;=0,$F$12,0)+IF(K133&lt;=0,$F$13,0)+IF(L133&lt;=0,$F$14,0)+IF(M133&lt;=0,$F$15,0)+IF(N133&lt;=0,$F$16,0)+IF(O133&lt;=0,$F$17,0)+IF(P133&lt;=0,$F$18,0)+IF(Q133&lt;=0,$F$19,0)+IF(R133&lt;=0,$F$20,0)+IF(S133&lt;=0,$F$21,0)+IF(T133&lt;=0,$F$22,0)+IF(U133&lt;=0,$F$23,0)+IF(V133&lt;=0,$F$24,0))-C133-AN134))</f>
        <v/>
      </c>
      <c r="AQ134">
        <f>IF(D133&lt;=0,0,D133*$E$6/12)</f>
        <v/>
      </c>
      <c r="AR134">
        <f>IF(D133&lt;=0,0,MIN(D133+AQ134,$F$6+AP134))</f>
        <v/>
      </c>
      <c r="AS134">
        <f>IF(D133&lt;=0,AP134,MAX(0,$F$6+AP134-D133-AQ134))</f>
        <v/>
      </c>
      <c r="AT134">
        <f>IF(E133&lt;=0,0,E133*$E$7/12)</f>
        <v/>
      </c>
      <c r="AU134">
        <f>IF(E133&lt;=0,0,MIN(E133+AT134,$F$7+AS134))</f>
        <v/>
      </c>
      <c r="AV134">
        <f>IF(E133&lt;=0,AS134,MAX(0,$F$7+AS134-E133-AT134))</f>
        <v/>
      </c>
      <c r="AW134">
        <f>IF(F133&lt;=0,0,F133*$E$8/12)</f>
        <v/>
      </c>
      <c r="AX134">
        <f>IF(F133&lt;=0,0,MIN(F133+AW134,$F$8+AV134))</f>
        <v/>
      </c>
      <c r="AY134">
        <f>IF(F133&lt;=0,AV134,MAX(0,$F$8+AV134-F133-AW134))</f>
        <v/>
      </c>
      <c r="AZ134">
        <f>IF(G133&lt;=0,0,G133*$E$9/12)</f>
        <v/>
      </c>
      <c r="BA134">
        <f>IF(G133&lt;=0,0,MIN(G133+AZ134,$F$9+AY134))</f>
        <v/>
      </c>
      <c r="BB134">
        <f>IF(G133&lt;=0,AY134,MAX(0,$F$9+AY134-G133-AZ134))</f>
        <v/>
      </c>
      <c r="BC134">
        <f>IF(H133&lt;=0,0,H133*$E$10/12)</f>
        <v/>
      </c>
      <c r="BD134">
        <f>IF(H133&lt;=0,0,MIN(H133+BC134,$F$10+BB134))</f>
        <v/>
      </c>
      <c r="BE134">
        <f>IF(H133&lt;=0,BB134,MAX(0,$F$10+BB134-H133-BC134))</f>
        <v/>
      </c>
      <c r="BF134">
        <f>IF(I133&lt;=0,0,I133*$E$11/12)</f>
        <v/>
      </c>
      <c r="BG134">
        <f>IF(I133&lt;=0,0,MIN(I133+BF134,$F$11+BE134))</f>
        <v/>
      </c>
      <c r="BH134">
        <f>IF(I133&lt;=0,BE134,MAX(0,$F$11+BE134-I133-BF134))</f>
        <v/>
      </c>
      <c r="BI134">
        <f>IF(J133&lt;=0,0,J133*$E$12/12)</f>
        <v/>
      </c>
      <c r="BJ134">
        <f>IF(J133&lt;=0,0,MIN(J133+BI134,$F$12+BH134))</f>
        <v/>
      </c>
      <c r="BK134">
        <f>IF(J133&lt;=0,BH134,MAX(0,$F$12+BH134-J133-BI134))</f>
        <v/>
      </c>
      <c r="BL134">
        <f>IF(K133&lt;=0,0,K133*$E$13/12)</f>
        <v/>
      </c>
      <c r="BM134">
        <f>IF(K133&lt;=0,0,MIN(K133+BL134,$F$13+BK134))</f>
        <v/>
      </c>
      <c r="BN134">
        <f>IF(K133&lt;=0,BK134,MAX(0,$F$13+BK134-K133-BL134))</f>
        <v/>
      </c>
      <c r="BO134">
        <f>IF(L133&lt;=0,0,L133*$E$14/12)</f>
        <v/>
      </c>
      <c r="BP134">
        <f>IF(L133&lt;=0,0,MIN(L133+BO134,$F$14+BN134))</f>
        <v/>
      </c>
      <c r="BQ134">
        <f>IF(L133&lt;=0,BN134,MAX(0,$F$14+BN134-L133-BO134))</f>
        <v/>
      </c>
      <c r="BR134">
        <f>IF(M133&lt;=0,0,M133*$E$15/12)</f>
        <v/>
      </c>
      <c r="BS134">
        <f>IF(M133&lt;=0,0,MIN(M133+BR134,$F$15+BQ134))</f>
        <v/>
      </c>
      <c r="BT134">
        <f>IF(M133&lt;=0,BQ134,MAX(0,$F$15+BQ134-M133-BR134))</f>
        <v/>
      </c>
      <c r="BU134">
        <f>IF(N133&lt;=0,0,N133*$E$16/12)</f>
        <v/>
      </c>
      <c r="BV134">
        <f>IF(N133&lt;=0,0,MIN(N133+BU134,$F$16+BT134))</f>
        <v/>
      </c>
      <c r="BW134">
        <f>IF(N133&lt;=0,BT134,MAX(0,$F$16+BT134-N133-BU134))</f>
        <v/>
      </c>
      <c r="BX134">
        <f>IF(O133&lt;=0,0,O133*$E$17/12)</f>
        <v/>
      </c>
      <c r="BY134">
        <f>IF(O133&lt;=0,0,MIN(O133+BX134,$F$17+BW134))</f>
        <v/>
      </c>
      <c r="BZ134">
        <f>IF(O133&lt;=0,BW134,MAX(0,$F$17+BW134-O133-BX134))</f>
        <v/>
      </c>
      <c r="CA134">
        <f>IF(P133&lt;=0,0,P133*$E$18/12)</f>
        <v/>
      </c>
      <c r="CB134">
        <f>IF(P133&lt;=0,0,MIN(P133+CA134,$F$18+BZ134))</f>
        <v/>
      </c>
      <c r="CC134">
        <f>IF(P133&lt;=0,BZ134,MAX(0,$F$18+BZ134-P133-CA134))</f>
        <v/>
      </c>
      <c r="CD134">
        <f>IF(Q133&lt;=0,0,Q133*$E$19/12)</f>
        <v/>
      </c>
      <c r="CE134">
        <f>IF(Q133&lt;=0,0,MIN(Q133+CD134,$F$19+CC134))</f>
        <v/>
      </c>
      <c r="CF134">
        <f>IF(Q133&lt;=0,CC134,MAX(0,$F$19+CC134-Q133-CD134))</f>
        <v/>
      </c>
      <c r="CG134">
        <f>IF(R133&lt;=0,0,R133*$E$20/12)</f>
        <v/>
      </c>
      <c r="CH134">
        <f>IF(R133&lt;=0,0,MIN(R133+CG134,$F$20+CF134))</f>
        <v/>
      </c>
      <c r="CI134">
        <f>IF(R133&lt;=0,CF134,MAX(0,$F$20+CF134-R133-CG134))</f>
        <v/>
      </c>
      <c r="CJ134">
        <f>IF(S133&lt;=0,0,S133*$E$21/12)</f>
        <v/>
      </c>
      <c r="CK134">
        <f>IF(S133&lt;=0,0,MIN(S133+CJ134,$F$21+CI134))</f>
        <v/>
      </c>
      <c r="CL134">
        <f>IF(S133&lt;=0,CI134,MAX(0,$F$21+CI134-S133-CJ134))</f>
        <v/>
      </c>
      <c r="CM134">
        <f>IF(T133&lt;=0,0,T133*$E$22/12)</f>
        <v/>
      </c>
      <c r="CN134">
        <f>IF(T133&lt;=0,0,MIN(T133+CM134,$F$22+CL134))</f>
        <v/>
      </c>
      <c r="CO134">
        <f>IF(T133&lt;=0,CL134,MAX(0,$F$22+CL134-T133-CM134))</f>
        <v/>
      </c>
      <c r="CP134">
        <f>IF(U133&lt;=0,0,U133*$E$23/12)</f>
        <v/>
      </c>
      <c r="CQ134">
        <f>IF(U133&lt;=0,0,MIN(U133+CP134,$F$23+CO134))</f>
        <v/>
      </c>
      <c r="CR134">
        <f>IF(U133&lt;=0,CO134,MAX(0,$F$23+CO134-U133-CP134))</f>
        <v/>
      </c>
      <c r="CS134">
        <f>IF(V133&lt;=0,0,V133*$E$24/12)</f>
        <v/>
      </c>
      <c r="CT134">
        <f>IF(V133&lt;=0,0,MIN(V133+CS134,$F$24+CR134))</f>
        <v/>
      </c>
      <c r="CU134">
        <f>IF(V133&lt;=0,CR134,MAX(0,$F$24+CR134-V133-CS134))</f>
        <v/>
      </c>
    </row>
    <row r="135">
      <c r="B135" s="39" t="n">
        <v>109</v>
      </c>
      <c r="C135" s="13">
        <f>IF(C134&lt;=0,0,MAX(0,C134+AN135-AO135))</f>
        <v/>
      </c>
      <c r="D135" s="13">
        <f>IF(D134&lt;=0,0,MAX(0,D134+AQ135-AR135))</f>
        <v/>
      </c>
      <c r="E135" s="13">
        <f>IF(E134&lt;=0,0,MAX(0,E134+AT135-AU135))</f>
        <v/>
      </c>
      <c r="F135" s="13">
        <f>IF(F134&lt;=0,0,MAX(0,F134+AW135-AX135))</f>
        <v/>
      </c>
      <c r="G135" s="13">
        <f>IF(G134&lt;=0,0,MAX(0,G134+AZ135-BA135))</f>
        <v/>
      </c>
      <c r="H135" s="13">
        <f>IF(H134&lt;=0,0,MAX(0,H134+BC135-BD135))</f>
        <v/>
      </c>
      <c r="I135" s="13">
        <f>IF(I134&lt;=0,0,MAX(0,I134+BF135-BG135))</f>
        <v/>
      </c>
      <c r="J135" s="13">
        <f>IF(J134&lt;=0,0,MAX(0,J134+BI135-BJ135))</f>
        <v/>
      </c>
      <c r="K135" s="13">
        <f>IF(K134&lt;=0,0,MAX(0,K134+BL135-BM135))</f>
        <v/>
      </c>
      <c r="L135" s="13">
        <f>IF(L134&lt;=0,0,MAX(0,L134+BO135-BP135))</f>
        <v/>
      </c>
      <c r="M135" s="13">
        <f>IF(M134&lt;=0,0,MAX(0,M134+BR135-BS135))</f>
        <v/>
      </c>
      <c r="N135" s="13">
        <f>IF(N134&lt;=0,0,MAX(0,N134+BU135-BV135))</f>
        <v/>
      </c>
      <c r="O135" s="13">
        <f>IF(O134&lt;=0,0,MAX(0,O134+BX135-BY135))</f>
        <v/>
      </c>
      <c r="P135" s="13">
        <f>IF(P134&lt;=0,0,MAX(0,P134+CA135-CB135))</f>
        <v/>
      </c>
      <c r="Q135" s="13">
        <f>IF(Q134&lt;=0,0,MAX(0,Q134+CD135-CE135))</f>
        <v/>
      </c>
      <c r="R135" s="13">
        <f>IF(R134&lt;=0,0,MAX(0,R134+CG135-CH135))</f>
        <v/>
      </c>
      <c r="S135" s="13">
        <f>IF(S134&lt;=0,0,MAX(0,S134+CJ135-CK135))</f>
        <v/>
      </c>
      <c r="T135" s="13">
        <f>IF(T134&lt;=0,0,MAX(0,T134+CM135-CN135))</f>
        <v/>
      </c>
      <c r="U135" s="13">
        <f>IF(U134&lt;=0,0,MAX(0,U134+CP135-CQ135))</f>
        <v/>
      </c>
      <c r="V135" s="13">
        <f>IF(V134&lt;=0,0,MAX(0,V134+CS135-CT135))</f>
        <v/>
      </c>
      <c r="W135" s="13">
        <f>AO135+AR135+AU135+AX135+BA135+BD135+BG135+BJ135+BM135+BP135+BS135+BV135+BY135+CB135+CE135+CH135+CK135+CN135+CQ135+CT135</f>
        <v/>
      </c>
      <c r="X135" s="13">
        <f>AN135+AQ135+AT135+AW135+AZ135+BC135+BF135+BI135+BL135+BO135+BR135+BU135+BX135+CA135+CD135+CG135+CJ135+CM135+CP135+CS135</f>
        <v/>
      </c>
      <c r="Y135" s="27">
        <f>C135+D135+E135+F135+G135+H135+I135+J135+K135+L135+M135+N135+O135+P135+Q135+R135+S135+T135+U135+V135</f>
        <v/>
      </c>
      <c r="AN135">
        <f>IF(C134&lt;=0,0,C134*$E$5/12)</f>
        <v/>
      </c>
      <c r="AO135">
        <f>IF(C134&lt;=0,0,MIN(C134+AN135,$F$5+(Dashboard!$C$11+IF(C134&lt;=0,$F$5,0)+IF(D134&lt;=0,$F$6,0)+IF(E134&lt;=0,$F$7,0)+IF(F134&lt;=0,$F$8,0)+IF(G134&lt;=0,$F$9,0)+IF(H134&lt;=0,$F$10,0)+IF(I134&lt;=0,$F$11,0)+IF(J134&lt;=0,$F$12,0)+IF(K134&lt;=0,$F$13,0)+IF(L134&lt;=0,$F$14,0)+IF(M134&lt;=0,$F$15,0)+IF(N134&lt;=0,$F$16,0)+IF(O134&lt;=0,$F$17,0)+IF(P134&lt;=0,$F$18,0)+IF(Q134&lt;=0,$F$19,0)+IF(R134&lt;=0,$F$20,0)+IF(S134&lt;=0,$F$21,0)+IF(T134&lt;=0,$F$22,0)+IF(U134&lt;=0,$F$23,0)+IF(V134&lt;=0,$F$24,0))))</f>
        <v/>
      </c>
      <c r="AP135">
        <f>IF(C134&lt;=0,(Dashboard!$C$11+IF(C134&lt;=0,$F$5,0)+IF(D134&lt;=0,$F$6,0)+IF(E134&lt;=0,$F$7,0)+IF(F134&lt;=0,$F$8,0)+IF(G134&lt;=0,$F$9,0)+IF(H134&lt;=0,$F$10,0)+IF(I134&lt;=0,$F$11,0)+IF(J134&lt;=0,$F$12,0)+IF(K134&lt;=0,$F$13,0)+IF(L134&lt;=0,$F$14,0)+IF(M134&lt;=0,$F$15,0)+IF(N134&lt;=0,$F$16,0)+IF(O134&lt;=0,$F$17,0)+IF(P134&lt;=0,$F$18,0)+IF(Q134&lt;=0,$F$19,0)+IF(R134&lt;=0,$F$20,0)+IF(S134&lt;=0,$F$21,0)+IF(T134&lt;=0,$F$22,0)+IF(U134&lt;=0,$F$23,0)+IF(V134&lt;=0,$F$24,0)),MAX(0,$F$5+(Dashboard!$C$11+IF(C134&lt;=0,$F$5,0)+IF(D134&lt;=0,$F$6,0)+IF(E134&lt;=0,$F$7,0)+IF(F134&lt;=0,$F$8,0)+IF(G134&lt;=0,$F$9,0)+IF(H134&lt;=0,$F$10,0)+IF(I134&lt;=0,$F$11,0)+IF(J134&lt;=0,$F$12,0)+IF(K134&lt;=0,$F$13,0)+IF(L134&lt;=0,$F$14,0)+IF(M134&lt;=0,$F$15,0)+IF(N134&lt;=0,$F$16,0)+IF(O134&lt;=0,$F$17,0)+IF(P134&lt;=0,$F$18,0)+IF(Q134&lt;=0,$F$19,0)+IF(R134&lt;=0,$F$20,0)+IF(S134&lt;=0,$F$21,0)+IF(T134&lt;=0,$F$22,0)+IF(U134&lt;=0,$F$23,0)+IF(V134&lt;=0,$F$24,0))-C134-AN135))</f>
        <v/>
      </c>
      <c r="AQ135">
        <f>IF(D134&lt;=0,0,D134*$E$6/12)</f>
        <v/>
      </c>
      <c r="AR135">
        <f>IF(D134&lt;=0,0,MIN(D134+AQ135,$F$6+AP135))</f>
        <v/>
      </c>
      <c r="AS135">
        <f>IF(D134&lt;=0,AP135,MAX(0,$F$6+AP135-D134-AQ135))</f>
        <v/>
      </c>
      <c r="AT135">
        <f>IF(E134&lt;=0,0,E134*$E$7/12)</f>
        <v/>
      </c>
      <c r="AU135">
        <f>IF(E134&lt;=0,0,MIN(E134+AT135,$F$7+AS135))</f>
        <v/>
      </c>
      <c r="AV135">
        <f>IF(E134&lt;=0,AS135,MAX(0,$F$7+AS135-E134-AT135))</f>
        <v/>
      </c>
      <c r="AW135">
        <f>IF(F134&lt;=0,0,F134*$E$8/12)</f>
        <v/>
      </c>
      <c r="AX135">
        <f>IF(F134&lt;=0,0,MIN(F134+AW135,$F$8+AV135))</f>
        <v/>
      </c>
      <c r="AY135">
        <f>IF(F134&lt;=0,AV135,MAX(0,$F$8+AV135-F134-AW135))</f>
        <v/>
      </c>
      <c r="AZ135">
        <f>IF(G134&lt;=0,0,G134*$E$9/12)</f>
        <v/>
      </c>
      <c r="BA135">
        <f>IF(G134&lt;=0,0,MIN(G134+AZ135,$F$9+AY135))</f>
        <v/>
      </c>
      <c r="BB135">
        <f>IF(G134&lt;=0,AY135,MAX(0,$F$9+AY135-G134-AZ135))</f>
        <v/>
      </c>
      <c r="BC135">
        <f>IF(H134&lt;=0,0,H134*$E$10/12)</f>
        <v/>
      </c>
      <c r="BD135">
        <f>IF(H134&lt;=0,0,MIN(H134+BC135,$F$10+BB135))</f>
        <v/>
      </c>
      <c r="BE135">
        <f>IF(H134&lt;=0,BB135,MAX(0,$F$10+BB135-H134-BC135))</f>
        <v/>
      </c>
      <c r="BF135">
        <f>IF(I134&lt;=0,0,I134*$E$11/12)</f>
        <v/>
      </c>
      <c r="BG135">
        <f>IF(I134&lt;=0,0,MIN(I134+BF135,$F$11+BE135))</f>
        <v/>
      </c>
      <c r="BH135">
        <f>IF(I134&lt;=0,BE135,MAX(0,$F$11+BE135-I134-BF135))</f>
        <v/>
      </c>
      <c r="BI135">
        <f>IF(J134&lt;=0,0,J134*$E$12/12)</f>
        <v/>
      </c>
      <c r="BJ135">
        <f>IF(J134&lt;=0,0,MIN(J134+BI135,$F$12+BH135))</f>
        <v/>
      </c>
      <c r="BK135">
        <f>IF(J134&lt;=0,BH135,MAX(0,$F$12+BH135-J134-BI135))</f>
        <v/>
      </c>
      <c r="BL135">
        <f>IF(K134&lt;=0,0,K134*$E$13/12)</f>
        <v/>
      </c>
      <c r="BM135">
        <f>IF(K134&lt;=0,0,MIN(K134+BL135,$F$13+BK135))</f>
        <v/>
      </c>
      <c r="BN135">
        <f>IF(K134&lt;=0,BK135,MAX(0,$F$13+BK135-K134-BL135))</f>
        <v/>
      </c>
      <c r="BO135">
        <f>IF(L134&lt;=0,0,L134*$E$14/12)</f>
        <v/>
      </c>
      <c r="BP135">
        <f>IF(L134&lt;=0,0,MIN(L134+BO135,$F$14+BN135))</f>
        <v/>
      </c>
      <c r="BQ135">
        <f>IF(L134&lt;=0,BN135,MAX(0,$F$14+BN135-L134-BO135))</f>
        <v/>
      </c>
      <c r="BR135">
        <f>IF(M134&lt;=0,0,M134*$E$15/12)</f>
        <v/>
      </c>
      <c r="BS135">
        <f>IF(M134&lt;=0,0,MIN(M134+BR135,$F$15+BQ135))</f>
        <v/>
      </c>
      <c r="BT135">
        <f>IF(M134&lt;=0,BQ135,MAX(0,$F$15+BQ135-M134-BR135))</f>
        <v/>
      </c>
      <c r="BU135">
        <f>IF(N134&lt;=0,0,N134*$E$16/12)</f>
        <v/>
      </c>
      <c r="BV135">
        <f>IF(N134&lt;=0,0,MIN(N134+BU135,$F$16+BT135))</f>
        <v/>
      </c>
      <c r="BW135">
        <f>IF(N134&lt;=0,BT135,MAX(0,$F$16+BT135-N134-BU135))</f>
        <v/>
      </c>
      <c r="BX135">
        <f>IF(O134&lt;=0,0,O134*$E$17/12)</f>
        <v/>
      </c>
      <c r="BY135">
        <f>IF(O134&lt;=0,0,MIN(O134+BX135,$F$17+BW135))</f>
        <v/>
      </c>
      <c r="BZ135">
        <f>IF(O134&lt;=0,BW135,MAX(0,$F$17+BW135-O134-BX135))</f>
        <v/>
      </c>
      <c r="CA135">
        <f>IF(P134&lt;=0,0,P134*$E$18/12)</f>
        <v/>
      </c>
      <c r="CB135">
        <f>IF(P134&lt;=0,0,MIN(P134+CA135,$F$18+BZ135))</f>
        <v/>
      </c>
      <c r="CC135">
        <f>IF(P134&lt;=0,BZ135,MAX(0,$F$18+BZ135-P134-CA135))</f>
        <v/>
      </c>
      <c r="CD135">
        <f>IF(Q134&lt;=0,0,Q134*$E$19/12)</f>
        <v/>
      </c>
      <c r="CE135">
        <f>IF(Q134&lt;=0,0,MIN(Q134+CD135,$F$19+CC135))</f>
        <v/>
      </c>
      <c r="CF135">
        <f>IF(Q134&lt;=0,CC135,MAX(0,$F$19+CC135-Q134-CD135))</f>
        <v/>
      </c>
      <c r="CG135">
        <f>IF(R134&lt;=0,0,R134*$E$20/12)</f>
        <v/>
      </c>
      <c r="CH135">
        <f>IF(R134&lt;=0,0,MIN(R134+CG135,$F$20+CF135))</f>
        <v/>
      </c>
      <c r="CI135">
        <f>IF(R134&lt;=0,CF135,MAX(0,$F$20+CF135-R134-CG135))</f>
        <v/>
      </c>
      <c r="CJ135">
        <f>IF(S134&lt;=0,0,S134*$E$21/12)</f>
        <v/>
      </c>
      <c r="CK135">
        <f>IF(S134&lt;=0,0,MIN(S134+CJ135,$F$21+CI135))</f>
        <v/>
      </c>
      <c r="CL135">
        <f>IF(S134&lt;=0,CI135,MAX(0,$F$21+CI135-S134-CJ135))</f>
        <v/>
      </c>
      <c r="CM135">
        <f>IF(T134&lt;=0,0,T134*$E$22/12)</f>
        <v/>
      </c>
      <c r="CN135">
        <f>IF(T134&lt;=0,0,MIN(T134+CM135,$F$22+CL135))</f>
        <v/>
      </c>
      <c r="CO135">
        <f>IF(T134&lt;=0,CL135,MAX(0,$F$22+CL135-T134-CM135))</f>
        <v/>
      </c>
      <c r="CP135">
        <f>IF(U134&lt;=0,0,U134*$E$23/12)</f>
        <v/>
      </c>
      <c r="CQ135">
        <f>IF(U134&lt;=0,0,MIN(U134+CP135,$F$23+CO135))</f>
        <v/>
      </c>
      <c r="CR135">
        <f>IF(U134&lt;=0,CO135,MAX(0,$F$23+CO135-U134-CP135))</f>
        <v/>
      </c>
      <c r="CS135">
        <f>IF(V134&lt;=0,0,V134*$E$24/12)</f>
        <v/>
      </c>
      <c r="CT135">
        <f>IF(V134&lt;=0,0,MIN(V134+CS135,$F$24+CR135))</f>
        <v/>
      </c>
      <c r="CU135">
        <f>IF(V134&lt;=0,CR135,MAX(0,$F$24+CR135-V134-CS135))</f>
        <v/>
      </c>
    </row>
    <row r="136">
      <c r="B136" s="39" t="n">
        <v>110</v>
      </c>
      <c r="C136" s="13">
        <f>IF(C135&lt;=0,0,MAX(0,C135+AN136-AO136))</f>
        <v/>
      </c>
      <c r="D136" s="13">
        <f>IF(D135&lt;=0,0,MAX(0,D135+AQ136-AR136))</f>
        <v/>
      </c>
      <c r="E136" s="13">
        <f>IF(E135&lt;=0,0,MAX(0,E135+AT136-AU136))</f>
        <v/>
      </c>
      <c r="F136" s="13">
        <f>IF(F135&lt;=0,0,MAX(0,F135+AW136-AX136))</f>
        <v/>
      </c>
      <c r="G136" s="13">
        <f>IF(G135&lt;=0,0,MAX(0,G135+AZ136-BA136))</f>
        <v/>
      </c>
      <c r="H136" s="13">
        <f>IF(H135&lt;=0,0,MAX(0,H135+BC136-BD136))</f>
        <v/>
      </c>
      <c r="I136" s="13">
        <f>IF(I135&lt;=0,0,MAX(0,I135+BF136-BG136))</f>
        <v/>
      </c>
      <c r="J136" s="13">
        <f>IF(J135&lt;=0,0,MAX(0,J135+BI136-BJ136))</f>
        <v/>
      </c>
      <c r="K136" s="13">
        <f>IF(K135&lt;=0,0,MAX(0,K135+BL136-BM136))</f>
        <v/>
      </c>
      <c r="L136" s="13">
        <f>IF(L135&lt;=0,0,MAX(0,L135+BO136-BP136))</f>
        <v/>
      </c>
      <c r="M136" s="13">
        <f>IF(M135&lt;=0,0,MAX(0,M135+BR136-BS136))</f>
        <v/>
      </c>
      <c r="N136" s="13">
        <f>IF(N135&lt;=0,0,MAX(0,N135+BU136-BV136))</f>
        <v/>
      </c>
      <c r="O136" s="13">
        <f>IF(O135&lt;=0,0,MAX(0,O135+BX136-BY136))</f>
        <v/>
      </c>
      <c r="P136" s="13">
        <f>IF(P135&lt;=0,0,MAX(0,P135+CA136-CB136))</f>
        <v/>
      </c>
      <c r="Q136" s="13">
        <f>IF(Q135&lt;=0,0,MAX(0,Q135+CD136-CE136))</f>
        <v/>
      </c>
      <c r="R136" s="13">
        <f>IF(R135&lt;=0,0,MAX(0,R135+CG136-CH136))</f>
        <v/>
      </c>
      <c r="S136" s="13">
        <f>IF(S135&lt;=0,0,MAX(0,S135+CJ136-CK136))</f>
        <v/>
      </c>
      <c r="T136" s="13">
        <f>IF(T135&lt;=0,0,MAX(0,T135+CM136-CN136))</f>
        <v/>
      </c>
      <c r="U136" s="13">
        <f>IF(U135&lt;=0,0,MAX(0,U135+CP136-CQ136))</f>
        <v/>
      </c>
      <c r="V136" s="13">
        <f>IF(V135&lt;=0,0,MAX(0,V135+CS136-CT136))</f>
        <v/>
      </c>
      <c r="W136" s="13">
        <f>AO136+AR136+AU136+AX136+BA136+BD136+BG136+BJ136+BM136+BP136+BS136+BV136+BY136+CB136+CE136+CH136+CK136+CN136+CQ136+CT136</f>
        <v/>
      </c>
      <c r="X136" s="13">
        <f>AN136+AQ136+AT136+AW136+AZ136+BC136+BF136+BI136+BL136+BO136+BR136+BU136+BX136+CA136+CD136+CG136+CJ136+CM136+CP136+CS136</f>
        <v/>
      </c>
      <c r="Y136" s="27">
        <f>C136+D136+E136+F136+G136+H136+I136+J136+K136+L136+M136+N136+O136+P136+Q136+R136+S136+T136+U136+V136</f>
        <v/>
      </c>
      <c r="AN136">
        <f>IF(C135&lt;=0,0,C135*$E$5/12)</f>
        <v/>
      </c>
      <c r="AO136">
        <f>IF(C135&lt;=0,0,MIN(C135+AN136,$F$5+(Dashboard!$C$11+IF(C135&lt;=0,$F$5,0)+IF(D135&lt;=0,$F$6,0)+IF(E135&lt;=0,$F$7,0)+IF(F135&lt;=0,$F$8,0)+IF(G135&lt;=0,$F$9,0)+IF(H135&lt;=0,$F$10,0)+IF(I135&lt;=0,$F$11,0)+IF(J135&lt;=0,$F$12,0)+IF(K135&lt;=0,$F$13,0)+IF(L135&lt;=0,$F$14,0)+IF(M135&lt;=0,$F$15,0)+IF(N135&lt;=0,$F$16,0)+IF(O135&lt;=0,$F$17,0)+IF(P135&lt;=0,$F$18,0)+IF(Q135&lt;=0,$F$19,0)+IF(R135&lt;=0,$F$20,0)+IF(S135&lt;=0,$F$21,0)+IF(T135&lt;=0,$F$22,0)+IF(U135&lt;=0,$F$23,0)+IF(V135&lt;=0,$F$24,0))))</f>
        <v/>
      </c>
      <c r="AP136">
        <f>IF(C135&lt;=0,(Dashboard!$C$11+IF(C135&lt;=0,$F$5,0)+IF(D135&lt;=0,$F$6,0)+IF(E135&lt;=0,$F$7,0)+IF(F135&lt;=0,$F$8,0)+IF(G135&lt;=0,$F$9,0)+IF(H135&lt;=0,$F$10,0)+IF(I135&lt;=0,$F$11,0)+IF(J135&lt;=0,$F$12,0)+IF(K135&lt;=0,$F$13,0)+IF(L135&lt;=0,$F$14,0)+IF(M135&lt;=0,$F$15,0)+IF(N135&lt;=0,$F$16,0)+IF(O135&lt;=0,$F$17,0)+IF(P135&lt;=0,$F$18,0)+IF(Q135&lt;=0,$F$19,0)+IF(R135&lt;=0,$F$20,0)+IF(S135&lt;=0,$F$21,0)+IF(T135&lt;=0,$F$22,0)+IF(U135&lt;=0,$F$23,0)+IF(V135&lt;=0,$F$24,0)),MAX(0,$F$5+(Dashboard!$C$11+IF(C135&lt;=0,$F$5,0)+IF(D135&lt;=0,$F$6,0)+IF(E135&lt;=0,$F$7,0)+IF(F135&lt;=0,$F$8,0)+IF(G135&lt;=0,$F$9,0)+IF(H135&lt;=0,$F$10,0)+IF(I135&lt;=0,$F$11,0)+IF(J135&lt;=0,$F$12,0)+IF(K135&lt;=0,$F$13,0)+IF(L135&lt;=0,$F$14,0)+IF(M135&lt;=0,$F$15,0)+IF(N135&lt;=0,$F$16,0)+IF(O135&lt;=0,$F$17,0)+IF(P135&lt;=0,$F$18,0)+IF(Q135&lt;=0,$F$19,0)+IF(R135&lt;=0,$F$20,0)+IF(S135&lt;=0,$F$21,0)+IF(T135&lt;=0,$F$22,0)+IF(U135&lt;=0,$F$23,0)+IF(V135&lt;=0,$F$24,0))-C135-AN136))</f>
        <v/>
      </c>
      <c r="AQ136">
        <f>IF(D135&lt;=0,0,D135*$E$6/12)</f>
        <v/>
      </c>
      <c r="AR136">
        <f>IF(D135&lt;=0,0,MIN(D135+AQ136,$F$6+AP136))</f>
        <v/>
      </c>
      <c r="AS136">
        <f>IF(D135&lt;=0,AP136,MAX(0,$F$6+AP136-D135-AQ136))</f>
        <v/>
      </c>
      <c r="AT136">
        <f>IF(E135&lt;=0,0,E135*$E$7/12)</f>
        <v/>
      </c>
      <c r="AU136">
        <f>IF(E135&lt;=0,0,MIN(E135+AT136,$F$7+AS136))</f>
        <v/>
      </c>
      <c r="AV136">
        <f>IF(E135&lt;=0,AS136,MAX(0,$F$7+AS136-E135-AT136))</f>
        <v/>
      </c>
      <c r="AW136">
        <f>IF(F135&lt;=0,0,F135*$E$8/12)</f>
        <v/>
      </c>
      <c r="AX136">
        <f>IF(F135&lt;=0,0,MIN(F135+AW136,$F$8+AV136))</f>
        <v/>
      </c>
      <c r="AY136">
        <f>IF(F135&lt;=0,AV136,MAX(0,$F$8+AV136-F135-AW136))</f>
        <v/>
      </c>
      <c r="AZ136">
        <f>IF(G135&lt;=0,0,G135*$E$9/12)</f>
        <v/>
      </c>
      <c r="BA136">
        <f>IF(G135&lt;=0,0,MIN(G135+AZ136,$F$9+AY136))</f>
        <v/>
      </c>
      <c r="BB136">
        <f>IF(G135&lt;=0,AY136,MAX(0,$F$9+AY136-G135-AZ136))</f>
        <v/>
      </c>
      <c r="BC136">
        <f>IF(H135&lt;=0,0,H135*$E$10/12)</f>
        <v/>
      </c>
      <c r="BD136">
        <f>IF(H135&lt;=0,0,MIN(H135+BC136,$F$10+BB136))</f>
        <v/>
      </c>
      <c r="BE136">
        <f>IF(H135&lt;=0,BB136,MAX(0,$F$10+BB136-H135-BC136))</f>
        <v/>
      </c>
      <c r="BF136">
        <f>IF(I135&lt;=0,0,I135*$E$11/12)</f>
        <v/>
      </c>
      <c r="BG136">
        <f>IF(I135&lt;=0,0,MIN(I135+BF136,$F$11+BE136))</f>
        <v/>
      </c>
      <c r="BH136">
        <f>IF(I135&lt;=0,BE136,MAX(0,$F$11+BE136-I135-BF136))</f>
        <v/>
      </c>
      <c r="BI136">
        <f>IF(J135&lt;=0,0,J135*$E$12/12)</f>
        <v/>
      </c>
      <c r="BJ136">
        <f>IF(J135&lt;=0,0,MIN(J135+BI136,$F$12+BH136))</f>
        <v/>
      </c>
      <c r="BK136">
        <f>IF(J135&lt;=0,BH136,MAX(0,$F$12+BH136-J135-BI136))</f>
        <v/>
      </c>
      <c r="BL136">
        <f>IF(K135&lt;=0,0,K135*$E$13/12)</f>
        <v/>
      </c>
      <c r="BM136">
        <f>IF(K135&lt;=0,0,MIN(K135+BL136,$F$13+BK136))</f>
        <v/>
      </c>
      <c r="BN136">
        <f>IF(K135&lt;=0,BK136,MAX(0,$F$13+BK136-K135-BL136))</f>
        <v/>
      </c>
      <c r="BO136">
        <f>IF(L135&lt;=0,0,L135*$E$14/12)</f>
        <v/>
      </c>
      <c r="BP136">
        <f>IF(L135&lt;=0,0,MIN(L135+BO136,$F$14+BN136))</f>
        <v/>
      </c>
      <c r="BQ136">
        <f>IF(L135&lt;=0,BN136,MAX(0,$F$14+BN136-L135-BO136))</f>
        <v/>
      </c>
      <c r="BR136">
        <f>IF(M135&lt;=0,0,M135*$E$15/12)</f>
        <v/>
      </c>
      <c r="BS136">
        <f>IF(M135&lt;=0,0,MIN(M135+BR136,$F$15+BQ136))</f>
        <v/>
      </c>
      <c r="BT136">
        <f>IF(M135&lt;=0,BQ136,MAX(0,$F$15+BQ136-M135-BR136))</f>
        <v/>
      </c>
      <c r="BU136">
        <f>IF(N135&lt;=0,0,N135*$E$16/12)</f>
        <v/>
      </c>
      <c r="BV136">
        <f>IF(N135&lt;=0,0,MIN(N135+BU136,$F$16+BT136))</f>
        <v/>
      </c>
      <c r="BW136">
        <f>IF(N135&lt;=0,BT136,MAX(0,$F$16+BT136-N135-BU136))</f>
        <v/>
      </c>
      <c r="BX136">
        <f>IF(O135&lt;=0,0,O135*$E$17/12)</f>
        <v/>
      </c>
      <c r="BY136">
        <f>IF(O135&lt;=0,0,MIN(O135+BX136,$F$17+BW136))</f>
        <v/>
      </c>
      <c r="BZ136">
        <f>IF(O135&lt;=0,BW136,MAX(0,$F$17+BW136-O135-BX136))</f>
        <v/>
      </c>
      <c r="CA136">
        <f>IF(P135&lt;=0,0,P135*$E$18/12)</f>
        <v/>
      </c>
      <c r="CB136">
        <f>IF(P135&lt;=0,0,MIN(P135+CA136,$F$18+BZ136))</f>
        <v/>
      </c>
      <c r="CC136">
        <f>IF(P135&lt;=0,BZ136,MAX(0,$F$18+BZ136-P135-CA136))</f>
        <v/>
      </c>
      <c r="CD136">
        <f>IF(Q135&lt;=0,0,Q135*$E$19/12)</f>
        <v/>
      </c>
      <c r="CE136">
        <f>IF(Q135&lt;=0,0,MIN(Q135+CD136,$F$19+CC136))</f>
        <v/>
      </c>
      <c r="CF136">
        <f>IF(Q135&lt;=0,CC136,MAX(0,$F$19+CC136-Q135-CD136))</f>
        <v/>
      </c>
      <c r="CG136">
        <f>IF(R135&lt;=0,0,R135*$E$20/12)</f>
        <v/>
      </c>
      <c r="CH136">
        <f>IF(R135&lt;=0,0,MIN(R135+CG136,$F$20+CF136))</f>
        <v/>
      </c>
      <c r="CI136">
        <f>IF(R135&lt;=0,CF136,MAX(0,$F$20+CF136-R135-CG136))</f>
        <v/>
      </c>
      <c r="CJ136">
        <f>IF(S135&lt;=0,0,S135*$E$21/12)</f>
        <v/>
      </c>
      <c r="CK136">
        <f>IF(S135&lt;=0,0,MIN(S135+CJ136,$F$21+CI136))</f>
        <v/>
      </c>
      <c r="CL136">
        <f>IF(S135&lt;=0,CI136,MAX(0,$F$21+CI136-S135-CJ136))</f>
        <v/>
      </c>
      <c r="CM136">
        <f>IF(T135&lt;=0,0,T135*$E$22/12)</f>
        <v/>
      </c>
      <c r="CN136">
        <f>IF(T135&lt;=0,0,MIN(T135+CM136,$F$22+CL136))</f>
        <v/>
      </c>
      <c r="CO136">
        <f>IF(T135&lt;=0,CL136,MAX(0,$F$22+CL136-T135-CM136))</f>
        <v/>
      </c>
      <c r="CP136">
        <f>IF(U135&lt;=0,0,U135*$E$23/12)</f>
        <v/>
      </c>
      <c r="CQ136">
        <f>IF(U135&lt;=0,0,MIN(U135+CP136,$F$23+CO136))</f>
        <v/>
      </c>
      <c r="CR136">
        <f>IF(U135&lt;=0,CO136,MAX(0,$F$23+CO136-U135-CP136))</f>
        <v/>
      </c>
      <c r="CS136">
        <f>IF(V135&lt;=0,0,V135*$E$24/12)</f>
        <v/>
      </c>
      <c r="CT136">
        <f>IF(V135&lt;=0,0,MIN(V135+CS136,$F$24+CR136))</f>
        <v/>
      </c>
      <c r="CU136">
        <f>IF(V135&lt;=0,CR136,MAX(0,$F$24+CR136-V135-CS136))</f>
        <v/>
      </c>
    </row>
    <row r="137">
      <c r="B137" s="39" t="n">
        <v>111</v>
      </c>
      <c r="C137" s="13">
        <f>IF(C136&lt;=0,0,MAX(0,C136+AN137-AO137))</f>
        <v/>
      </c>
      <c r="D137" s="13">
        <f>IF(D136&lt;=0,0,MAX(0,D136+AQ137-AR137))</f>
        <v/>
      </c>
      <c r="E137" s="13">
        <f>IF(E136&lt;=0,0,MAX(0,E136+AT137-AU137))</f>
        <v/>
      </c>
      <c r="F137" s="13">
        <f>IF(F136&lt;=0,0,MAX(0,F136+AW137-AX137))</f>
        <v/>
      </c>
      <c r="G137" s="13">
        <f>IF(G136&lt;=0,0,MAX(0,G136+AZ137-BA137))</f>
        <v/>
      </c>
      <c r="H137" s="13">
        <f>IF(H136&lt;=0,0,MAX(0,H136+BC137-BD137))</f>
        <v/>
      </c>
      <c r="I137" s="13">
        <f>IF(I136&lt;=0,0,MAX(0,I136+BF137-BG137))</f>
        <v/>
      </c>
      <c r="J137" s="13">
        <f>IF(J136&lt;=0,0,MAX(0,J136+BI137-BJ137))</f>
        <v/>
      </c>
      <c r="K137" s="13">
        <f>IF(K136&lt;=0,0,MAX(0,K136+BL137-BM137))</f>
        <v/>
      </c>
      <c r="L137" s="13">
        <f>IF(L136&lt;=0,0,MAX(0,L136+BO137-BP137))</f>
        <v/>
      </c>
      <c r="M137" s="13">
        <f>IF(M136&lt;=0,0,MAX(0,M136+BR137-BS137))</f>
        <v/>
      </c>
      <c r="N137" s="13">
        <f>IF(N136&lt;=0,0,MAX(0,N136+BU137-BV137))</f>
        <v/>
      </c>
      <c r="O137" s="13">
        <f>IF(O136&lt;=0,0,MAX(0,O136+BX137-BY137))</f>
        <v/>
      </c>
      <c r="P137" s="13">
        <f>IF(P136&lt;=0,0,MAX(0,P136+CA137-CB137))</f>
        <v/>
      </c>
      <c r="Q137" s="13">
        <f>IF(Q136&lt;=0,0,MAX(0,Q136+CD137-CE137))</f>
        <v/>
      </c>
      <c r="R137" s="13">
        <f>IF(R136&lt;=0,0,MAX(0,R136+CG137-CH137))</f>
        <v/>
      </c>
      <c r="S137" s="13">
        <f>IF(S136&lt;=0,0,MAX(0,S136+CJ137-CK137))</f>
        <v/>
      </c>
      <c r="T137" s="13">
        <f>IF(T136&lt;=0,0,MAX(0,T136+CM137-CN137))</f>
        <v/>
      </c>
      <c r="U137" s="13">
        <f>IF(U136&lt;=0,0,MAX(0,U136+CP137-CQ137))</f>
        <v/>
      </c>
      <c r="V137" s="13">
        <f>IF(V136&lt;=0,0,MAX(0,V136+CS137-CT137))</f>
        <v/>
      </c>
      <c r="W137" s="13">
        <f>AO137+AR137+AU137+AX137+BA137+BD137+BG137+BJ137+BM137+BP137+BS137+BV137+BY137+CB137+CE137+CH137+CK137+CN137+CQ137+CT137</f>
        <v/>
      </c>
      <c r="X137" s="13">
        <f>AN137+AQ137+AT137+AW137+AZ137+BC137+BF137+BI137+BL137+BO137+BR137+BU137+BX137+CA137+CD137+CG137+CJ137+CM137+CP137+CS137</f>
        <v/>
      </c>
      <c r="Y137" s="27">
        <f>C137+D137+E137+F137+G137+H137+I137+J137+K137+L137+M137+N137+O137+P137+Q137+R137+S137+T137+U137+V137</f>
        <v/>
      </c>
      <c r="AN137">
        <f>IF(C136&lt;=0,0,C136*$E$5/12)</f>
        <v/>
      </c>
      <c r="AO137">
        <f>IF(C136&lt;=0,0,MIN(C136+AN137,$F$5+(Dashboard!$C$11+IF(C136&lt;=0,$F$5,0)+IF(D136&lt;=0,$F$6,0)+IF(E136&lt;=0,$F$7,0)+IF(F136&lt;=0,$F$8,0)+IF(G136&lt;=0,$F$9,0)+IF(H136&lt;=0,$F$10,0)+IF(I136&lt;=0,$F$11,0)+IF(J136&lt;=0,$F$12,0)+IF(K136&lt;=0,$F$13,0)+IF(L136&lt;=0,$F$14,0)+IF(M136&lt;=0,$F$15,0)+IF(N136&lt;=0,$F$16,0)+IF(O136&lt;=0,$F$17,0)+IF(P136&lt;=0,$F$18,0)+IF(Q136&lt;=0,$F$19,0)+IF(R136&lt;=0,$F$20,0)+IF(S136&lt;=0,$F$21,0)+IF(T136&lt;=0,$F$22,0)+IF(U136&lt;=0,$F$23,0)+IF(V136&lt;=0,$F$24,0))))</f>
        <v/>
      </c>
      <c r="AP137">
        <f>IF(C136&lt;=0,(Dashboard!$C$11+IF(C136&lt;=0,$F$5,0)+IF(D136&lt;=0,$F$6,0)+IF(E136&lt;=0,$F$7,0)+IF(F136&lt;=0,$F$8,0)+IF(G136&lt;=0,$F$9,0)+IF(H136&lt;=0,$F$10,0)+IF(I136&lt;=0,$F$11,0)+IF(J136&lt;=0,$F$12,0)+IF(K136&lt;=0,$F$13,0)+IF(L136&lt;=0,$F$14,0)+IF(M136&lt;=0,$F$15,0)+IF(N136&lt;=0,$F$16,0)+IF(O136&lt;=0,$F$17,0)+IF(P136&lt;=0,$F$18,0)+IF(Q136&lt;=0,$F$19,0)+IF(R136&lt;=0,$F$20,0)+IF(S136&lt;=0,$F$21,0)+IF(T136&lt;=0,$F$22,0)+IF(U136&lt;=0,$F$23,0)+IF(V136&lt;=0,$F$24,0)),MAX(0,$F$5+(Dashboard!$C$11+IF(C136&lt;=0,$F$5,0)+IF(D136&lt;=0,$F$6,0)+IF(E136&lt;=0,$F$7,0)+IF(F136&lt;=0,$F$8,0)+IF(G136&lt;=0,$F$9,0)+IF(H136&lt;=0,$F$10,0)+IF(I136&lt;=0,$F$11,0)+IF(J136&lt;=0,$F$12,0)+IF(K136&lt;=0,$F$13,0)+IF(L136&lt;=0,$F$14,0)+IF(M136&lt;=0,$F$15,0)+IF(N136&lt;=0,$F$16,0)+IF(O136&lt;=0,$F$17,0)+IF(P136&lt;=0,$F$18,0)+IF(Q136&lt;=0,$F$19,0)+IF(R136&lt;=0,$F$20,0)+IF(S136&lt;=0,$F$21,0)+IF(T136&lt;=0,$F$22,0)+IF(U136&lt;=0,$F$23,0)+IF(V136&lt;=0,$F$24,0))-C136-AN137))</f>
        <v/>
      </c>
      <c r="AQ137">
        <f>IF(D136&lt;=0,0,D136*$E$6/12)</f>
        <v/>
      </c>
      <c r="AR137">
        <f>IF(D136&lt;=0,0,MIN(D136+AQ137,$F$6+AP137))</f>
        <v/>
      </c>
      <c r="AS137">
        <f>IF(D136&lt;=0,AP137,MAX(0,$F$6+AP137-D136-AQ137))</f>
        <v/>
      </c>
      <c r="AT137">
        <f>IF(E136&lt;=0,0,E136*$E$7/12)</f>
        <v/>
      </c>
      <c r="AU137">
        <f>IF(E136&lt;=0,0,MIN(E136+AT137,$F$7+AS137))</f>
        <v/>
      </c>
      <c r="AV137">
        <f>IF(E136&lt;=0,AS137,MAX(0,$F$7+AS137-E136-AT137))</f>
        <v/>
      </c>
      <c r="AW137">
        <f>IF(F136&lt;=0,0,F136*$E$8/12)</f>
        <v/>
      </c>
      <c r="AX137">
        <f>IF(F136&lt;=0,0,MIN(F136+AW137,$F$8+AV137))</f>
        <v/>
      </c>
      <c r="AY137">
        <f>IF(F136&lt;=0,AV137,MAX(0,$F$8+AV137-F136-AW137))</f>
        <v/>
      </c>
      <c r="AZ137">
        <f>IF(G136&lt;=0,0,G136*$E$9/12)</f>
        <v/>
      </c>
      <c r="BA137">
        <f>IF(G136&lt;=0,0,MIN(G136+AZ137,$F$9+AY137))</f>
        <v/>
      </c>
      <c r="BB137">
        <f>IF(G136&lt;=0,AY137,MAX(0,$F$9+AY137-G136-AZ137))</f>
        <v/>
      </c>
      <c r="BC137">
        <f>IF(H136&lt;=0,0,H136*$E$10/12)</f>
        <v/>
      </c>
      <c r="BD137">
        <f>IF(H136&lt;=0,0,MIN(H136+BC137,$F$10+BB137))</f>
        <v/>
      </c>
      <c r="BE137">
        <f>IF(H136&lt;=0,BB137,MAX(0,$F$10+BB137-H136-BC137))</f>
        <v/>
      </c>
      <c r="BF137">
        <f>IF(I136&lt;=0,0,I136*$E$11/12)</f>
        <v/>
      </c>
      <c r="BG137">
        <f>IF(I136&lt;=0,0,MIN(I136+BF137,$F$11+BE137))</f>
        <v/>
      </c>
      <c r="BH137">
        <f>IF(I136&lt;=0,BE137,MAX(0,$F$11+BE137-I136-BF137))</f>
        <v/>
      </c>
      <c r="BI137">
        <f>IF(J136&lt;=0,0,J136*$E$12/12)</f>
        <v/>
      </c>
      <c r="BJ137">
        <f>IF(J136&lt;=0,0,MIN(J136+BI137,$F$12+BH137))</f>
        <v/>
      </c>
      <c r="BK137">
        <f>IF(J136&lt;=0,BH137,MAX(0,$F$12+BH137-J136-BI137))</f>
        <v/>
      </c>
      <c r="BL137">
        <f>IF(K136&lt;=0,0,K136*$E$13/12)</f>
        <v/>
      </c>
      <c r="BM137">
        <f>IF(K136&lt;=0,0,MIN(K136+BL137,$F$13+BK137))</f>
        <v/>
      </c>
      <c r="BN137">
        <f>IF(K136&lt;=0,BK137,MAX(0,$F$13+BK137-K136-BL137))</f>
        <v/>
      </c>
      <c r="BO137">
        <f>IF(L136&lt;=0,0,L136*$E$14/12)</f>
        <v/>
      </c>
      <c r="BP137">
        <f>IF(L136&lt;=0,0,MIN(L136+BO137,$F$14+BN137))</f>
        <v/>
      </c>
      <c r="BQ137">
        <f>IF(L136&lt;=0,BN137,MAX(0,$F$14+BN137-L136-BO137))</f>
        <v/>
      </c>
      <c r="BR137">
        <f>IF(M136&lt;=0,0,M136*$E$15/12)</f>
        <v/>
      </c>
      <c r="BS137">
        <f>IF(M136&lt;=0,0,MIN(M136+BR137,$F$15+BQ137))</f>
        <v/>
      </c>
      <c r="BT137">
        <f>IF(M136&lt;=0,BQ137,MAX(0,$F$15+BQ137-M136-BR137))</f>
        <v/>
      </c>
      <c r="BU137">
        <f>IF(N136&lt;=0,0,N136*$E$16/12)</f>
        <v/>
      </c>
      <c r="BV137">
        <f>IF(N136&lt;=0,0,MIN(N136+BU137,$F$16+BT137))</f>
        <v/>
      </c>
      <c r="BW137">
        <f>IF(N136&lt;=0,BT137,MAX(0,$F$16+BT137-N136-BU137))</f>
        <v/>
      </c>
      <c r="BX137">
        <f>IF(O136&lt;=0,0,O136*$E$17/12)</f>
        <v/>
      </c>
      <c r="BY137">
        <f>IF(O136&lt;=0,0,MIN(O136+BX137,$F$17+BW137))</f>
        <v/>
      </c>
      <c r="BZ137">
        <f>IF(O136&lt;=0,BW137,MAX(0,$F$17+BW137-O136-BX137))</f>
        <v/>
      </c>
      <c r="CA137">
        <f>IF(P136&lt;=0,0,P136*$E$18/12)</f>
        <v/>
      </c>
      <c r="CB137">
        <f>IF(P136&lt;=0,0,MIN(P136+CA137,$F$18+BZ137))</f>
        <v/>
      </c>
      <c r="CC137">
        <f>IF(P136&lt;=0,BZ137,MAX(0,$F$18+BZ137-P136-CA137))</f>
        <v/>
      </c>
      <c r="CD137">
        <f>IF(Q136&lt;=0,0,Q136*$E$19/12)</f>
        <v/>
      </c>
      <c r="CE137">
        <f>IF(Q136&lt;=0,0,MIN(Q136+CD137,$F$19+CC137))</f>
        <v/>
      </c>
      <c r="CF137">
        <f>IF(Q136&lt;=0,CC137,MAX(0,$F$19+CC137-Q136-CD137))</f>
        <v/>
      </c>
      <c r="CG137">
        <f>IF(R136&lt;=0,0,R136*$E$20/12)</f>
        <v/>
      </c>
      <c r="CH137">
        <f>IF(R136&lt;=0,0,MIN(R136+CG137,$F$20+CF137))</f>
        <v/>
      </c>
      <c r="CI137">
        <f>IF(R136&lt;=0,CF137,MAX(0,$F$20+CF137-R136-CG137))</f>
        <v/>
      </c>
      <c r="CJ137">
        <f>IF(S136&lt;=0,0,S136*$E$21/12)</f>
        <v/>
      </c>
      <c r="CK137">
        <f>IF(S136&lt;=0,0,MIN(S136+CJ137,$F$21+CI137))</f>
        <v/>
      </c>
      <c r="CL137">
        <f>IF(S136&lt;=0,CI137,MAX(0,$F$21+CI137-S136-CJ137))</f>
        <v/>
      </c>
      <c r="CM137">
        <f>IF(T136&lt;=0,0,T136*$E$22/12)</f>
        <v/>
      </c>
      <c r="CN137">
        <f>IF(T136&lt;=0,0,MIN(T136+CM137,$F$22+CL137))</f>
        <v/>
      </c>
      <c r="CO137">
        <f>IF(T136&lt;=0,CL137,MAX(0,$F$22+CL137-T136-CM137))</f>
        <v/>
      </c>
      <c r="CP137">
        <f>IF(U136&lt;=0,0,U136*$E$23/12)</f>
        <v/>
      </c>
      <c r="CQ137">
        <f>IF(U136&lt;=0,0,MIN(U136+CP137,$F$23+CO137))</f>
        <v/>
      </c>
      <c r="CR137">
        <f>IF(U136&lt;=0,CO137,MAX(0,$F$23+CO137-U136-CP137))</f>
        <v/>
      </c>
      <c r="CS137">
        <f>IF(V136&lt;=0,0,V136*$E$24/12)</f>
        <v/>
      </c>
      <c r="CT137">
        <f>IF(V136&lt;=0,0,MIN(V136+CS137,$F$24+CR137))</f>
        <v/>
      </c>
      <c r="CU137">
        <f>IF(V136&lt;=0,CR137,MAX(0,$F$24+CR137-V136-CS137))</f>
        <v/>
      </c>
    </row>
    <row r="138">
      <c r="B138" s="39" t="n">
        <v>112</v>
      </c>
      <c r="C138" s="13">
        <f>IF(C137&lt;=0,0,MAX(0,C137+AN138-AO138))</f>
        <v/>
      </c>
      <c r="D138" s="13">
        <f>IF(D137&lt;=0,0,MAX(0,D137+AQ138-AR138))</f>
        <v/>
      </c>
      <c r="E138" s="13">
        <f>IF(E137&lt;=0,0,MAX(0,E137+AT138-AU138))</f>
        <v/>
      </c>
      <c r="F138" s="13">
        <f>IF(F137&lt;=0,0,MAX(0,F137+AW138-AX138))</f>
        <v/>
      </c>
      <c r="G138" s="13">
        <f>IF(G137&lt;=0,0,MAX(0,G137+AZ138-BA138))</f>
        <v/>
      </c>
      <c r="H138" s="13">
        <f>IF(H137&lt;=0,0,MAX(0,H137+BC138-BD138))</f>
        <v/>
      </c>
      <c r="I138" s="13">
        <f>IF(I137&lt;=0,0,MAX(0,I137+BF138-BG138))</f>
        <v/>
      </c>
      <c r="J138" s="13">
        <f>IF(J137&lt;=0,0,MAX(0,J137+BI138-BJ138))</f>
        <v/>
      </c>
      <c r="K138" s="13">
        <f>IF(K137&lt;=0,0,MAX(0,K137+BL138-BM138))</f>
        <v/>
      </c>
      <c r="L138" s="13">
        <f>IF(L137&lt;=0,0,MAX(0,L137+BO138-BP138))</f>
        <v/>
      </c>
      <c r="M138" s="13">
        <f>IF(M137&lt;=0,0,MAX(0,M137+BR138-BS138))</f>
        <v/>
      </c>
      <c r="N138" s="13">
        <f>IF(N137&lt;=0,0,MAX(0,N137+BU138-BV138))</f>
        <v/>
      </c>
      <c r="O138" s="13">
        <f>IF(O137&lt;=0,0,MAX(0,O137+BX138-BY138))</f>
        <v/>
      </c>
      <c r="P138" s="13">
        <f>IF(P137&lt;=0,0,MAX(0,P137+CA138-CB138))</f>
        <v/>
      </c>
      <c r="Q138" s="13">
        <f>IF(Q137&lt;=0,0,MAX(0,Q137+CD138-CE138))</f>
        <v/>
      </c>
      <c r="R138" s="13">
        <f>IF(R137&lt;=0,0,MAX(0,R137+CG138-CH138))</f>
        <v/>
      </c>
      <c r="S138" s="13">
        <f>IF(S137&lt;=0,0,MAX(0,S137+CJ138-CK138))</f>
        <v/>
      </c>
      <c r="T138" s="13">
        <f>IF(T137&lt;=0,0,MAX(0,T137+CM138-CN138))</f>
        <v/>
      </c>
      <c r="U138" s="13">
        <f>IF(U137&lt;=0,0,MAX(0,U137+CP138-CQ138))</f>
        <v/>
      </c>
      <c r="V138" s="13">
        <f>IF(V137&lt;=0,0,MAX(0,V137+CS138-CT138))</f>
        <v/>
      </c>
      <c r="W138" s="13">
        <f>AO138+AR138+AU138+AX138+BA138+BD138+BG138+BJ138+BM138+BP138+BS138+BV138+BY138+CB138+CE138+CH138+CK138+CN138+CQ138+CT138</f>
        <v/>
      </c>
      <c r="X138" s="13">
        <f>AN138+AQ138+AT138+AW138+AZ138+BC138+BF138+BI138+BL138+BO138+BR138+BU138+BX138+CA138+CD138+CG138+CJ138+CM138+CP138+CS138</f>
        <v/>
      </c>
      <c r="Y138" s="27">
        <f>C138+D138+E138+F138+G138+H138+I138+J138+K138+L138+M138+N138+O138+P138+Q138+R138+S138+T138+U138+V138</f>
        <v/>
      </c>
      <c r="AN138">
        <f>IF(C137&lt;=0,0,C137*$E$5/12)</f>
        <v/>
      </c>
      <c r="AO138">
        <f>IF(C137&lt;=0,0,MIN(C137+AN138,$F$5+(Dashboard!$C$11+IF(C137&lt;=0,$F$5,0)+IF(D137&lt;=0,$F$6,0)+IF(E137&lt;=0,$F$7,0)+IF(F137&lt;=0,$F$8,0)+IF(G137&lt;=0,$F$9,0)+IF(H137&lt;=0,$F$10,0)+IF(I137&lt;=0,$F$11,0)+IF(J137&lt;=0,$F$12,0)+IF(K137&lt;=0,$F$13,0)+IF(L137&lt;=0,$F$14,0)+IF(M137&lt;=0,$F$15,0)+IF(N137&lt;=0,$F$16,0)+IF(O137&lt;=0,$F$17,0)+IF(P137&lt;=0,$F$18,0)+IF(Q137&lt;=0,$F$19,0)+IF(R137&lt;=0,$F$20,0)+IF(S137&lt;=0,$F$21,0)+IF(T137&lt;=0,$F$22,0)+IF(U137&lt;=0,$F$23,0)+IF(V137&lt;=0,$F$24,0))))</f>
        <v/>
      </c>
      <c r="AP138">
        <f>IF(C137&lt;=0,(Dashboard!$C$11+IF(C137&lt;=0,$F$5,0)+IF(D137&lt;=0,$F$6,0)+IF(E137&lt;=0,$F$7,0)+IF(F137&lt;=0,$F$8,0)+IF(G137&lt;=0,$F$9,0)+IF(H137&lt;=0,$F$10,0)+IF(I137&lt;=0,$F$11,0)+IF(J137&lt;=0,$F$12,0)+IF(K137&lt;=0,$F$13,0)+IF(L137&lt;=0,$F$14,0)+IF(M137&lt;=0,$F$15,0)+IF(N137&lt;=0,$F$16,0)+IF(O137&lt;=0,$F$17,0)+IF(P137&lt;=0,$F$18,0)+IF(Q137&lt;=0,$F$19,0)+IF(R137&lt;=0,$F$20,0)+IF(S137&lt;=0,$F$21,0)+IF(T137&lt;=0,$F$22,0)+IF(U137&lt;=0,$F$23,0)+IF(V137&lt;=0,$F$24,0)),MAX(0,$F$5+(Dashboard!$C$11+IF(C137&lt;=0,$F$5,0)+IF(D137&lt;=0,$F$6,0)+IF(E137&lt;=0,$F$7,0)+IF(F137&lt;=0,$F$8,0)+IF(G137&lt;=0,$F$9,0)+IF(H137&lt;=0,$F$10,0)+IF(I137&lt;=0,$F$11,0)+IF(J137&lt;=0,$F$12,0)+IF(K137&lt;=0,$F$13,0)+IF(L137&lt;=0,$F$14,0)+IF(M137&lt;=0,$F$15,0)+IF(N137&lt;=0,$F$16,0)+IF(O137&lt;=0,$F$17,0)+IF(P137&lt;=0,$F$18,0)+IF(Q137&lt;=0,$F$19,0)+IF(R137&lt;=0,$F$20,0)+IF(S137&lt;=0,$F$21,0)+IF(T137&lt;=0,$F$22,0)+IF(U137&lt;=0,$F$23,0)+IF(V137&lt;=0,$F$24,0))-C137-AN138))</f>
        <v/>
      </c>
      <c r="AQ138">
        <f>IF(D137&lt;=0,0,D137*$E$6/12)</f>
        <v/>
      </c>
      <c r="AR138">
        <f>IF(D137&lt;=0,0,MIN(D137+AQ138,$F$6+AP138))</f>
        <v/>
      </c>
      <c r="AS138">
        <f>IF(D137&lt;=0,AP138,MAX(0,$F$6+AP138-D137-AQ138))</f>
        <v/>
      </c>
      <c r="AT138">
        <f>IF(E137&lt;=0,0,E137*$E$7/12)</f>
        <v/>
      </c>
      <c r="AU138">
        <f>IF(E137&lt;=0,0,MIN(E137+AT138,$F$7+AS138))</f>
        <v/>
      </c>
      <c r="AV138">
        <f>IF(E137&lt;=0,AS138,MAX(0,$F$7+AS138-E137-AT138))</f>
        <v/>
      </c>
      <c r="AW138">
        <f>IF(F137&lt;=0,0,F137*$E$8/12)</f>
        <v/>
      </c>
      <c r="AX138">
        <f>IF(F137&lt;=0,0,MIN(F137+AW138,$F$8+AV138))</f>
        <v/>
      </c>
      <c r="AY138">
        <f>IF(F137&lt;=0,AV138,MAX(0,$F$8+AV138-F137-AW138))</f>
        <v/>
      </c>
      <c r="AZ138">
        <f>IF(G137&lt;=0,0,G137*$E$9/12)</f>
        <v/>
      </c>
      <c r="BA138">
        <f>IF(G137&lt;=0,0,MIN(G137+AZ138,$F$9+AY138))</f>
        <v/>
      </c>
      <c r="BB138">
        <f>IF(G137&lt;=0,AY138,MAX(0,$F$9+AY138-G137-AZ138))</f>
        <v/>
      </c>
      <c r="BC138">
        <f>IF(H137&lt;=0,0,H137*$E$10/12)</f>
        <v/>
      </c>
      <c r="BD138">
        <f>IF(H137&lt;=0,0,MIN(H137+BC138,$F$10+BB138))</f>
        <v/>
      </c>
      <c r="BE138">
        <f>IF(H137&lt;=0,BB138,MAX(0,$F$10+BB138-H137-BC138))</f>
        <v/>
      </c>
      <c r="BF138">
        <f>IF(I137&lt;=0,0,I137*$E$11/12)</f>
        <v/>
      </c>
      <c r="BG138">
        <f>IF(I137&lt;=0,0,MIN(I137+BF138,$F$11+BE138))</f>
        <v/>
      </c>
      <c r="BH138">
        <f>IF(I137&lt;=0,BE138,MAX(0,$F$11+BE138-I137-BF138))</f>
        <v/>
      </c>
      <c r="BI138">
        <f>IF(J137&lt;=0,0,J137*$E$12/12)</f>
        <v/>
      </c>
      <c r="BJ138">
        <f>IF(J137&lt;=0,0,MIN(J137+BI138,$F$12+BH138))</f>
        <v/>
      </c>
      <c r="BK138">
        <f>IF(J137&lt;=0,BH138,MAX(0,$F$12+BH138-J137-BI138))</f>
        <v/>
      </c>
      <c r="BL138">
        <f>IF(K137&lt;=0,0,K137*$E$13/12)</f>
        <v/>
      </c>
      <c r="BM138">
        <f>IF(K137&lt;=0,0,MIN(K137+BL138,$F$13+BK138))</f>
        <v/>
      </c>
      <c r="BN138">
        <f>IF(K137&lt;=0,BK138,MAX(0,$F$13+BK138-K137-BL138))</f>
        <v/>
      </c>
      <c r="BO138">
        <f>IF(L137&lt;=0,0,L137*$E$14/12)</f>
        <v/>
      </c>
      <c r="BP138">
        <f>IF(L137&lt;=0,0,MIN(L137+BO138,$F$14+BN138))</f>
        <v/>
      </c>
      <c r="BQ138">
        <f>IF(L137&lt;=0,BN138,MAX(0,$F$14+BN138-L137-BO138))</f>
        <v/>
      </c>
      <c r="BR138">
        <f>IF(M137&lt;=0,0,M137*$E$15/12)</f>
        <v/>
      </c>
      <c r="BS138">
        <f>IF(M137&lt;=0,0,MIN(M137+BR138,$F$15+BQ138))</f>
        <v/>
      </c>
      <c r="BT138">
        <f>IF(M137&lt;=0,BQ138,MAX(0,$F$15+BQ138-M137-BR138))</f>
        <v/>
      </c>
      <c r="BU138">
        <f>IF(N137&lt;=0,0,N137*$E$16/12)</f>
        <v/>
      </c>
      <c r="BV138">
        <f>IF(N137&lt;=0,0,MIN(N137+BU138,$F$16+BT138))</f>
        <v/>
      </c>
      <c r="BW138">
        <f>IF(N137&lt;=0,BT138,MAX(0,$F$16+BT138-N137-BU138))</f>
        <v/>
      </c>
      <c r="BX138">
        <f>IF(O137&lt;=0,0,O137*$E$17/12)</f>
        <v/>
      </c>
      <c r="BY138">
        <f>IF(O137&lt;=0,0,MIN(O137+BX138,$F$17+BW138))</f>
        <v/>
      </c>
      <c r="BZ138">
        <f>IF(O137&lt;=0,BW138,MAX(0,$F$17+BW138-O137-BX138))</f>
        <v/>
      </c>
      <c r="CA138">
        <f>IF(P137&lt;=0,0,P137*$E$18/12)</f>
        <v/>
      </c>
      <c r="CB138">
        <f>IF(P137&lt;=0,0,MIN(P137+CA138,$F$18+BZ138))</f>
        <v/>
      </c>
      <c r="CC138">
        <f>IF(P137&lt;=0,BZ138,MAX(0,$F$18+BZ138-P137-CA138))</f>
        <v/>
      </c>
      <c r="CD138">
        <f>IF(Q137&lt;=0,0,Q137*$E$19/12)</f>
        <v/>
      </c>
      <c r="CE138">
        <f>IF(Q137&lt;=0,0,MIN(Q137+CD138,$F$19+CC138))</f>
        <v/>
      </c>
      <c r="CF138">
        <f>IF(Q137&lt;=0,CC138,MAX(0,$F$19+CC138-Q137-CD138))</f>
        <v/>
      </c>
      <c r="CG138">
        <f>IF(R137&lt;=0,0,R137*$E$20/12)</f>
        <v/>
      </c>
      <c r="CH138">
        <f>IF(R137&lt;=0,0,MIN(R137+CG138,$F$20+CF138))</f>
        <v/>
      </c>
      <c r="CI138">
        <f>IF(R137&lt;=0,CF138,MAX(0,$F$20+CF138-R137-CG138))</f>
        <v/>
      </c>
      <c r="CJ138">
        <f>IF(S137&lt;=0,0,S137*$E$21/12)</f>
        <v/>
      </c>
      <c r="CK138">
        <f>IF(S137&lt;=0,0,MIN(S137+CJ138,$F$21+CI138))</f>
        <v/>
      </c>
      <c r="CL138">
        <f>IF(S137&lt;=0,CI138,MAX(0,$F$21+CI138-S137-CJ138))</f>
        <v/>
      </c>
      <c r="CM138">
        <f>IF(T137&lt;=0,0,T137*$E$22/12)</f>
        <v/>
      </c>
      <c r="CN138">
        <f>IF(T137&lt;=0,0,MIN(T137+CM138,$F$22+CL138))</f>
        <v/>
      </c>
      <c r="CO138">
        <f>IF(T137&lt;=0,CL138,MAX(0,$F$22+CL138-T137-CM138))</f>
        <v/>
      </c>
      <c r="CP138">
        <f>IF(U137&lt;=0,0,U137*$E$23/12)</f>
        <v/>
      </c>
      <c r="CQ138">
        <f>IF(U137&lt;=0,0,MIN(U137+CP138,$F$23+CO138))</f>
        <v/>
      </c>
      <c r="CR138">
        <f>IF(U137&lt;=0,CO138,MAX(0,$F$23+CO138-U137-CP138))</f>
        <v/>
      </c>
      <c r="CS138">
        <f>IF(V137&lt;=0,0,V137*$E$24/12)</f>
        <v/>
      </c>
      <c r="CT138">
        <f>IF(V137&lt;=0,0,MIN(V137+CS138,$F$24+CR138))</f>
        <v/>
      </c>
      <c r="CU138">
        <f>IF(V137&lt;=0,CR138,MAX(0,$F$24+CR138-V137-CS138))</f>
        <v/>
      </c>
    </row>
    <row r="139">
      <c r="B139" s="39" t="n">
        <v>113</v>
      </c>
      <c r="C139" s="13">
        <f>IF(C138&lt;=0,0,MAX(0,C138+AN139-AO139))</f>
        <v/>
      </c>
      <c r="D139" s="13">
        <f>IF(D138&lt;=0,0,MAX(0,D138+AQ139-AR139))</f>
        <v/>
      </c>
      <c r="E139" s="13">
        <f>IF(E138&lt;=0,0,MAX(0,E138+AT139-AU139))</f>
        <v/>
      </c>
      <c r="F139" s="13">
        <f>IF(F138&lt;=0,0,MAX(0,F138+AW139-AX139))</f>
        <v/>
      </c>
      <c r="G139" s="13">
        <f>IF(G138&lt;=0,0,MAX(0,G138+AZ139-BA139))</f>
        <v/>
      </c>
      <c r="H139" s="13">
        <f>IF(H138&lt;=0,0,MAX(0,H138+BC139-BD139))</f>
        <v/>
      </c>
      <c r="I139" s="13">
        <f>IF(I138&lt;=0,0,MAX(0,I138+BF139-BG139))</f>
        <v/>
      </c>
      <c r="J139" s="13">
        <f>IF(J138&lt;=0,0,MAX(0,J138+BI139-BJ139))</f>
        <v/>
      </c>
      <c r="K139" s="13">
        <f>IF(K138&lt;=0,0,MAX(0,K138+BL139-BM139))</f>
        <v/>
      </c>
      <c r="L139" s="13">
        <f>IF(L138&lt;=0,0,MAX(0,L138+BO139-BP139))</f>
        <v/>
      </c>
      <c r="M139" s="13">
        <f>IF(M138&lt;=0,0,MAX(0,M138+BR139-BS139))</f>
        <v/>
      </c>
      <c r="N139" s="13">
        <f>IF(N138&lt;=0,0,MAX(0,N138+BU139-BV139))</f>
        <v/>
      </c>
      <c r="O139" s="13">
        <f>IF(O138&lt;=0,0,MAX(0,O138+BX139-BY139))</f>
        <v/>
      </c>
      <c r="P139" s="13">
        <f>IF(P138&lt;=0,0,MAX(0,P138+CA139-CB139))</f>
        <v/>
      </c>
      <c r="Q139" s="13">
        <f>IF(Q138&lt;=0,0,MAX(0,Q138+CD139-CE139))</f>
        <v/>
      </c>
      <c r="R139" s="13">
        <f>IF(R138&lt;=0,0,MAX(0,R138+CG139-CH139))</f>
        <v/>
      </c>
      <c r="S139" s="13">
        <f>IF(S138&lt;=0,0,MAX(0,S138+CJ139-CK139))</f>
        <v/>
      </c>
      <c r="T139" s="13">
        <f>IF(T138&lt;=0,0,MAX(0,T138+CM139-CN139))</f>
        <v/>
      </c>
      <c r="U139" s="13">
        <f>IF(U138&lt;=0,0,MAX(0,U138+CP139-CQ139))</f>
        <v/>
      </c>
      <c r="V139" s="13">
        <f>IF(V138&lt;=0,0,MAX(0,V138+CS139-CT139))</f>
        <v/>
      </c>
      <c r="W139" s="13">
        <f>AO139+AR139+AU139+AX139+BA139+BD139+BG139+BJ139+BM139+BP139+BS139+BV139+BY139+CB139+CE139+CH139+CK139+CN139+CQ139+CT139</f>
        <v/>
      </c>
      <c r="X139" s="13">
        <f>AN139+AQ139+AT139+AW139+AZ139+BC139+BF139+BI139+BL139+BO139+BR139+BU139+BX139+CA139+CD139+CG139+CJ139+CM139+CP139+CS139</f>
        <v/>
      </c>
      <c r="Y139" s="27">
        <f>C139+D139+E139+F139+G139+H139+I139+J139+K139+L139+M139+N139+O139+P139+Q139+R139+S139+T139+U139+V139</f>
        <v/>
      </c>
      <c r="AN139">
        <f>IF(C138&lt;=0,0,C138*$E$5/12)</f>
        <v/>
      </c>
      <c r="AO139">
        <f>IF(C138&lt;=0,0,MIN(C138+AN139,$F$5+(Dashboard!$C$11+IF(C138&lt;=0,$F$5,0)+IF(D138&lt;=0,$F$6,0)+IF(E138&lt;=0,$F$7,0)+IF(F138&lt;=0,$F$8,0)+IF(G138&lt;=0,$F$9,0)+IF(H138&lt;=0,$F$10,0)+IF(I138&lt;=0,$F$11,0)+IF(J138&lt;=0,$F$12,0)+IF(K138&lt;=0,$F$13,0)+IF(L138&lt;=0,$F$14,0)+IF(M138&lt;=0,$F$15,0)+IF(N138&lt;=0,$F$16,0)+IF(O138&lt;=0,$F$17,0)+IF(P138&lt;=0,$F$18,0)+IF(Q138&lt;=0,$F$19,0)+IF(R138&lt;=0,$F$20,0)+IF(S138&lt;=0,$F$21,0)+IF(T138&lt;=0,$F$22,0)+IF(U138&lt;=0,$F$23,0)+IF(V138&lt;=0,$F$24,0))))</f>
        <v/>
      </c>
      <c r="AP139">
        <f>IF(C138&lt;=0,(Dashboard!$C$11+IF(C138&lt;=0,$F$5,0)+IF(D138&lt;=0,$F$6,0)+IF(E138&lt;=0,$F$7,0)+IF(F138&lt;=0,$F$8,0)+IF(G138&lt;=0,$F$9,0)+IF(H138&lt;=0,$F$10,0)+IF(I138&lt;=0,$F$11,0)+IF(J138&lt;=0,$F$12,0)+IF(K138&lt;=0,$F$13,0)+IF(L138&lt;=0,$F$14,0)+IF(M138&lt;=0,$F$15,0)+IF(N138&lt;=0,$F$16,0)+IF(O138&lt;=0,$F$17,0)+IF(P138&lt;=0,$F$18,0)+IF(Q138&lt;=0,$F$19,0)+IF(R138&lt;=0,$F$20,0)+IF(S138&lt;=0,$F$21,0)+IF(T138&lt;=0,$F$22,0)+IF(U138&lt;=0,$F$23,0)+IF(V138&lt;=0,$F$24,0)),MAX(0,$F$5+(Dashboard!$C$11+IF(C138&lt;=0,$F$5,0)+IF(D138&lt;=0,$F$6,0)+IF(E138&lt;=0,$F$7,0)+IF(F138&lt;=0,$F$8,0)+IF(G138&lt;=0,$F$9,0)+IF(H138&lt;=0,$F$10,0)+IF(I138&lt;=0,$F$11,0)+IF(J138&lt;=0,$F$12,0)+IF(K138&lt;=0,$F$13,0)+IF(L138&lt;=0,$F$14,0)+IF(M138&lt;=0,$F$15,0)+IF(N138&lt;=0,$F$16,0)+IF(O138&lt;=0,$F$17,0)+IF(P138&lt;=0,$F$18,0)+IF(Q138&lt;=0,$F$19,0)+IF(R138&lt;=0,$F$20,0)+IF(S138&lt;=0,$F$21,0)+IF(T138&lt;=0,$F$22,0)+IF(U138&lt;=0,$F$23,0)+IF(V138&lt;=0,$F$24,0))-C138-AN139))</f>
        <v/>
      </c>
      <c r="AQ139">
        <f>IF(D138&lt;=0,0,D138*$E$6/12)</f>
        <v/>
      </c>
      <c r="AR139">
        <f>IF(D138&lt;=0,0,MIN(D138+AQ139,$F$6+AP139))</f>
        <v/>
      </c>
      <c r="AS139">
        <f>IF(D138&lt;=0,AP139,MAX(0,$F$6+AP139-D138-AQ139))</f>
        <v/>
      </c>
      <c r="AT139">
        <f>IF(E138&lt;=0,0,E138*$E$7/12)</f>
        <v/>
      </c>
      <c r="AU139">
        <f>IF(E138&lt;=0,0,MIN(E138+AT139,$F$7+AS139))</f>
        <v/>
      </c>
      <c r="AV139">
        <f>IF(E138&lt;=0,AS139,MAX(0,$F$7+AS139-E138-AT139))</f>
        <v/>
      </c>
      <c r="AW139">
        <f>IF(F138&lt;=0,0,F138*$E$8/12)</f>
        <v/>
      </c>
      <c r="AX139">
        <f>IF(F138&lt;=0,0,MIN(F138+AW139,$F$8+AV139))</f>
        <v/>
      </c>
      <c r="AY139">
        <f>IF(F138&lt;=0,AV139,MAX(0,$F$8+AV139-F138-AW139))</f>
        <v/>
      </c>
      <c r="AZ139">
        <f>IF(G138&lt;=0,0,G138*$E$9/12)</f>
        <v/>
      </c>
      <c r="BA139">
        <f>IF(G138&lt;=0,0,MIN(G138+AZ139,$F$9+AY139))</f>
        <v/>
      </c>
      <c r="BB139">
        <f>IF(G138&lt;=0,AY139,MAX(0,$F$9+AY139-G138-AZ139))</f>
        <v/>
      </c>
      <c r="BC139">
        <f>IF(H138&lt;=0,0,H138*$E$10/12)</f>
        <v/>
      </c>
      <c r="BD139">
        <f>IF(H138&lt;=0,0,MIN(H138+BC139,$F$10+BB139))</f>
        <v/>
      </c>
      <c r="BE139">
        <f>IF(H138&lt;=0,BB139,MAX(0,$F$10+BB139-H138-BC139))</f>
        <v/>
      </c>
      <c r="BF139">
        <f>IF(I138&lt;=0,0,I138*$E$11/12)</f>
        <v/>
      </c>
      <c r="BG139">
        <f>IF(I138&lt;=0,0,MIN(I138+BF139,$F$11+BE139))</f>
        <v/>
      </c>
      <c r="BH139">
        <f>IF(I138&lt;=0,BE139,MAX(0,$F$11+BE139-I138-BF139))</f>
        <v/>
      </c>
      <c r="BI139">
        <f>IF(J138&lt;=0,0,J138*$E$12/12)</f>
        <v/>
      </c>
      <c r="BJ139">
        <f>IF(J138&lt;=0,0,MIN(J138+BI139,$F$12+BH139))</f>
        <v/>
      </c>
      <c r="BK139">
        <f>IF(J138&lt;=0,BH139,MAX(0,$F$12+BH139-J138-BI139))</f>
        <v/>
      </c>
      <c r="BL139">
        <f>IF(K138&lt;=0,0,K138*$E$13/12)</f>
        <v/>
      </c>
      <c r="BM139">
        <f>IF(K138&lt;=0,0,MIN(K138+BL139,$F$13+BK139))</f>
        <v/>
      </c>
      <c r="BN139">
        <f>IF(K138&lt;=0,BK139,MAX(0,$F$13+BK139-K138-BL139))</f>
        <v/>
      </c>
      <c r="BO139">
        <f>IF(L138&lt;=0,0,L138*$E$14/12)</f>
        <v/>
      </c>
      <c r="BP139">
        <f>IF(L138&lt;=0,0,MIN(L138+BO139,$F$14+BN139))</f>
        <v/>
      </c>
      <c r="BQ139">
        <f>IF(L138&lt;=0,BN139,MAX(0,$F$14+BN139-L138-BO139))</f>
        <v/>
      </c>
      <c r="BR139">
        <f>IF(M138&lt;=0,0,M138*$E$15/12)</f>
        <v/>
      </c>
      <c r="BS139">
        <f>IF(M138&lt;=0,0,MIN(M138+BR139,$F$15+BQ139))</f>
        <v/>
      </c>
      <c r="BT139">
        <f>IF(M138&lt;=0,BQ139,MAX(0,$F$15+BQ139-M138-BR139))</f>
        <v/>
      </c>
      <c r="BU139">
        <f>IF(N138&lt;=0,0,N138*$E$16/12)</f>
        <v/>
      </c>
      <c r="BV139">
        <f>IF(N138&lt;=0,0,MIN(N138+BU139,$F$16+BT139))</f>
        <v/>
      </c>
      <c r="BW139">
        <f>IF(N138&lt;=0,BT139,MAX(0,$F$16+BT139-N138-BU139))</f>
        <v/>
      </c>
      <c r="BX139">
        <f>IF(O138&lt;=0,0,O138*$E$17/12)</f>
        <v/>
      </c>
      <c r="BY139">
        <f>IF(O138&lt;=0,0,MIN(O138+BX139,$F$17+BW139))</f>
        <v/>
      </c>
      <c r="BZ139">
        <f>IF(O138&lt;=0,BW139,MAX(0,$F$17+BW139-O138-BX139))</f>
        <v/>
      </c>
      <c r="CA139">
        <f>IF(P138&lt;=0,0,P138*$E$18/12)</f>
        <v/>
      </c>
      <c r="CB139">
        <f>IF(P138&lt;=0,0,MIN(P138+CA139,$F$18+BZ139))</f>
        <v/>
      </c>
      <c r="CC139">
        <f>IF(P138&lt;=0,BZ139,MAX(0,$F$18+BZ139-P138-CA139))</f>
        <v/>
      </c>
      <c r="CD139">
        <f>IF(Q138&lt;=0,0,Q138*$E$19/12)</f>
        <v/>
      </c>
      <c r="CE139">
        <f>IF(Q138&lt;=0,0,MIN(Q138+CD139,$F$19+CC139))</f>
        <v/>
      </c>
      <c r="CF139">
        <f>IF(Q138&lt;=0,CC139,MAX(0,$F$19+CC139-Q138-CD139))</f>
        <v/>
      </c>
      <c r="CG139">
        <f>IF(R138&lt;=0,0,R138*$E$20/12)</f>
        <v/>
      </c>
      <c r="CH139">
        <f>IF(R138&lt;=0,0,MIN(R138+CG139,$F$20+CF139))</f>
        <v/>
      </c>
      <c r="CI139">
        <f>IF(R138&lt;=0,CF139,MAX(0,$F$20+CF139-R138-CG139))</f>
        <v/>
      </c>
      <c r="CJ139">
        <f>IF(S138&lt;=0,0,S138*$E$21/12)</f>
        <v/>
      </c>
      <c r="CK139">
        <f>IF(S138&lt;=0,0,MIN(S138+CJ139,$F$21+CI139))</f>
        <v/>
      </c>
      <c r="CL139">
        <f>IF(S138&lt;=0,CI139,MAX(0,$F$21+CI139-S138-CJ139))</f>
        <v/>
      </c>
      <c r="CM139">
        <f>IF(T138&lt;=0,0,T138*$E$22/12)</f>
        <v/>
      </c>
      <c r="CN139">
        <f>IF(T138&lt;=0,0,MIN(T138+CM139,$F$22+CL139))</f>
        <v/>
      </c>
      <c r="CO139">
        <f>IF(T138&lt;=0,CL139,MAX(0,$F$22+CL139-T138-CM139))</f>
        <v/>
      </c>
      <c r="CP139">
        <f>IF(U138&lt;=0,0,U138*$E$23/12)</f>
        <v/>
      </c>
      <c r="CQ139">
        <f>IF(U138&lt;=0,0,MIN(U138+CP139,$F$23+CO139))</f>
        <v/>
      </c>
      <c r="CR139">
        <f>IF(U138&lt;=0,CO139,MAX(0,$F$23+CO139-U138-CP139))</f>
        <v/>
      </c>
      <c r="CS139">
        <f>IF(V138&lt;=0,0,V138*$E$24/12)</f>
        <v/>
      </c>
      <c r="CT139">
        <f>IF(V138&lt;=0,0,MIN(V138+CS139,$F$24+CR139))</f>
        <v/>
      </c>
      <c r="CU139">
        <f>IF(V138&lt;=0,CR139,MAX(0,$F$24+CR139-V138-CS139))</f>
        <v/>
      </c>
    </row>
    <row r="140">
      <c r="B140" s="39" t="n">
        <v>114</v>
      </c>
      <c r="C140" s="13">
        <f>IF(C139&lt;=0,0,MAX(0,C139+AN140-AO140))</f>
        <v/>
      </c>
      <c r="D140" s="13">
        <f>IF(D139&lt;=0,0,MAX(0,D139+AQ140-AR140))</f>
        <v/>
      </c>
      <c r="E140" s="13">
        <f>IF(E139&lt;=0,0,MAX(0,E139+AT140-AU140))</f>
        <v/>
      </c>
      <c r="F140" s="13">
        <f>IF(F139&lt;=0,0,MAX(0,F139+AW140-AX140))</f>
        <v/>
      </c>
      <c r="G140" s="13">
        <f>IF(G139&lt;=0,0,MAX(0,G139+AZ140-BA140))</f>
        <v/>
      </c>
      <c r="H140" s="13">
        <f>IF(H139&lt;=0,0,MAX(0,H139+BC140-BD140))</f>
        <v/>
      </c>
      <c r="I140" s="13">
        <f>IF(I139&lt;=0,0,MAX(0,I139+BF140-BG140))</f>
        <v/>
      </c>
      <c r="J140" s="13">
        <f>IF(J139&lt;=0,0,MAX(0,J139+BI140-BJ140))</f>
        <v/>
      </c>
      <c r="K140" s="13">
        <f>IF(K139&lt;=0,0,MAX(0,K139+BL140-BM140))</f>
        <v/>
      </c>
      <c r="L140" s="13">
        <f>IF(L139&lt;=0,0,MAX(0,L139+BO140-BP140))</f>
        <v/>
      </c>
      <c r="M140" s="13">
        <f>IF(M139&lt;=0,0,MAX(0,M139+BR140-BS140))</f>
        <v/>
      </c>
      <c r="N140" s="13">
        <f>IF(N139&lt;=0,0,MAX(0,N139+BU140-BV140))</f>
        <v/>
      </c>
      <c r="O140" s="13">
        <f>IF(O139&lt;=0,0,MAX(0,O139+BX140-BY140))</f>
        <v/>
      </c>
      <c r="P140" s="13">
        <f>IF(P139&lt;=0,0,MAX(0,P139+CA140-CB140))</f>
        <v/>
      </c>
      <c r="Q140" s="13">
        <f>IF(Q139&lt;=0,0,MAX(0,Q139+CD140-CE140))</f>
        <v/>
      </c>
      <c r="R140" s="13">
        <f>IF(R139&lt;=0,0,MAX(0,R139+CG140-CH140))</f>
        <v/>
      </c>
      <c r="S140" s="13">
        <f>IF(S139&lt;=0,0,MAX(0,S139+CJ140-CK140))</f>
        <v/>
      </c>
      <c r="T140" s="13">
        <f>IF(T139&lt;=0,0,MAX(0,T139+CM140-CN140))</f>
        <v/>
      </c>
      <c r="U140" s="13">
        <f>IF(U139&lt;=0,0,MAX(0,U139+CP140-CQ140))</f>
        <v/>
      </c>
      <c r="V140" s="13">
        <f>IF(V139&lt;=0,0,MAX(0,V139+CS140-CT140))</f>
        <v/>
      </c>
      <c r="W140" s="13">
        <f>AO140+AR140+AU140+AX140+BA140+BD140+BG140+BJ140+BM140+BP140+BS140+BV140+BY140+CB140+CE140+CH140+CK140+CN140+CQ140+CT140</f>
        <v/>
      </c>
      <c r="X140" s="13">
        <f>AN140+AQ140+AT140+AW140+AZ140+BC140+BF140+BI140+BL140+BO140+BR140+BU140+BX140+CA140+CD140+CG140+CJ140+CM140+CP140+CS140</f>
        <v/>
      </c>
      <c r="Y140" s="27">
        <f>C140+D140+E140+F140+G140+H140+I140+J140+K140+L140+M140+N140+O140+P140+Q140+R140+S140+T140+U140+V140</f>
        <v/>
      </c>
      <c r="AN140">
        <f>IF(C139&lt;=0,0,C139*$E$5/12)</f>
        <v/>
      </c>
      <c r="AO140">
        <f>IF(C139&lt;=0,0,MIN(C139+AN140,$F$5+(Dashboard!$C$11+IF(C139&lt;=0,$F$5,0)+IF(D139&lt;=0,$F$6,0)+IF(E139&lt;=0,$F$7,0)+IF(F139&lt;=0,$F$8,0)+IF(G139&lt;=0,$F$9,0)+IF(H139&lt;=0,$F$10,0)+IF(I139&lt;=0,$F$11,0)+IF(J139&lt;=0,$F$12,0)+IF(K139&lt;=0,$F$13,0)+IF(L139&lt;=0,$F$14,0)+IF(M139&lt;=0,$F$15,0)+IF(N139&lt;=0,$F$16,0)+IF(O139&lt;=0,$F$17,0)+IF(P139&lt;=0,$F$18,0)+IF(Q139&lt;=0,$F$19,0)+IF(R139&lt;=0,$F$20,0)+IF(S139&lt;=0,$F$21,0)+IF(T139&lt;=0,$F$22,0)+IF(U139&lt;=0,$F$23,0)+IF(V139&lt;=0,$F$24,0))))</f>
        <v/>
      </c>
      <c r="AP140">
        <f>IF(C139&lt;=0,(Dashboard!$C$11+IF(C139&lt;=0,$F$5,0)+IF(D139&lt;=0,$F$6,0)+IF(E139&lt;=0,$F$7,0)+IF(F139&lt;=0,$F$8,0)+IF(G139&lt;=0,$F$9,0)+IF(H139&lt;=0,$F$10,0)+IF(I139&lt;=0,$F$11,0)+IF(J139&lt;=0,$F$12,0)+IF(K139&lt;=0,$F$13,0)+IF(L139&lt;=0,$F$14,0)+IF(M139&lt;=0,$F$15,0)+IF(N139&lt;=0,$F$16,0)+IF(O139&lt;=0,$F$17,0)+IF(P139&lt;=0,$F$18,0)+IF(Q139&lt;=0,$F$19,0)+IF(R139&lt;=0,$F$20,0)+IF(S139&lt;=0,$F$21,0)+IF(T139&lt;=0,$F$22,0)+IF(U139&lt;=0,$F$23,0)+IF(V139&lt;=0,$F$24,0)),MAX(0,$F$5+(Dashboard!$C$11+IF(C139&lt;=0,$F$5,0)+IF(D139&lt;=0,$F$6,0)+IF(E139&lt;=0,$F$7,0)+IF(F139&lt;=0,$F$8,0)+IF(G139&lt;=0,$F$9,0)+IF(H139&lt;=0,$F$10,0)+IF(I139&lt;=0,$F$11,0)+IF(J139&lt;=0,$F$12,0)+IF(K139&lt;=0,$F$13,0)+IF(L139&lt;=0,$F$14,0)+IF(M139&lt;=0,$F$15,0)+IF(N139&lt;=0,$F$16,0)+IF(O139&lt;=0,$F$17,0)+IF(P139&lt;=0,$F$18,0)+IF(Q139&lt;=0,$F$19,0)+IF(R139&lt;=0,$F$20,0)+IF(S139&lt;=0,$F$21,0)+IF(T139&lt;=0,$F$22,0)+IF(U139&lt;=0,$F$23,0)+IF(V139&lt;=0,$F$24,0))-C139-AN140))</f>
        <v/>
      </c>
      <c r="AQ140">
        <f>IF(D139&lt;=0,0,D139*$E$6/12)</f>
        <v/>
      </c>
      <c r="AR140">
        <f>IF(D139&lt;=0,0,MIN(D139+AQ140,$F$6+AP140))</f>
        <v/>
      </c>
      <c r="AS140">
        <f>IF(D139&lt;=0,AP140,MAX(0,$F$6+AP140-D139-AQ140))</f>
        <v/>
      </c>
      <c r="AT140">
        <f>IF(E139&lt;=0,0,E139*$E$7/12)</f>
        <v/>
      </c>
      <c r="AU140">
        <f>IF(E139&lt;=0,0,MIN(E139+AT140,$F$7+AS140))</f>
        <v/>
      </c>
      <c r="AV140">
        <f>IF(E139&lt;=0,AS140,MAX(0,$F$7+AS140-E139-AT140))</f>
        <v/>
      </c>
      <c r="AW140">
        <f>IF(F139&lt;=0,0,F139*$E$8/12)</f>
        <v/>
      </c>
      <c r="AX140">
        <f>IF(F139&lt;=0,0,MIN(F139+AW140,$F$8+AV140))</f>
        <v/>
      </c>
      <c r="AY140">
        <f>IF(F139&lt;=0,AV140,MAX(0,$F$8+AV140-F139-AW140))</f>
        <v/>
      </c>
      <c r="AZ140">
        <f>IF(G139&lt;=0,0,G139*$E$9/12)</f>
        <v/>
      </c>
      <c r="BA140">
        <f>IF(G139&lt;=0,0,MIN(G139+AZ140,$F$9+AY140))</f>
        <v/>
      </c>
      <c r="BB140">
        <f>IF(G139&lt;=0,AY140,MAX(0,$F$9+AY140-G139-AZ140))</f>
        <v/>
      </c>
      <c r="BC140">
        <f>IF(H139&lt;=0,0,H139*$E$10/12)</f>
        <v/>
      </c>
      <c r="BD140">
        <f>IF(H139&lt;=0,0,MIN(H139+BC140,$F$10+BB140))</f>
        <v/>
      </c>
      <c r="BE140">
        <f>IF(H139&lt;=0,BB140,MAX(0,$F$10+BB140-H139-BC140))</f>
        <v/>
      </c>
      <c r="BF140">
        <f>IF(I139&lt;=0,0,I139*$E$11/12)</f>
        <v/>
      </c>
      <c r="BG140">
        <f>IF(I139&lt;=0,0,MIN(I139+BF140,$F$11+BE140))</f>
        <v/>
      </c>
      <c r="BH140">
        <f>IF(I139&lt;=0,BE140,MAX(0,$F$11+BE140-I139-BF140))</f>
        <v/>
      </c>
      <c r="BI140">
        <f>IF(J139&lt;=0,0,J139*$E$12/12)</f>
        <v/>
      </c>
      <c r="BJ140">
        <f>IF(J139&lt;=0,0,MIN(J139+BI140,$F$12+BH140))</f>
        <v/>
      </c>
      <c r="BK140">
        <f>IF(J139&lt;=0,BH140,MAX(0,$F$12+BH140-J139-BI140))</f>
        <v/>
      </c>
      <c r="BL140">
        <f>IF(K139&lt;=0,0,K139*$E$13/12)</f>
        <v/>
      </c>
      <c r="BM140">
        <f>IF(K139&lt;=0,0,MIN(K139+BL140,$F$13+BK140))</f>
        <v/>
      </c>
      <c r="BN140">
        <f>IF(K139&lt;=0,BK140,MAX(0,$F$13+BK140-K139-BL140))</f>
        <v/>
      </c>
      <c r="BO140">
        <f>IF(L139&lt;=0,0,L139*$E$14/12)</f>
        <v/>
      </c>
      <c r="BP140">
        <f>IF(L139&lt;=0,0,MIN(L139+BO140,$F$14+BN140))</f>
        <v/>
      </c>
      <c r="BQ140">
        <f>IF(L139&lt;=0,BN140,MAX(0,$F$14+BN140-L139-BO140))</f>
        <v/>
      </c>
      <c r="BR140">
        <f>IF(M139&lt;=0,0,M139*$E$15/12)</f>
        <v/>
      </c>
      <c r="BS140">
        <f>IF(M139&lt;=0,0,MIN(M139+BR140,$F$15+BQ140))</f>
        <v/>
      </c>
      <c r="BT140">
        <f>IF(M139&lt;=0,BQ140,MAX(0,$F$15+BQ140-M139-BR140))</f>
        <v/>
      </c>
      <c r="BU140">
        <f>IF(N139&lt;=0,0,N139*$E$16/12)</f>
        <v/>
      </c>
      <c r="BV140">
        <f>IF(N139&lt;=0,0,MIN(N139+BU140,$F$16+BT140))</f>
        <v/>
      </c>
      <c r="BW140">
        <f>IF(N139&lt;=0,BT140,MAX(0,$F$16+BT140-N139-BU140))</f>
        <v/>
      </c>
      <c r="BX140">
        <f>IF(O139&lt;=0,0,O139*$E$17/12)</f>
        <v/>
      </c>
      <c r="BY140">
        <f>IF(O139&lt;=0,0,MIN(O139+BX140,$F$17+BW140))</f>
        <v/>
      </c>
      <c r="BZ140">
        <f>IF(O139&lt;=0,BW140,MAX(0,$F$17+BW140-O139-BX140))</f>
        <v/>
      </c>
      <c r="CA140">
        <f>IF(P139&lt;=0,0,P139*$E$18/12)</f>
        <v/>
      </c>
      <c r="CB140">
        <f>IF(P139&lt;=0,0,MIN(P139+CA140,$F$18+BZ140))</f>
        <v/>
      </c>
      <c r="CC140">
        <f>IF(P139&lt;=0,BZ140,MAX(0,$F$18+BZ140-P139-CA140))</f>
        <v/>
      </c>
      <c r="CD140">
        <f>IF(Q139&lt;=0,0,Q139*$E$19/12)</f>
        <v/>
      </c>
      <c r="CE140">
        <f>IF(Q139&lt;=0,0,MIN(Q139+CD140,$F$19+CC140))</f>
        <v/>
      </c>
      <c r="CF140">
        <f>IF(Q139&lt;=0,CC140,MAX(0,$F$19+CC140-Q139-CD140))</f>
        <v/>
      </c>
      <c r="CG140">
        <f>IF(R139&lt;=0,0,R139*$E$20/12)</f>
        <v/>
      </c>
      <c r="CH140">
        <f>IF(R139&lt;=0,0,MIN(R139+CG140,$F$20+CF140))</f>
        <v/>
      </c>
      <c r="CI140">
        <f>IF(R139&lt;=0,CF140,MAX(0,$F$20+CF140-R139-CG140))</f>
        <v/>
      </c>
      <c r="CJ140">
        <f>IF(S139&lt;=0,0,S139*$E$21/12)</f>
        <v/>
      </c>
      <c r="CK140">
        <f>IF(S139&lt;=0,0,MIN(S139+CJ140,$F$21+CI140))</f>
        <v/>
      </c>
      <c r="CL140">
        <f>IF(S139&lt;=0,CI140,MAX(0,$F$21+CI140-S139-CJ140))</f>
        <v/>
      </c>
      <c r="CM140">
        <f>IF(T139&lt;=0,0,T139*$E$22/12)</f>
        <v/>
      </c>
      <c r="CN140">
        <f>IF(T139&lt;=0,0,MIN(T139+CM140,$F$22+CL140))</f>
        <v/>
      </c>
      <c r="CO140">
        <f>IF(T139&lt;=0,CL140,MAX(0,$F$22+CL140-T139-CM140))</f>
        <v/>
      </c>
      <c r="CP140">
        <f>IF(U139&lt;=0,0,U139*$E$23/12)</f>
        <v/>
      </c>
      <c r="CQ140">
        <f>IF(U139&lt;=0,0,MIN(U139+CP140,$F$23+CO140))</f>
        <v/>
      </c>
      <c r="CR140">
        <f>IF(U139&lt;=0,CO140,MAX(0,$F$23+CO140-U139-CP140))</f>
        <v/>
      </c>
      <c r="CS140">
        <f>IF(V139&lt;=0,0,V139*$E$24/12)</f>
        <v/>
      </c>
      <c r="CT140">
        <f>IF(V139&lt;=0,0,MIN(V139+CS140,$F$24+CR140))</f>
        <v/>
      </c>
      <c r="CU140">
        <f>IF(V139&lt;=0,CR140,MAX(0,$F$24+CR140-V139-CS140))</f>
        <v/>
      </c>
    </row>
    <row r="141">
      <c r="B141" s="39" t="n">
        <v>115</v>
      </c>
      <c r="C141" s="13">
        <f>IF(C140&lt;=0,0,MAX(0,C140+AN141-AO141))</f>
        <v/>
      </c>
      <c r="D141" s="13">
        <f>IF(D140&lt;=0,0,MAX(0,D140+AQ141-AR141))</f>
        <v/>
      </c>
      <c r="E141" s="13">
        <f>IF(E140&lt;=0,0,MAX(0,E140+AT141-AU141))</f>
        <v/>
      </c>
      <c r="F141" s="13">
        <f>IF(F140&lt;=0,0,MAX(0,F140+AW141-AX141))</f>
        <v/>
      </c>
      <c r="G141" s="13">
        <f>IF(G140&lt;=0,0,MAX(0,G140+AZ141-BA141))</f>
        <v/>
      </c>
      <c r="H141" s="13">
        <f>IF(H140&lt;=0,0,MAX(0,H140+BC141-BD141))</f>
        <v/>
      </c>
      <c r="I141" s="13">
        <f>IF(I140&lt;=0,0,MAX(0,I140+BF141-BG141))</f>
        <v/>
      </c>
      <c r="J141" s="13">
        <f>IF(J140&lt;=0,0,MAX(0,J140+BI141-BJ141))</f>
        <v/>
      </c>
      <c r="K141" s="13">
        <f>IF(K140&lt;=0,0,MAX(0,K140+BL141-BM141))</f>
        <v/>
      </c>
      <c r="L141" s="13">
        <f>IF(L140&lt;=0,0,MAX(0,L140+BO141-BP141))</f>
        <v/>
      </c>
      <c r="M141" s="13">
        <f>IF(M140&lt;=0,0,MAX(0,M140+BR141-BS141))</f>
        <v/>
      </c>
      <c r="N141" s="13">
        <f>IF(N140&lt;=0,0,MAX(0,N140+BU141-BV141))</f>
        <v/>
      </c>
      <c r="O141" s="13">
        <f>IF(O140&lt;=0,0,MAX(0,O140+BX141-BY141))</f>
        <v/>
      </c>
      <c r="P141" s="13">
        <f>IF(P140&lt;=0,0,MAX(0,P140+CA141-CB141))</f>
        <v/>
      </c>
      <c r="Q141" s="13">
        <f>IF(Q140&lt;=0,0,MAX(0,Q140+CD141-CE141))</f>
        <v/>
      </c>
      <c r="R141" s="13">
        <f>IF(R140&lt;=0,0,MAX(0,R140+CG141-CH141))</f>
        <v/>
      </c>
      <c r="S141" s="13">
        <f>IF(S140&lt;=0,0,MAX(0,S140+CJ141-CK141))</f>
        <v/>
      </c>
      <c r="T141" s="13">
        <f>IF(T140&lt;=0,0,MAX(0,T140+CM141-CN141))</f>
        <v/>
      </c>
      <c r="U141" s="13">
        <f>IF(U140&lt;=0,0,MAX(0,U140+CP141-CQ141))</f>
        <v/>
      </c>
      <c r="V141" s="13">
        <f>IF(V140&lt;=0,0,MAX(0,V140+CS141-CT141))</f>
        <v/>
      </c>
      <c r="W141" s="13">
        <f>AO141+AR141+AU141+AX141+BA141+BD141+BG141+BJ141+BM141+BP141+BS141+BV141+BY141+CB141+CE141+CH141+CK141+CN141+CQ141+CT141</f>
        <v/>
      </c>
      <c r="X141" s="13">
        <f>AN141+AQ141+AT141+AW141+AZ141+BC141+BF141+BI141+BL141+BO141+BR141+BU141+BX141+CA141+CD141+CG141+CJ141+CM141+CP141+CS141</f>
        <v/>
      </c>
      <c r="Y141" s="27">
        <f>C141+D141+E141+F141+G141+H141+I141+J141+K141+L141+M141+N141+O141+P141+Q141+R141+S141+T141+U141+V141</f>
        <v/>
      </c>
      <c r="AN141">
        <f>IF(C140&lt;=0,0,C140*$E$5/12)</f>
        <v/>
      </c>
      <c r="AO141">
        <f>IF(C140&lt;=0,0,MIN(C140+AN141,$F$5+(Dashboard!$C$11+IF(C140&lt;=0,$F$5,0)+IF(D140&lt;=0,$F$6,0)+IF(E140&lt;=0,$F$7,0)+IF(F140&lt;=0,$F$8,0)+IF(G140&lt;=0,$F$9,0)+IF(H140&lt;=0,$F$10,0)+IF(I140&lt;=0,$F$11,0)+IF(J140&lt;=0,$F$12,0)+IF(K140&lt;=0,$F$13,0)+IF(L140&lt;=0,$F$14,0)+IF(M140&lt;=0,$F$15,0)+IF(N140&lt;=0,$F$16,0)+IF(O140&lt;=0,$F$17,0)+IF(P140&lt;=0,$F$18,0)+IF(Q140&lt;=0,$F$19,0)+IF(R140&lt;=0,$F$20,0)+IF(S140&lt;=0,$F$21,0)+IF(T140&lt;=0,$F$22,0)+IF(U140&lt;=0,$F$23,0)+IF(V140&lt;=0,$F$24,0))))</f>
        <v/>
      </c>
      <c r="AP141">
        <f>IF(C140&lt;=0,(Dashboard!$C$11+IF(C140&lt;=0,$F$5,0)+IF(D140&lt;=0,$F$6,0)+IF(E140&lt;=0,$F$7,0)+IF(F140&lt;=0,$F$8,0)+IF(G140&lt;=0,$F$9,0)+IF(H140&lt;=0,$F$10,0)+IF(I140&lt;=0,$F$11,0)+IF(J140&lt;=0,$F$12,0)+IF(K140&lt;=0,$F$13,0)+IF(L140&lt;=0,$F$14,0)+IF(M140&lt;=0,$F$15,0)+IF(N140&lt;=0,$F$16,0)+IF(O140&lt;=0,$F$17,0)+IF(P140&lt;=0,$F$18,0)+IF(Q140&lt;=0,$F$19,0)+IF(R140&lt;=0,$F$20,0)+IF(S140&lt;=0,$F$21,0)+IF(T140&lt;=0,$F$22,0)+IF(U140&lt;=0,$F$23,0)+IF(V140&lt;=0,$F$24,0)),MAX(0,$F$5+(Dashboard!$C$11+IF(C140&lt;=0,$F$5,0)+IF(D140&lt;=0,$F$6,0)+IF(E140&lt;=0,$F$7,0)+IF(F140&lt;=0,$F$8,0)+IF(G140&lt;=0,$F$9,0)+IF(H140&lt;=0,$F$10,0)+IF(I140&lt;=0,$F$11,0)+IF(J140&lt;=0,$F$12,0)+IF(K140&lt;=0,$F$13,0)+IF(L140&lt;=0,$F$14,0)+IF(M140&lt;=0,$F$15,0)+IF(N140&lt;=0,$F$16,0)+IF(O140&lt;=0,$F$17,0)+IF(P140&lt;=0,$F$18,0)+IF(Q140&lt;=0,$F$19,0)+IF(R140&lt;=0,$F$20,0)+IF(S140&lt;=0,$F$21,0)+IF(T140&lt;=0,$F$22,0)+IF(U140&lt;=0,$F$23,0)+IF(V140&lt;=0,$F$24,0))-C140-AN141))</f>
        <v/>
      </c>
      <c r="AQ141">
        <f>IF(D140&lt;=0,0,D140*$E$6/12)</f>
        <v/>
      </c>
      <c r="AR141">
        <f>IF(D140&lt;=0,0,MIN(D140+AQ141,$F$6+AP141))</f>
        <v/>
      </c>
      <c r="AS141">
        <f>IF(D140&lt;=0,AP141,MAX(0,$F$6+AP141-D140-AQ141))</f>
        <v/>
      </c>
      <c r="AT141">
        <f>IF(E140&lt;=0,0,E140*$E$7/12)</f>
        <v/>
      </c>
      <c r="AU141">
        <f>IF(E140&lt;=0,0,MIN(E140+AT141,$F$7+AS141))</f>
        <v/>
      </c>
      <c r="AV141">
        <f>IF(E140&lt;=0,AS141,MAX(0,$F$7+AS141-E140-AT141))</f>
        <v/>
      </c>
      <c r="AW141">
        <f>IF(F140&lt;=0,0,F140*$E$8/12)</f>
        <v/>
      </c>
      <c r="AX141">
        <f>IF(F140&lt;=0,0,MIN(F140+AW141,$F$8+AV141))</f>
        <v/>
      </c>
      <c r="AY141">
        <f>IF(F140&lt;=0,AV141,MAX(0,$F$8+AV141-F140-AW141))</f>
        <v/>
      </c>
      <c r="AZ141">
        <f>IF(G140&lt;=0,0,G140*$E$9/12)</f>
        <v/>
      </c>
      <c r="BA141">
        <f>IF(G140&lt;=0,0,MIN(G140+AZ141,$F$9+AY141))</f>
        <v/>
      </c>
      <c r="BB141">
        <f>IF(G140&lt;=0,AY141,MAX(0,$F$9+AY141-G140-AZ141))</f>
        <v/>
      </c>
      <c r="BC141">
        <f>IF(H140&lt;=0,0,H140*$E$10/12)</f>
        <v/>
      </c>
      <c r="BD141">
        <f>IF(H140&lt;=0,0,MIN(H140+BC141,$F$10+BB141))</f>
        <v/>
      </c>
      <c r="BE141">
        <f>IF(H140&lt;=0,BB141,MAX(0,$F$10+BB141-H140-BC141))</f>
        <v/>
      </c>
      <c r="BF141">
        <f>IF(I140&lt;=0,0,I140*$E$11/12)</f>
        <v/>
      </c>
      <c r="BG141">
        <f>IF(I140&lt;=0,0,MIN(I140+BF141,$F$11+BE141))</f>
        <v/>
      </c>
      <c r="BH141">
        <f>IF(I140&lt;=0,BE141,MAX(0,$F$11+BE141-I140-BF141))</f>
        <v/>
      </c>
      <c r="BI141">
        <f>IF(J140&lt;=0,0,J140*$E$12/12)</f>
        <v/>
      </c>
      <c r="BJ141">
        <f>IF(J140&lt;=0,0,MIN(J140+BI141,$F$12+BH141))</f>
        <v/>
      </c>
      <c r="BK141">
        <f>IF(J140&lt;=0,BH141,MAX(0,$F$12+BH141-J140-BI141))</f>
        <v/>
      </c>
      <c r="BL141">
        <f>IF(K140&lt;=0,0,K140*$E$13/12)</f>
        <v/>
      </c>
      <c r="BM141">
        <f>IF(K140&lt;=0,0,MIN(K140+BL141,$F$13+BK141))</f>
        <v/>
      </c>
      <c r="BN141">
        <f>IF(K140&lt;=0,BK141,MAX(0,$F$13+BK141-K140-BL141))</f>
        <v/>
      </c>
      <c r="BO141">
        <f>IF(L140&lt;=0,0,L140*$E$14/12)</f>
        <v/>
      </c>
      <c r="BP141">
        <f>IF(L140&lt;=0,0,MIN(L140+BO141,$F$14+BN141))</f>
        <v/>
      </c>
      <c r="BQ141">
        <f>IF(L140&lt;=0,BN141,MAX(0,$F$14+BN141-L140-BO141))</f>
        <v/>
      </c>
      <c r="BR141">
        <f>IF(M140&lt;=0,0,M140*$E$15/12)</f>
        <v/>
      </c>
      <c r="BS141">
        <f>IF(M140&lt;=0,0,MIN(M140+BR141,$F$15+BQ141))</f>
        <v/>
      </c>
      <c r="BT141">
        <f>IF(M140&lt;=0,BQ141,MAX(0,$F$15+BQ141-M140-BR141))</f>
        <v/>
      </c>
      <c r="BU141">
        <f>IF(N140&lt;=0,0,N140*$E$16/12)</f>
        <v/>
      </c>
      <c r="BV141">
        <f>IF(N140&lt;=0,0,MIN(N140+BU141,$F$16+BT141))</f>
        <v/>
      </c>
      <c r="BW141">
        <f>IF(N140&lt;=0,BT141,MAX(0,$F$16+BT141-N140-BU141))</f>
        <v/>
      </c>
      <c r="BX141">
        <f>IF(O140&lt;=0,0,O140*$E$17/12)</f>
        <v/>
      </c>
      <c r="BY141">
        <f>IF(O140&lt;=0,0,MIN(O140+BX141,$F$17+BW141))</f>
        <v/>
      </c>
      <c r="BZ141">
        <f>IF(O140&lt;=0,BW141,MAX(0,$F$17+BW141-O140-BX141))</f>
        <v/>
      </c>
      <c r="CA141">
        <f>IF(P140&lt;=0,0,P140*$E$18/12)</f>
        <v/>
      </c>
      <c r="CB141">
        <f>IF(P140&lt;=0,0,MIN(P140+CA141,$F$18+BZ141))</f>
        <v/>
      </c>
      <c r="CC141">
        <f>IF(P140&lt;=0,BZ141,MAX(0,$F$18+BZ141-P140-CA141))</f>
        <v/>
      </c>
      <c r="CD141">
        <f>IF(Q140&lt;=0,0,Q140*$E$19/12)</f>
        <v/>
      </c>
      <c r="CE141">
        <f>IF(Q140&lt;=0,0,MIN(Q140+CD141,$F$19+CC141))</f>
        <v/>
      </c>
      <c r="CF141">
        <f>IF(Q140&lt;=0,CC141,MAX(0,$F$19+CC141-Q140-CD141))</f>
        <v/>
      </c>
      <c r="CG141">
        <f>IF(R140&lt;=0,0,R140*$E$20/12)</f>
        <v/>
      </c>
      <c r="CH141">
        <f>IF(R140&lt;=0,0,MIN(R140+CG141,$F$20+CF141))</f>
        <v/>
      </c>
      <c r="CI141">
        <f>IF(R140&lt;=0,CF141,MAX(0,$F$20+CF141-R140-CG141))</f>
        <v/>
      </c>
      <c r="CJ141">
        <f>IF(S140&lt;=0,0,S140*$E$21/12)</f>
        <v/>
      </c>
      <c r="CK141">
        <f>IF(S140&lt;=0,0,MIN(S140+CJ141,$F$21+CI141))</f>
        <v/>
      </c>
      <c r="CL141">
        <f>IF(S140&lt;=0,CI141,MAX(0,$F$21+CI141-S140-CJ141))</f>
        <v/>
      </c>
      <c r="CM141">
        <f>IF(T140&lt;=0,0,T140*$E$22/12)</f>
        <v/>
      </c>
      <c r="CN141">
        <f>IF(T140&lt;=0,0,MIN(T140+CM141,$F$22+CL141))</f>
        <v/>
      </c>
      <c r="CO141">
        <f>IF(T140&lt;=0,CL141,MAX(0,$F$22+CL141-T140-CM141))</f>
        <v/>
      </c>
      <c r="CP141">
        <f>IF(U140&lt;=0,0,U140*$E$23/12)</f>
        <v/>
      </c>
      <c r="CQ141">
        <f>IF(U140&lt;=0,0,MIN(U140+CP141,$F$23+CO141))</f>
        <v/>
      </c>
      <c r="CR141">
        <f>IF(U140&lt;=0,CO141,MAX(0,$F$23+CO141-U140-CP141))</f>
        <v/>
      </c>
      <c r="CS141">
        <f>IF(V140&lt;=0,0,V140*$E$24/12)</f>
        <v/>
      </c>
      <c r="CT141">
        <f>IF(V140&lt;=0,0,MIN(V140+CS141,$F$24+CR141))</f>
        <v/>
      </c>
      <c r="CU141">
        <f>IF(V140&lt;=0,CR141,MAX(0,$F$24+CR141-V140-CS141))</f>
        <v/>
      </c>
    </row>
    <row r="142">
      <c r="B142" s="39" t="n">
        <v>116</v>
      </c>
      <c r="C142" s="13">
        <f>IF(C141&lt;=0,0,MAX(0,C141+AN142-AO142))</f>
        <v/>
      </c>
      <c r="D142" s="13">
        <f>IF(D141&lt;=0,0,MAX(0,D141+AQ142-AR142))</f>
        <v/>
      </c>
      <c r="E142" s="13">
        <f>IF(E141&lt;=0,0,MAX(0,E141+AT142-AU142))</f>
        <v/>
      </c>
      <c r="F142" s="13">
        <f>IF(F141&lt;=0,0,MAX(0,F141+AW142-AX142))</f>
        <v/>
      </c>
      <c r="G142" s="13">
        <f>IF(G141&lt;=0,0,MAX(0,G141+AZ142-BA142))</f>
        <v/>
      </c>
      <c r="H142" s="13">
        <f>IF(H141&lt;=0,0,MAX(0,H141+BC142-BD142))</f>
        <v/>
      </c>
      <c r="I142" s="13">
        <f>IF(I141&lt;=0,0,MAX(0,I141+BF142-BG142))</f>
        <v/>
      </c>
      <c r="J142" s="13">
        <f>IF(J141&lt;=0,0,MAX(0,J141+BI142-BJ142))</f>
        <v/>
      </c>
      <c r="K142" s="13">
        <f>IF(K141&lt;=0,0,MAX(0,K141+BL142-BM142))</f>
        <v/>
      </c>
      <c r="L142" s="13">
        <f>IF(L141&lt;=0,0,MAX(0,L141+BO142-BP142))</f>
        <v/>
      </c>
      <c r="M142" s="13">
        <f>IF(M141&lt;=0,0,MAX(0,M141+BR142-BS142))</f>
        <v/>
      </c>
      <c r="N142" s="13">
        <f>IF(N141&lt;=0,0,MAX(0,N141+BU142-BV142))</f>
        <v/>
      </c>
      <c r="O142" s="13">
        <f>IF(O141&lt;=0,0,MAX(0,O141+BX142-BY142))</f>
        <v/>
      </c>
      <c r="P142" s="13">
        <f>IF(P141&lt;=0,0,MAX(0,P141+CA142-CB142))</f>
        <v/>
      </c>
      <c r="Q142" s="13">
        <f>IF(Q141&lt;=0,0,MAX(0,Q141+CD142-CE142))</f>
        <v/>
      </c>
      <c r="R142" s="13">
        <f>IF(R141&lt;=0,0,MAX(0,R141+CG142-CH142))</f>
        <v/>
      </c>
      <c r="S142" s="13">
        <f>IF(S141&lt;=0,0,MAX(0,S141+CJ142-CK142))</f>
        <v/>
      </c>
      <c r="T142" s="13">
        <f>IF(T141&lt;=0,0,MAX(0,T141+CM142-CN142))</f>
        <v/>
      </c>
      <c r="U142" s="13">
        <f>IF(U141&lt;=0,0,MAX(0,U141+CP142-CQ142))</f>
        <v/>
      </c>
      <c r="V142" s="13">
        <f>IF(V141&lt;=0,0,MAX(0,V141+CS142-CT142))</f>
        <v/>
      </c>
      <c r="W142" s="13">
        <f>AO142+AR142+AU142+AX142+BA142+BD142+BG142+BJ142+BM142+BP142+BS142+BV142+BY142+CB142+CE142+CH142+CK142+CN142+CQ142+CT142</f>
        <v/>
      </c>
      <c r="X142" s="13">
        <f>AN142+AQ142+AT142+AW142+AZ142+BC142+BF142+BI142+BL142+BO142+BR142+BU142+BX142+CA142+CD142+CG142+CJ142+CM142+CP142+CS142</f>
        <v/>
      </c>
      <c r="Y142" s="27">
        <f>C142+D142+E142+F142+G142+H142+I142+J142+K142+L142+M142+N142+O142+P142+Q142+R142+S142+T142+U142+V142</f>
        <v/>
      </c>
      <c r="AN142">
        <f>IF(C141&lt;=0,0,C141*$E$5/12)</f>
        <v/>
      </c>
      <c r="AO142">
        <f>IF(C141&lt;=0,0,MIN(C141+AN142,$F$5+(Dashboard!$C$11+IF(C141&lt;=0,$F$5,0)+IF(D141&lt;=0,$F$6,0)+IF(E141&lt;=0,$F$7,0)+IF(F141&lt;=0,$F$8,0)+IF(G141&lt;=0,$F$9,0)+IF(H141&lt;=0,$F$10,0)+IF(I141&lt;=0,$F$11,0)+IF(J141&lt;=0,$F$12,0)+IF(K141&lt;=0,$F$13,0)+IF(L141&lt;=0,$F$14,0)+IF(M141&lt;=0,$F$15,0)+IF(N141&lt;=0,$F$16,0)+IF(O141&lt;=0,$F$17,0)+IF(P141&lt;=0,$F$18,0)+IF(Q141&lt;=0,$F$19,0)+IF(R141&lt;=0,$F$20,0)+IF(S141&lt;=0,$F$21,0)+IF(T141&lt;=0,$F$22,0)+IF(U141&lt;=0,$F$23,0)+IF(V141&lt;=0,$F$24,0))))</f>
        <v/>
      </c>
      <c r="AP142">
        <f>IF(C141&lt;=0,(Dashboard!$C$11+IF(C141&lt;=0,$F$5,0)+IF(D141&lt;=0,$F$6,0)+IF(E141&lt;=0,$F$7,0)+IF(F141&lt;=0,$F$8,0)+IF(G141&lt;=0,$F$9,0)+IF(H141&lt;=0,$F$10,0)+IF(I141&lt;=0,$F$11,0)+IF(J141&lt;=0,$F$12,0)+IF(K141&lt;=0,$F$13,0)+IF(L141&lt;=0,$F$14,0)+IF(M141&lt;=0,$F$15,0)+IF(N141&lt;=0,$F$16,0)+IF(O141&lt;=0,$F$17,0)+IF(P141&lt;=0,$F$18,0)+IF(Q141&lt;=0,$F$19,0)+IF(R141&lt;=0,$F$20,0)+IF(S141&lt;=0,$F$21,0)+IF(T141&lt;=0,$F$22,0)+IF(U141&lt;=0,$F$23,0)+IF(V141&lt;=0,$F$24,0)),MAX(0,$F$5+(Dashboard!$C$11+IF(C141&lt;=0,$F$5,0)+IF(D141&lt;=0,$F$6,0)+IF(E141&lt;=0,$F$7,0)+IF(F141&lt;=0,$F$8,0)+IF(G141&lt;=0,$F$9,0)+IF(H141&lt;=0,$F$10,0)+IF(I141&lt;=0,$F$11,0)+IF(J141&lt;=0,$F$12,0)+IF(K141&lt;=0,$F$13,0)+IF(L141&lt;=0,$F$14,0)+IF(M141&lt;=0,$F$15,0)+IF(N141&lt;=0,$F$16,0)+IF(O141&lt;=0,$F$17,0)+IF(P141&lt;=0,$F$18,0)+IF(Q141&lt;=0,$F$19,0)+IF(R141&lt;=0,$F$20,0)+IF(S141&lt;=0,$F$21,0)+IF(T141&lt;=0,$F$22,0)+IF(U141&lt;=0,$F$23,0)+IF(V141&lt;=0,$F$24,0))-C141-AN142))</f>
        <v/>
      </c>
      <c r="AQ142">
        <f>IF(D141&lt;=0,0,D141*$E$6/12)</f>
        <v/>
      </c>
      <c r="AR142">
        <f>IF(D141&lt;=0,0,MIN(D141+AQ142,$F$6+AP142))</f>
        <v/>
      </c>
      <c r="AS142">
        <f>IF(D141&lt;=0,AP142,MAX(0,$F$6+AP142-D141-AQ142))</f>
        <v/>
      </c>
      <c r="AT142">
        <f>IF(E141&lt;=0,0,E141*$E$7/12)</f>
        <v/>
      </c>
      <c r="AU142">
        <f>IF(E141&lt;=0,0,MIN(E141+AT142,$F$7+AS142))</f>
        <v/>
      </c>
      <c r="AV142">
        <f>IF(E141&lt;=0,AS142,MAX(0,$F$7+AS142-E141-AT142))</f>
        <v/>
      </c>
      <c r="AW142">
        <f>IF(F141&lt;=0,0,F141*$E$8/12)</f>
        <v/>
      </c>
      <c r="AX142">
        <f>IF(F141&lt;=0,0,MIN(F141+AW142,$F$8+AV142))</f>
        <v/>
      </c>
      <c r="AY142">
        <f>IF(F141&lt;=0,AV142,MAX(0,$F$8+AV142-F141-AW142))</f>
        <v/>
      </c>
      <c r="AZ142">
        <f>IF(G141&lt;=0,0,G141*$E$9/12)</f>
        <v/>
      </c>
      <c r="BA142">
        <f>IF(G141&lt;=0,0,MIN(G141+AZ142,$F$9+AY142))</f>
        <v/>
      </c>
      <c r="BB142">
        <f>IF(G141&lt;=0,AY142,MAX(0,$F$9+AY142-G141-AZ142))</f>
        <v/>
      </c>
      <c r="BC142">
        <f>IF(H141&lt;=0,0,H141*$E$10/12)</f>
        <v/>
      </c>
      <c r="BD142">
        <f>IF(H141&lt;=0,0,MIN(H141+BC142,$F$10+BB142))</f>
        <v/>
      </c>
      <c r="BE142">
        <f>IF(H141&lt;=0,BB142,MAX(0,$F$10+BB142-H141-BC142))</f>
        <v/>
      </c>
      <c r="BF142">
        <f>IF(I141&lt;=0,0,I141*$E$11/12)</f>
        <v/>
      </c>
      <c r="BG142">
        <f>IF(I141&lt;=0,0,MIN(I141+BF142,$F$11+BE142))</f>
        <v/>
      </c>
      <c r="BH142">
        <f>IF(I141&lt;=0,BE142,MAX(0,$F$11+BE142-I141-BF142))</f>
        <v/>
      </c>
      <c r="BI142">
        <f>IF(J141&lt;=0,0,J141*$E$12/12)</f>
        <v/>
      </c>
      <c r="BJ142">
        <f>IF(J141&lt;=0,0,MIN(J141+BI142,$F$12+BH142))</f>
        <v/>
      </c>
      <c r="BK142">
        <f>IF(J141&lt;=0,BH142,MAX(0,$F$12+BH142-J141-BI142))</f>
        <v/>
      </c>
      <c r="BL142">
        <f>IF(K141&lt;=0,0,K141*$E$13/12)</f>
        <v/>
      </c>
      <c r="BM142">
        <f>IF(K141&lt;=0,0,MIN(K141+BL142,$F$13+BK142))</f>
        <v/>
      </c>
      <c r="BN142">
        <f>IF(K141&lt;=0,BK142,MAX(0,$F$13+BK142-K141-BL142))</f>
        <v/>
      </c>
      <c r="BO142">
        <f>IF(L141&lt;=0,0,L141*$E$14/12)</f>
        <v/>
      </c>
      <c r="BP142">
        <f>IF(L141&lt;=0,0,MIN(L141+BO142,$F$14+BN142))</f>
        <v/>
      </c>
      <c r="BQ142">
        <f>IF(L141&lt;=0,BN142,MAX(0,$F$14+BN142-L141-BO142))</f>
        <v/>
      </c>
      <c r="BR142">
        <f>IF(M141&lt;=0,0,M141*$E$15/12)</f>
        <v/>
      </c>
      <c r="BS142">
        <f>IF(M141&lt;=0,0,MIN(M141+BR142,$F$15+BQ142))</f>
        <v/>
      </c>
      <c r="BT142">
        <f>IF(M141&lt;=0,BQ142,MAX(0,$F$15+BQ142-M141-BR142))</f>
        <v/>
      </c>
      <c r="BU142">
        <f>IF(N141&lt;=0,0,N141*$E$16/12)</f>
        <v/>
      </c>
      <c r="BV142">
        <f>IF(N141&lt;=0,0,MIN(N141+BU142,$F$16+BT142))</f>
        <v/>
      </c>
      <c r="BW142">
        <f>IF(N141&lt;=0,BT142,MAX(0,$F$16+BT142-N141-BU142))</f>
        <v/>
      </c>
      <c r="BX142">
        <f>IF(O141&lt;=0,0,O141*$E$17/12)</f>
        <v/>
      </c>
      <c r="BY142">
        <f>IF(O141&lt;=0,0,MIN(O141+BX142,$F$17+BW142))</f>
        <v/>
      </c>
      <c r="BZ142">
        <f>IF(O141&lt;=0,BW142,MAX(0,$F$17+BW142-O141-BX142))</f>
        <v/>
      </c>
      <c r="CA142">
        <f>IF(P141&lt;=0,0,P141*$E$18/12)</f>
        <v/>
      </c>
      <c r="CB142">
        <f>IF(P141&lt;=0,0,MIN(P141+CA142,$F$18+BZ142))</f>
        <v/>
      </c>
      <c r="CC142">
        <f>IF(P141&lt;=0,BZ142,MAX(0,$F$18+BZ142-P141-CA142))</f>
        <v/>
      </c>
      <c r="CD142">
        <f>IF(Q141&lt;=0,0,Q141*$E$19/12)</f>
        <v/>
      </c>
      <c r="CE142">
        <f>IF(Q141&lt;=0,0,MIN(Q141+CD142,$F$19+CC142))</f>
        <v/>
      </c>
      <c r="CF142">
        <f>IF(Q141&lt;=0,CC142,MAX(0,$F$19+CC142-Q141-CD142))</f>
        <v/>
      </c>
      <c r="CG142">
        <f>IF(R141&lt;=0,0,R141*$E$20/12)</f>
        <v/>
      </c>
      <c r="CH142">
        <f>IF(R141&lt;=0,0,MIN(R141+CG142,$F$20+CF142))</f>
        <v/>
      </c>
      <c r="CI142">
        <f>IF(R141&lt;=0,CF142,MAX(0,$F$20+CF142-R141-CG142))</f>
        <v/>
      </c>
      <c r="CJ142">
        <f>IF(S141&lt;=0,0,S141*$E$21/12)</f>
        <v/>
      </c>
      <c r="CK142">
        <f>IF(S141&lt;=0,0,MIN(S141+CJ142,$F$21+CI142))</f>
        <v/>
      </c>
      <c r="CL142">
        <f>IF(S141&lt;=0,CI142,MAX(0,$F$21+CI142-S141-CJ142))</f>
        <v/>
      </c>
      <c r="CM142">
        <f>IF(T141&lt;=0,0,T141*$E$22/12)</f>
        <v/>
      </c>
      <c r="CN142">
        <f>IF(T141&lt;=0,0,MIN(T141+CM142,$F$22+CL142))</f>
        <v/>
      </c>
      <c r="CO142">
        <f>IF(T141&lt;=0,CL142,MAX(0,$F$22+CL142-T141-CM142))</f>
        <v/>
      </c>
      <c r="CP142">
        <f>IF(U141&lt;=0,0,U141*$E$23/12)</f>
        <v/>
      </c>
      <c r="CQ142">
        <f>IF(U141&lt;=0,0,MIN(U141+CP142,$F$23+CO142))</f>
        <v/>
      </c>
      <c r="CR142">
        <f>IF(U141&lt;=0,CO142,MAX(0,$F$23+CO142-U141-CP142))</f>
        <v/>
      </c>
      <c r="CS142">
        <f>IF(V141&lt;=0,0,V141*$E$24/12)</f>
        <v/>
      </c>
      <c r="CT142">
        <f>IF(V141&lt;=0,0,MIN(V141+CS142,$F$24+CR142))</f>
        <v/>
      </c>
      <c r="CU142">
        <f>IF(V141&lt;=0,CR142,MAX(0,$F$24+CR142-V141-CS142))</f>
        <v/>
      </c>
    </row>
    <row r="143">
      <c r="B143" s="39" t="n">
        <v>117</v>
      </c>
      <c r="C143" s="13">
        <f>IF(C142&lt;=0,0,MAX(0,C142+AN143-AO143))</f>
        <v/>
      </c>
      <c r="D143" s="13">
        <f>IF(D142&lt;=0,0,MAX(0,D142+AQ143-AR143))</f>
        <v/>
      </c>
      <c r="E143" s="13">
        <f>IF(E142&lt;=0,0,MAX(0,E142+AT143-AU143))</f>
        <v/>
      </c>
      <c r="F143" s="13">
        <f>IF(F142&lt;=0,0,MAX(0,F142+AW143-AX143))</f>
        <v/>
      </c>
      <c r="G143" s="13">
        <f>IF(G142&lt;=0,0,MAX(0,G142+AZ143-BA143))</f>
        <v/>
      </c>
      <c r="H143" s="13">
        <f>IF(H142&lt;=0,0,MAX(0,H142+BC143-BD143))</f>
        <v/>
      </c>
      <c r="I143" s="13">
        <f>IF(I142&lt;=0,0,MAX(0,I142+BF143-BG143))</f>
        <v/>
      </c>
      <c r="J143" s="13">
        <f>IF(J142&lt;=0,0,MAX(0,J142+BI143-BJ143))</f>
        <v/>
      </c>
      <c r="K143" s="13">
        <f>IF(K142&lt;=0,0,MAX(0,K142+BL143-BM143))</f>
        <v/>
      </c>
      <c r="L143" s="13">
        <f>IF(L142&lt;=0,0,MAX(0,L142+BO143-BP143))</f>
        <v/>
      </c>
      <c r="M143" s="13">
        <f>IF(M142&lt;=0,0,MAX(0,M142+BR143-BS143))</f>
        <v/>
      </c>
      <c r="N143" s="13">
        <f>IF(N142&lt;=0,0,MAX(0,N142+BU143-BV143))</f>
        <v/>
      </c>
      <c r="O143" s="13">
        <f>IF(O142&lt;=0,0,MAX(0,O142+BX143-BY143))</f>
        <v/>
      </c>
      <c r="P143" s="13">
        <f>IF(P142&lt;=0,0,MAX(0,P142+CA143-CB143))</f>
        <v/>
      </c>
      <c r="Q143" s="13">
        <f>IF(Q142&lt;=0,0,MAX(0,Q142+CD143-CE143))</f>
        <v/>
      </c>
      <c r="R143" s="13">
        <f>IF(R142&lt;=0,0,MAX(0,R142+CG143-CH143))</f>
        <v/>
      </c>
      <c r="S143" s="13">
        <f>IF(S142&lt;=0,0,MAX(0,S142+CJ143-CK143))</f>
        <v/>
      </c>
      <c r="T143" s="13">
        <f>IF(T142&lt;=0,0,MAX(0,T142+CM143-CN143))</f>
        <v/>
      </c>
      <c r="U143" s="13">
        <f>IF(U142&lt;=0,0,MAX(0,U142+CP143-CQ143))</f>
        <v/>
      </c>
      <c r="V143" s="13">
        <f>IF(V142&lt;=0,0,MAX(0,V142+CS143-CT143))</f>
        <v/>
      </c>
      <c r="W143" s="13">
        <f>AO143+AR143+AU143+AX143+BA143+BD143+BG143+BJ143+BM143+BP143+BS143+BV143+BY143+CB143+CE143+CH143+CK143+CN143+CQ143+CT143</f>
        <v/>
      </c>
      <c r="X143" s="13">
        <f>AN143+AQ143+AT143+AW143+AZ143+BC143+BF143+BI143+BL143+BO143+BR143+BU143+BX143+CA143+CD143+CG143+CJ143+CM143+CP143+CS143</f>
        <v/>
      </c>
      <c r="Y143" s="27">
        <f>C143+D143+E143+F143+G143+H143+I143+J143+K143+L143+M143+N143+O143+P143+Q143+R143+S143+T143+U143+V143</f>
        <v/>
      </c>
      <c r="AN143">
        <f>IF(C142&lt;=0,0,C142*$E$5/12)</f>
        <v/>
      </c>
      <c r="AO143">
        <f>IF(C142&lt;=0,0,MIN(C142+AN143,$F$5+(Dashboard!$C$11+IF(C142&lt;=0,$F$5,0)+IF(D142&lt;=0,$F$6,0)+IF(E142&lt;=0,$F$7,0)+IF(F142&lt;=0,$F$8,0)+IF(G142&lt;=0,$F$9,0)+IF(H142&lt;=0,$F$10,0)+IF(I142&lt;=0,$F$11,0)+IF(J142&lt;=0,$F$12,0)+IF(K142&lt;=0,$F$13,0)+IF(L142&lt;=0,$F$14,0)+IF(M142&lt;=0,$F$15,0)+IF(N142&lt;=0,$F$16,0)+IF(O142&lt;=0,$F$17,0)+IF(P142&lt;=0,$F$18,0)+IF(Q142&lt;=0,$F$19,0)+IF(R142&lt;=0,$F$20,0)+IF(S142&lt;=0,$F$21,0)+IF(T142&lt;=0,$F$22,0)+IF(U142&lt;=0,$F$23,0)+IF(V142&lt;=0,$F$24,0))))</f>
        <v/>
      </c>
      <c r="AP143">
        <f>IF(C142&lt;=0,(Dashboard!$C$11+IF(C142&lt;=0,$F$5,0)+IF(D142&lt;=0,$F$6,0)+IF(E142&lt;=0,$F$7,0)+IF(F142&lt;=0,$F$8,0)+IF(G142&lt;=0,$F$9,0)+IF(H142&lt;=0,$F$10,0)+IF(I142&lt;=0,$F$11,0)+IF(J142&lt;=0,$F$12,0)+IF(K142&lt;=0,$F$13,0)+IF(L142&lt;=0,$F$14,0)+IF(M142&lt;=0,$F$15,0)+IF(N142&lt;=0,$F$16,0)+IF(O142&lt;=0,$F$17,0)+IF(P142&lt;=0,$F$18,0)+IF(Q142&lt;=0,$F$19,0)+IF(R142&lt;=0,$F$20,0)+IF(S142&lt;=0,$F$21,0)+IF(T142&lt;=0,$F$22,0)+IF(U142&lt;=0,$F$23,0)+IF(V142&lt;=0,$F$24,0)),MAX(0,$F$5+(Dashboard!$C$11+IF(C142&lt;=0,$F$5,0)+IF(D142&lt;=0,$F$6,0)+IF(E142&lt;=0,$F$7,0)+IF(F142&lt;=0,$F$8,0)+IF(G142&lt;=0,$F$9,0)+IF(H142&lt;=0,$F$10,0)+IF(I142&lt;=0,$F$11,0)+IF(J142&lt;=0,$F$12,0)+IF(K142&lt;=0,$F$13,0)+IF(L142&lt;=0,$F$14,0)+IF(M142&lt;=0,$F$15,0)+IF(N142&lt;=0,$F$16,0)+IF(O142&lt;=0,$F$17,0)+IF(P142&lt;=0,$F$18,0)+IF(Q142&lt;=0,$F$19,0)+IF(R142&lt;=0,$F$20,0)+IF(S142&lt;=0,$F$21,0)+IF(T142&lt;=0,$F$22,0)+IF(U142&lt;=0,$F$23,0)+IF(V142&lt;=0,$F$24,0))-C142-AN143))</f>
        <v/>
      </c>
      <c r="AQ143">
        <f>IF(D142&lt;=0,0,D142*$E$6/12)</f>
        <v/>
      </c>
      <c r="AR143">
        <f>IF(D142&lt;=0,0,MIN(D142+AQ143,$F$6+AP143))</f>
        <v/>
      </c>
      <c r="AS143">
        <f>IF(D142&lt;=0,AP143,MAX(0,$F$6+AP143-D142-AQ143))</f>
        <v/>
      </c>
      <c r="AT143">
        <f>IF(E142&lt;=0,0,E142*$E$7/12)</f>
        <v/>
      </c>
      <c r="AU143">
        <f>IF(E142&lt;=0,0,MIN(E142+AT143,$F$7+AS143))</f>
        <v/>
      </c>
      <c r="AV143">
        <f>IF(E142&lt;=0,AS143,MAX(0,$F$7+AS143-E142-AT143))</f>
        <v/>
      </c>
      <c r="AW143">
        <f>IF(F142&lt;=0,0,F142*$E$8/12)</f>
        <v/>
      </c>
      <c r="AX143">
        <f>IF(F142&lt;=0,0,MIN(F142+AW143,$F$8+AV143))</f>
        <v/>
      </c>
      <c r="AY143">
        <f>IF(F142&lt;=0,AV143,MAX(0,$F$8+AV143-F142-AW143))</f>
        <v/>
      </c>
      <c r="AZ143">
        <f>IF(G142&lt;=0,0,G142*$E$9/12)</f>
        <v/>
      </c>
      <c r="BA143">
        <f>IF(G142&lt;=0,0,MIN(G142+AZ143,$F$9+AY143))</f>
        <v/>
      </c>
      <c r="BB143">
        <f>IF(G142&lt;=0,AY143,MAX(0,$F$9+AY143-G142-AZ143))</f>
        <v/>
      </c>
      <c r="BC143">
        <f>IF(H142&lt;=0,0,H142*$E$10/12)</f>
        <v/>
      </c>
      <c r="BD143">
        <f>IF(H142&lt;=0,0,MIN(H142+BC143,$F$10+BB143))</f>
        <v/>
      </c>
      <c r="BE143">
        <f>IF(H142&lt;=0,BB143,MAX(0,$F$10+BB143-H142-BC143))</f>
        <v/>
      </c>
      <c r="BF143">
        <f>IF(I142&lt;=0,0,I142*$E$11/12)</f>
        <v/>
      </c>
      <c r="BG143">
        <f>IF(I142&lt;=0,0,MIN(I142+BF143,$F$11+BE143))</f>
        <v/>
      </c>
      <c r="BH143">
        <f>IF(I142&lt;=0,BE143,MAX(0,$F$11+BE143-I142-BF143))</f>
        <v/>
      </c>
      <c r="BI143">
        <f>IF(J142&lt;=0,0,J142*$E$12/12)</f>
        <v/>
      </c>
      <c r="BJ143">
        <f>IF(J142&lt;=0,0,MIN(J142+BI143,$F$12+BH143))</f>
        <v/>
      </c>
      <c r="BK143">
        <f>IF(J142&lt;=0,BH143,MAX(0,$F$12+BH143-J142-BI143))</f>
        <v/>
      </c>
      <c r="BL143">
        <f>IF(K142&lt;=0,0,K142*$E$13/12)</f>
        <v/>
      </c>
      <c r="BM143">
        <f>IF(K142&lt;=0,0,MIN(K142+BL143,$F$13+BK143))</f>
        <v/>
      </c>
      <c r="BN143">
        <f>IF(K142&lt;=0,BK143,MAX(0,$F$13+BK143-K142-BL143))</f>
        <v/>
      </c>
      <c r="BO143">
        <f>IF(L142&lt;=0,0,L142*$E$14/12)</f>
        <v/>
      </c>
      <c r="BP143">
        <f>IF(L142&lt;=0,0,MIN(L142+BO143,$F$14+BN143))</f>
        <v/>
      </c>
      <c r="BQ143">
        <f>IF(L142&lt;=0,BN143,MAX(0,$F$14+BN143-L142-BO143))</f>
        <v/>
      </c>
      <c r="BR143">
        <f>IF(M142&lt;=0,0,M142*$E$15/12)</f>
        <v/>
      </c>
      <c r="BS143">
        <f>IF(M142&lt;=0,0,MIN(M142+BR143,$F$15+BQ143))</f>
        <v/>
      </c>
      <c r="BT143">
        <f>IF(M142&lt;=0,BQ143,MAX(0,$F$15+BQ143-M142-BR143))</f>
        <v/>
      </c>
      <c r="BU143">
        <f>IF(N142&lt;=0,0,N142*$E$16/12)</f>
        <v/>
      </c>
      <c r="BV143">
        <f>IF(N142&lt;=0,0,MIN(N142+BU143,$F$16+BT143))</f>
        <v/>
      </c>
      <c r="BW143">
        <f>IF(N142&lt;=0,BT143,MAX(0,$F$16+BT143-N142-BU143))</f>
        <v/>
      </c>
      <c r="BX143">
        <f>IF(O142&lt;=0,0,O142*$E$17/12)</f>
        <v/>
      </c>
      <c r="BY143">
        <f>IF(O142&lt;=0,0,MIN(O142+BX143,$F$17+BW143))</f>
        <v/>
      </c>
      <c r="BZ143">
        <f>IF(O142&lt;=0,BW143,MAX(0,$F$17+BW143-O142-BX143))</f>
        <v/>
      </c>
      <c r="CA143">
        <f>IF(P142&lt;=0,0,P142*$E$18/12)</f>
        <v/>
      </c>
      <c r="CB143">
        <f>IF(P142&lt;=0,0,MIN(P142+CA143,$F$18+BZ143))</f>
        <v/>
      </c>
      <c r="CC143">
        <f>IF(P142&lt;=0,BZ143,MAX(0,$F$18+BZ143-P142-CA143))</f>
        <v/>
      </c>
      <c r="CD143">
        <f>IF(Q142&lt;=0,0,Q142*$E$19/12)</f>
        <v/>
      </c>
      <c r="CE143">
        <f>IF(Q142&lt;=0,0,MIN(Q142+CD143,$F$19+CC143))</f>
        <v/>
      </c>
      <c r="CF143">
        <f>IF(Q142&lt;=0,CC143,MAX(0,$F$19+CC143-Q142-CD143))</f>
        <v/>
      </c>
      <c r="CG143">
        <f>IF(R142&lt;=0,0,R142*$E$20/12)</f>
        <v/>
      </c>
      <c r="CH143">
        <f>IF(R142&lt;=0,0,MIN(R142+CG143,$F$20+CF143))</f>
        <v/>
      </c>
      <c r="CI143">
        <f>IF(R142&lt;=0,CF143,MAX(0,$F$20+CF143-R142-CG143))</f>
        <v/>
      </c>
      <c r="CJ143">
        <f>IF(S142&lt;=0,0,S142*$E$21/12)</f>
        <v/>
      </c>
      <c r="CK143">
        <f>IF(S142&lt;=0,0,MIN(S142+CJ143,$F$21+CI143))</f>
        <v/>
      </c>
      <c r="CL143">
        <f>IF(S142&lt;=0,CI143,MAX(0,$F$21+CI143-S142-CJ143))</f>
        <v/>
      </c>
      <c r="CM143">
        <f>IF(T142&lt;=0,0,T142*$E$22/12)</f>
        <v/>
      </c>
      <c r="CN143">
        <f>IF(T142&lt;=0,0,MIN(T142+CM143,$F$22+CL143))</f>
        <v/>
      </c>
      <c r="CO143">
        <f>IF(T142&lt;=0,CL143,MAX(0,$F$22+CL143-T142-CM143))</f>
        <v/>
      </c>
      <c r="CP143">
        <f>IF(U142&lt;=0,0,U142*$E$23/12)</f>
        <v/>
      </c>
      <c r="CQ143">
        <f>IF(U142&lt;=0,0,MIN(U142+CP143,$F$23+CO143))</f>
        <v/>
      </c>
      <c r="CR143">
        <f>IF(U142&lt;=0,CO143,MAX(0,$F$23+CO143-U142-CP143))</f>
        <v/>
      </c>
      <c r="CS143">
        <f>IF(V142&lt;=0,0,V142*$E$24/12)</f>
        <v/>
      </c>
      <c r="CT143">
        <f>IF(V142&lt;=0,0,MIN(V142+CS143,$F$24+CR143))</f>
        <v/>
      </c>
      <c r="CU143">
        <f>IF(V142&lt;=0,CR143,MAX(0,$F$24+CR143-V142-CS143))</f>
        <v/>
      </c>
    </row>
    <row r="144">
      <c r="B144" s="39" t="n">
        <v>118</v>
      </c>
      <c r="C144" s="13">
        <f>IF(C143&lt;=0,0,MAX(0,C143+AN144-AO144))</f>
        <v/>
      </c>
      <c r="D144" s="13">
        <f>IF(D143&lt;=0,0,MAX(0,D143+AQ144-AR144))</f>
        <v/>
      </c>
      <c r="E144" s="13">
        <f>IF(E143&lt;=0,0,MAX(0,E143+AT144-AU144))</f>
        <v/>
      </c>
      <c r="F144" s="13">
        <f>IF(F143&lt;=0,0,MAX(0,F143+AW144-AX144))</f>
        <v/>
      </c>
      <c r="G144" s="13">
        <f>IF(G143&lt;=0,0,MAX(0,G143+AZ144-BA144))</f>
        <v/>
      </c>
      <c r="H144" s="13">
        <f>IF(H143&lt;=0,0,MAX(0,H143+BC144-BD144))</f>
        <v/>
      </c>
      <c r="I144" s="13">
        <f>IF(I143&lt;=0,0,MAX(0,I143+BF144-BG144))</f>
        <v/>
      </c>
      <c r="J144" s="13">
        <f>IF(J143&lt;=0,0,MAX(0,J143+BI144-BJ144))</f>
        <v/>
      </c>
      <c r="K144" s="13">
        <f>IF(K143&lt;=0,0,MAX(0,K143+BL144-BM144))</f>
        <v/>
      </c>
      <c r="L144" s="13">
        <f>IF(L143&lt;=0,0,MAX(0,L143+BO144-BP144))</f>
        <v/>
      </c>
      <c r="M144" s="13">
        <f>IF(M143&lt;=0,0,MAX(0,M143+BR144-BS144))</f>
        <v/>
      </c>
      <c r="N144" s="13">
        <f>IF(N143&lt;=0,0,MAX(0,N143+BU144-BV144))</f>
        <v/>
      </c>
      <c r="O144" s="13">
        <f>IF(O143&lt;=0,0,MAX(0,O143+BX144-BY144))</f>
        <v/>
      </c>
      <c r="P144" s="13">
        <f>IF(P143&lt;=0,0,MAX(0,P143+CA144-CB144))</f>
        <v/>
      </c>
      <c r="Q144" s="13">
        <f>IF(Q143&lt;=0,0,MAX(0,Q143+CD144-CE144))</f>
        <v/>
      </c>
      <c r="R144" s="13">
        <f>IF(R143&lt;=0,0,MAX(0,R143+CG144-CH144))</f>
        <v/>
      </c>
      <c r="S144" s="13">
        <f>IF(S143&lt;=0,0,MAX(0,S143+CJ144-CK144))</f>
        <v/>
      </c>
      <c r="T144" s="13">
        <f>IF(T143&lt;=0,0,MAX(0,T143+CM144-CN144))</f>
        <v/>
      </c>
      <c r="U144" s="13">
        <f>IF(U143&lt;=0,0,MAX(0,U143+CP144-CQ144))</f>
        <v/>
      </c>
      <c r="V144" s="13">
        <f>IF(V143&lt;=0,0,MAX(0,V143+CS144-CT144))</f>
        <v/>
      </c>
      <c r="W144" s="13">
        <f>AO144+AR144+AU144+AX144+BA144+BD144+BG144+BJ144+BM144+BP144+BS144+BV144+BY144+CB144+CE144+CH144+CK144+CN144+CQ144+CT144</f>
        <v/>
      </c>
      <c r="X144" s="13">
        <f>AN144+AQ144+AT144+AW144+AZ144+BC144+BF144+BI144+BL144+BO144+BR144+BU144+BX144+CA144+CD144+CG144+CJ144+CM144+CP144+CS144</f>
        <v/>
      </c>
      <c r="Y144" s="27">
        <f>C144+D144+E144+F144+G144+H144+I144+J144+K144+L144+M144+N144+O144+P144+Q144+R144+S144+T144+U144+V144</f>
        <v/>
      </c>
      <c r="AN144">
        <f>IF(C143&lt;=0,0,C143*$E$5/12)</f>
        <v/>
      </c>
      <c r="AO144">
        <f>IF(C143&lt;=0,0,MIN(C143+AN144,$F$5+(Dashboard!$C$11+IF(C143&lt;=0,$F$5,0)+IF(D143&lt;=0,$F$6,0)+IF(E143&lt;=0,$F$7,0)+IF(F143&lt;=0,$F$8,0)+IF(G143&lt;=0,$F$9,0)+IF(H143&lt;=0,$F$10,0)+IF(I143&lt;=0,$F$11,0)+IF(J143&lt;=0,$F$12,0)+IF(K143&lt;=0,$F$13,0)+IF(L143&lt;=0,$F$14,0)+IF(M143&lt;=0,$F$15,0)+IF(N143&lt;=0,$F$16,0)+IF(O143&lt;=0,$F$17,0)+IF(P143&lt;=0,$F$18,0)+IF(Q143&lt;=0,$F$19,0)+IF(R143&lt;=0,$F$20,0)+IF(S143&lt;=0,$F$21,0)+IF(T143&lt;=0,$F$22,0)+IF(U143&lt;=0,$F$23,0)+IF(V143&lt;=0,$F$24,0))))</f>
        <v/>
      </c>
      <c r="AP144">
        <f>IF(C143&lt;=0,(Dashboard!$C$11+IF(C143&lt;=0,$F$5,0)+IF(D143&lt;=0,$F$6,0)+IF(E143&lt;=0,$F$7,0)+IF(F143&lt;=0,$F$8,0)+IF(G143&lt;=0,$F$9,0)+IF(H143&lt;=0,$F$10,0)+IF(I143&lt;=0,$F$11,0)+IF(J143&lt;=0,$F$12,0)+IF(K143&lt;=0,$F$13,0)+IF(L143&lt;=0,$F$14,0)+IF(M143&lt;=0,$F$15,0)+IF(N143&lt;=0,$F$16,0)+IF(O143&lt;=0,$F$17,0)+IF(P143&lt;=0,$F$18,0)+IF(Q143&lt;=0,$F$19,0)+IF(R143&lt;=0,$F$20,0)+IF(S143&lt;=0,$F$21,0)+IF(T143&lt;=0,$F$22,0)+IF(U143&lt;=0,$F$23,0)+IF(V143&lt;=0,$F$24,0)),MAX(0,$F$5+(Dashboard!$C$11+IF(C143&lt;=0,$F$5,0)+IF(D143&lt;=0,$F$6,0)+IF(E143&lt;=0,$F$7,0)+IF(F143&lt;=0,$F$8,0)+IF(G143&lt;=0,$F$9,0)+IF(H143&lt;=0,$F$10,0)+IF(I143&lt;=0,$F$11,0)+IF(J143&lt;=0,$F$12,0)+IF(K143&lt;=0,$F$13,0)+IF(L143&lt;=0,$F$14,0)+IF(M143&lt;=0,$F$15,0)+IF(N143&lt;=0,$F$16,0)+IF(O143&lt;=0,$F$17,0)+IF(P143&lt;=0,$F$18,0)+IF(Q143&lt;=0,$F$19,0)+IF(R143&lt;=0,$F$20,0)+IF(S143&lt;=0,$F$21,0)+IF(T143&lt;=0,$F$22,0)+IF(U143&lt;=0,$F$23,0)+IF(V143&lt;=0,$F$24,0))-C143-AN144))</f>
        <v/>
      </c>
      <c r="AQ144">
        <f>IF(D143&lt;=0,0,D143*$E$6/12)</f>
        <v/>
      </c>
      <c r="AR144">
        <f>IF(D143&lt;=0,0,MIN(D143+AQ144,$F$6+AP144))</f>
        <v/>
      </c>
      <c r="AS144">
        <f>IF(D143&lt;=0,AP144,MAX(0,$F$6+AP144-D143-AQ144))</f>
        <v/>
      </c>
      <c r="AT144">
        <f>IF(E143&lt;=0,0,E143*$E$7/12)</f>
        <v/>
      </c>
      <c r="AU144">
        <f>IF(E143&lt;=0,0,MIN(E143+AT144,$F$7+AS144))</f>
        <v/>
      </c>
      <c r="AV144">
        <f>IF(E143&lt;=0,AS144,MAX(0,$F$7+AS144-E143-AT144))</f>
        <v/>
      </c>
      <c r="AW144">
        <f>IF(F143&lt;=0,0,F143*$E$8/12)</f>
        <v/>
      </c>
      <c r="AX144">
        <f>IF(F143&lt;=0,0,MIN(F143+AW144,$F$8+AV144))</f>
        <v/>
      </c>
      <c r="AY144">
        <f>IF(F143&lt;=0,AV144,MAX(0,$F$8+AV144-F143-AW144))</f>
        <v/>
      </c>
      <c r="AZ144">
        <f>IF(G143&lt;=0,0,G143*$E$9/12)</f>
        <v/>
      </c>
      <c r="BA144">
        <f>IF(G143&lt;=0,0,MIN(G143+AZ144,$F$9+AY144))</f>
        <v/>
      </c>
      <c r="BB144">
        <f>IF(G143&lt;=0,AY144,MAX(0,$F$9+AY144-G143-AZ144))</f>
        <v/>
      </c>
      <c r="BC144">
        <f>IF(H143&lt;=0,0,H143*$E$10/12)</f>
        <v/>
      </c>
      <c r="BD144">
        <f>IF(H143&lt;=0,0,MIN(H143+BC144,$F$10+BB144))</f>
        <v/>
      </c>
      <c r="BE144">
        <f>IF(H143&lt;=0,BB144,MAX(0,$F$10+BB144-H143-BC144))</f>
        <v/>
      </c>
      <c r="BF144">
        <f>IF(I143&lt;=0,0,I143*$E$11/12)</f>
        <v/>
      </c>
      <c r="BG144">
        <f>IF(I143&lt;=0,0,MIN(I143+BF144,$F$11+BE144))</f>
        <v/>
      </c>
      <c r="BH144">
        <f>IF(I143&lt;=0,BE144,MAX(0,$F$11+BE144-I143-BF144))</f>
        <v/>
      </c>
      <c r="BI144">
        <f>IF(J143&lt;=0,0,J143*$E$12/12)</f>
        <v/>
      </c>
      <c r="BJ144">
        <f>IF(J143&lt;=0,0,MIN(J143+BI144,$F$12+BH144))</f>
        <v/>
      </c>
      <c r="BK144">
        <f>IF(J143&lt;=0,BH144,MAX(0,$F$12+BH144-J143-BI144))</f>
        <v/>
      </c>
      <c r="BL144">
        <f>IF(K143&lt;=0,0,K143*$E$13/12)</f>
        <v/>
      </c>
      <c r="BM144">
        <f>IF(K143&lt;=0,0,MIN(K143+BL144,$F$13+BK144))</f>
        <v/>
      </c>
      <c r="BN144">
        <f>IF(K143&lt;=0,BK144,MAX(0,$F$13+BK144-K143-BL144))</f>
        <v/>
      </c>
      <c r="BO144">
        <f>IF(L143&lt;=0,0,L143*$E$14/12)</f>
        <v/>
      </c>
      <c r="BP144">
        <f>IF(L143&lt;=0,0,MIN(L143+BO144,$F$14+BN144))</f>
        <v/>
      </c>
      <c r="BQ144">
        <f>IF(L143&lt;=0,BN144,MAX(0,$F$14+BN144-L143-BO144))</f>
        <v/>
      </c>
      <c r="BR144">
        <f>IF(M143&lt;=0,0,M143*$E$15/12)</f>
        <v/>
      </c>
      <c r="BS144">
        <f>IF(M143&lt;=0,0,MIN(M143+BR144,$F$15+BQ144))</f>
        <v/>
      </c>
      <c r="BT144">
        <f>IF(M143&lt;=0,BQ144,MAX(0,$F$15+BQ144-M143-BR144))</f>
        <v/>
      </c>
      <c r="BU144">
        <f>IF(N143&lt;=0,0,N143*$E$16/12)</f>
        <v/>
      </c>
      <c r="BV144">
        <f>IF(N143&lt;=0,0,MIN(N143+BU144,$F$16+BT144))</f>
        <v/>
      </c>
      <c r="BW144">
        <f>IF(N143&lt;=0,BT144,MAX(0,$F$16+BT144-N143-BU144))</f>
        <v/>
      </c>
      <c r="BX144">
        <f>IF(O143&lt;=0,0,O143*$E$17/12)</f>
        <v/>
      </c>
      <c r="BY144">
        <f>IF(O143&lt;=0,0,MIN(O143+BX144,$F$17+BW144))</f>
        <v/>
      </c>
      <c r="BZ144">
        <f>IF(O143&lt;=0,BW144,MAX(0,$F$17+BW144-O143-BX144))</f>
        <v/>
      </c>
      <c r="CA144">
        <f>IF(P143&lt;=0,0,P143*$E$18/12)</f>
        <v/>
      </c>
      <c r="CB144">
        <f>IF(P143&lt;=0,0,MIN(P143+CA144,$F$18+BZ144))</f>
        <v/>
      </c>
      <c r="CC144">
        <f>IF(P143&lt;=0,BZ144,MAX(0,$F$18+BZ144-P143-CA144))</f>
        <v/>
      </c>
      <c r="CD144">
        <f>IF(Q143&lt;=0,0,Q143*$E$19/12)</f>
        <v/>
      </c>
      <c r="CE144">
        <f>IF(Q143&lt;=0,0,MIN(Q143+CD144,$F$19+CC144))</f>
        <v/>
      </c>
      <c r="CF144">
        <f>IF(Q143&lt;=0,CC144,MAX(0,$F$19+CC144-Q143-CD144))</f>
        <v/>
      </c>
      <c r="CG144">
        <f>IF(R143&lt;=0,0,R143*$E$20/12)</f>
        <v/>
      </c>
      <c r="CH144">
        <f>IF(R143&lt;=0,0,MIN(R143+CG144,$F$20+CF144))</f>
        <v/>
      </c>
      <c r="CI144">
        <f>IF(R143&lt;=0,CF144,MAX(0,$F$20+CF144-R143-CG144))</f>
        <v/>
      </c>
      <c r="CJ144">
        <f>IF(S143&lt;=0,0,S143*$E$21/12)</f>
        <v/>
      </c>
      <c r="CK144">
        <f>IF(S143&lt;=0,0,MIN(S143+CJ144,$F$21+CI144))</f>
        <v/>
      </c>
      <c r="CL144">
        <f>IF(S143&lt;=0,CI144,MAX(0,$F$21+CI144-S143-CJ144))</f>
        <v/>
      </c>
      <c r="CM144">
        <f>IF(T143&lt;=0,0,T143*$E$22/12)</f>
        <v/>
      </c>
      <c r="CN144">
        <f>IF(T143&lt;=0,0,MIN(T143+CM144,$F$22+CL144))</f>
        <v/>
      </c>
      <c r="CO144">
        <f>IF(T143&lt;=0,CL144,MAX(0,$F$22+CL144-T143-CM144))</f>
        <v/>
      </c>
      <c r="CP144">
        <f>IF(U143&lt;=0,0,U143*$E$23/12)</f>
        <v/>
      </c>
      <c r="CQ144">
        <f>IF(U143&lt;=0,0,MIN(U143+CP144,$F$23+CO144))</f>
        <v/>
      </c>
      <c r="CR144">
        <f>IF(U143&lt;=0,CO144,MAX(0,$F$23+CO144-U143-CP144))</f>
        <v/>
      </c>
      <c r="CS144">
        <f>IF(V143&lt;=0,0,V143*$E$24/12)</f>
        <v/>
      </c>
      <c r="CT144">
        <f>IF(V143&lt;=0,0,MIN(V143+CS144,$F$24+CR144))</f>
        <v/>
      </c>
      <c r="CU144">
        <f>IF(V143&lt;=0,CR144,MAX(0,$F$24+CR144-V143-CS144))</f>
        <v/>
      </c>
    </row>
    <row r="145">
      <c r="B145" s="39" t="n">
        <v>119</v>
      </c>
      <c r="C145" s="13">
        <f>IF(C144&lt;=0,0,MAX(0,C144+AN145-AO145))</f>
        <v/>
      </c>
      <c r="D145" s="13">
        <f>IF(D144&lt;=0,0,MAX(0,D144+AQ145-AR145))</f>
        <v/>
      </c>
      <c r="E145" s="13">
        <f>IF(E144&lt;=0,0,MAX(0,E144+AT145-AU145))</f>
        <v/>
      </c>
      <c r="F145" s="13">
        <f>IF(F144&lt;=0,0,MAX(0,F144+AW145-AX145))</f>
        <v/>
      </c>
      <c r="G145" s="13">
        <f>IF(G144&lt;=0,0,MAX(0,G144+AZ145-BA145))</f>
        <v/>
      </c>
      <c r="H145" s="13">
        <f>IF(H144&lt;=0,0,MAX(0,H144+BC145-BD145))</f>
        <v/>
      </c>
      <c r="I145" s="13">
        <f>IF(I144&lt;=0,0,MAX(0,I144+BF145-BG145))</f>
        <v/>
      </c>
      <c r="J145" s="13">
        <f>IF(J144&lt;=0,0,MAX(0,J144+BI145-BJ145))</f>
        <v/>
      </c>
      <c r="K145" s="13">
        <f>IF(K144&lt;=0,0,MAX(0,K144+BL145-BM145))</f>
        <v/>
      </c>
      <c r="L145" s="13">
        <f>IF(L144&lt;=0,0,MAX(0,L144+BO145-BP145))</f>
        <v/>
      </c>
      <c r="M145" s="13">
        <f>IF(M144&lt;=0,0,MAX(0,M144+BR145-BS145))</f>
        <v/>
      </c>
      <c r="N145" s="13">
        <f>IF(N144&lt;=0,0,MAX(0,N144+BU145-BV145))</f>
        <v/>
      </c>
      <c r="O145" s="13">
        <f>IF(O144&lt;=0,0,MAX(0,O144+BX145-BY145))</f>
        <v/>
      </c>
      <c r="P145" s="13">
        <f>IF(P144&lt;=0,0,MAX(0,P144+CA145-CB145))</f>
        <v/>
      </c>
      <c r="Q145" s="13">
        <f>IF(Q144&lt;=0,0,MAX(0,Q144+CD145-CE145))</f>
        <v/>
      </c>
      <c r="R145" s="13">
        <f>IF(R144&lt;=0,0,MAX(0,R144+CG145-CH145))</f>
        <v/>
      </c>
      <c r="S145" s="13">
        <f>IF(S144&lt;=0,0,MAX(0,S144+CJ145-CK145))</f>
        <v/>
      </c>
      <c r="T145" s="13">
        <f>IF(T144&lt;=0,0,MAX(0,T144+CM145-CN145))</f>
        <v/>
      </c>
      <c r="U145" s="13">
        <f>IF(U144&lt;=0,0,MAX(0,U144+CP145-CQ145))</f>
        <v/>
      </c>
      <c r="V145" s="13">
        <f>IF(V144&lt;=0,0,MAX(0,V144+CS145-CT145))</f>
        <v/>
      </c>
      <c r="W145" s="13">
        <f>AO145+AR145+AU145+AX145+BA145+BD145+BG145+BJ145+BM145+BP145+BS145+BV145+BY145+CB145+CE145+CH145+CK145+CN145+CQ145+CT145</f>
        <v/>
      </c>
      <c r="X145" s="13">
        <f>AN145+AQ145+AT145+AW145+AZ145+BC145+BF145+BI145+BL145+BO145+BR145+BU145+BX145+CA145+CD145+CG145+CJ145+CM145+CP145+CS145</f>
        <v/>
      </c>
      <c r="Y145" s="27">
        <f>C145+D145+E145+F145+G145+H145+I145+J145+K145+L145+M145+N145+O145+P145+Q145+R145+S145+T145+U145+V145</f>
        <v/>
      </c>
      <c r="AN145">
        <f>IF(C144&lt;=0,0,C144*$E$5/12)</f>
        <v/>
      </c>
      <c r="AO145">
        <f>IF(C144&lt;=0,0,MIN(C144+AN145,$F$5+(Dashboard!$C$11+IF(C144&lt;=0,$F$5,0)+IF(D144&lt;=0,$F$6,0)+IF(E144&lt;=0,$F$7,0)+IF(F144&lt;=0,$F$8,0)+IF(G144&lt;=0,$F$9,0)+IF(H144&lt;=0,$F$10,0)+IF(I144&lt;=0,$F$11,0)+IF(J144&lt;=0,$F$12,0)+IF(K144&lt;=0,$F$13,0)+IF(L144&lt;=0,$F$14,0)+IF(M144&lt;=0,$F$15,0)+IF(N144&lt;=0,$F$16,0)+IF(O144&lt;=0,$F$17,0)+IF(P144&lt;=0,$F$18,0)+IF(Q144&lt;=0,$F$19,0)+IF(R144&lt;=0,$F$20,0)+IF(S144&lt;=0,$F$21,0)+IF(T144&lt;=0,$F$22,0)+IF(U144&lt;=0,$F$23,0)+IF(V144&lt;=0,$F$24,0))))</f>
        <v/>
      </c>
      <c r="AP145">
        <f>IF(C144&lt;=0,(Dashboard!$C$11+IF(C144&lt;=0,$F$5,0)+IF(D144&lt;=0,$F$6,0)+IF(E144&lt;=0,$F$7,0)+IF(F144&lt;=0,$F$8,0)+IF(G144&lt;=0,$F$9,0)+IF(H144&lt;=0,$F$10,0)+IF(I144&lt;=0,$F$11,0)+IF(J144&lt;=0,$F$12,0)+IF(K144&lt;=0,$F$13,0)+IF(L144&lt;=0,$F$14,0)+IF(M144&lt;=0,$F$15,0)+IF(N144&lt;=0,$F$16,0)+IF(O144&lt;=0,$F$17,0)+IF(P144&lt;=0,$F$18,0)+IF(Q144&lt;=0,$F$19,0)+IF(R144&lt;=0,$F$20,0)+IF(S144&lt;=0,$F$21,0)+IF(T144&lt;=0,$F$22,0)+IF(U144&lt;=0,$F$23,0)+IF(V144&lt;=0,$F$24,0)),MAX(0,$F$5+(Dashboard!$C$11+IF(C144&lt;=0,$F$5,0)+IF(D144&lt;=0,$F$6,0)+IF(E144&lt;=0,$F$7,0)+IF(F144&lt;=0,$F$8,0)+IF(G144&lt;=0,$F$9,0)+IF(H144&lt;=0,$F$10,0)+IF(I144&lt;=0,$F$11,0)+IF(J144&lt;=0,$F$12,0)+IF(K144&lt;=0,$F$13,0)+IF(L144&lt;=0,$F$14,0)+IF(M144&lt;=0,$F$15,0)+IF(N144&lt;=0,$F$16,0)+IF(O144&lt;=0,$F$17,0)+IF(P144&lt;=0,$F$18,0)+IF(Q144&lt;=0,$F$19,0)+IF(R144&lt;=0,$F$20,0)+IF(S144&lt;=0,$F$21,0)+IF(T144&lt;=0,$F$22,0)+IF(U144&lt;=0,$F$23,0)+IF(V144&lt;=0,$F$24,0))-C144-AN145))</f>
        <v/>
      </c>
      <c r="AQ145">
        <f>IF(D144&lt;=0,0,D144*$E$6/12)</f>
        <v/>
      </c>
      <c r="AR145">
        <f>IF(D144&lt;=0,0,MIN(D144+AQ145,$F$6+AP145))</f>
        <v/>
      </c>
      <c r="AS145">
        <f>IF(D144&lt;=0,AP145,MAX(0,$F$6+AP145-D144-AQ145))</f>
        <v/>
      </c>
      <c r="AT145">
        <f>IF(E144&lt;=0,0,E144*$E$7/12)</f>
        <v/>
      </c>
      <c r="AU145">
        <f>IF(E144&lt;=0,0,MIN(E144+AT145,$F$7+AS145))</f>
        <v/>
      </c>
      <c r="AV145">
        <f>IF(E144&lt;=0,AS145,MAX(0,$F$7+AS145-E144-AT145))</f>
        <v/>
      </c>
      <c r="AW145">
        <f>IF(F144&lt;=0,0,F144*$E$8/12)</f>
        <v/>
      </c>
      <c r="AX145">
        <f>IF(F144&lt;=0,0,MIN(F144+AW145,$F$8+AV145))</f>
        <v/>
      </c>
      <c r="AY145">
        <f>IF(F144&lt;=0,AV145,MAX(0,$F$8+AV145-F144-AW145))</f>
        <v/>
      </c>
      <c r="AZ145">
        <f>IF(G144&lt;=0,0,G144*$E$9/12)</f>
        <v/>
      </c>
      <c r="BA145">
        <f>IF(G144&lt;=0,0,MIN(G144+AZ145,$F$9+AY145))</f>
        <v/>
      </c>
      <c r="BB145">
        <f>IF(G144&lt;=0,AY145,MAX(0,$F$9+AY145-G144-AZ145))</f>
        <v/>
      </c>
      <c r="BC145">
        <f>IF(H144&lt;=0,0,H144*$E$10/12)</f>
        <v/>
      </c>
      <c r="BD145">
        <f>IF(H144&lt;=0,0,MIN(H144+BC145,$F$10+BB145))</f>
        <v/>
      </c>
      <c r="BE145">
        <f>IF(H144&lt;=0,BB145,MAX(0,$F$10+BB145-H144-BC145))</f>
        <v/>
      </c>
      <c r="BF145">
        <f>IF(I144&lt;=0,0,I144*$E$11/12)</f>
        <v/>
      </c>
      <c r="BG145">
        <f>IF(I144&lt;=0,0,MIN(I144+BF145,$F$11+BE145))</f>
        <v/>
      </c>
      <c r="BH145">
        <f>IF(I144&lt;=0,BE145,MAX(0,$F$11+BE145-I144-BF145))</f>
        <v/>
      </c>
      <c r="BI145">
        <f>IF(J144&lt;=0,0,J144*$E$12/12)</f>
        <v/>
      </c>
      <c r="BJ145">
        <f>IF(J144&lt;=0,0,MIN(J144+BI145,$F$12+BH145))</f>
        <v/>
      </c>
      <c r="BK145">
        <f>IF(J144&lt;=0,BH145,MAX(0,$F$12+BH145-J144-BI145))</f>
        <v/>
      </c>
      <c r="BL145">
        <f>IF(K144&lt;=0,0,K144*$E$13/12)</f>
        <v/>
      </c>
      <c r="BM145">
        <f>IF(K144&lt;=0,0,MIN(K144+BL145,$F$13+BK145))</f>
        <v/>
      </c>
      <c r="BN145">
        <f>IF(K144&lt;=0,BK145,MAX(0,$F$13+BK145-K144-BL145))</f>
        <v/>
      </c>
      <c r="BO145">
        <f>IF(L144&lt;=0,0,L144*$E$14/12)</f>
        <v/>
      </c>
      <c r="BP145">
        <f>IF(L144&lt;=0,0,MIN(L144+BO145,$F$14+BN145))</f>
        <v/>
      </c>
      <c r="BQ145">
        <f>IF(L144&lt;=0,BN145,MAX(0,$F$14+BN145-L144-BO145))</f>
        <v/>
      </c>
      <c r="BR145">
        <f>IF(M144&lt;=0,0,M144*$E$15/12)</f>
        <v/>
      </c>
      <c r="BS145">
        <f>IF(M144&lt;=0,0,MIN(M144+BR145,$F$15+BQ145))</f>
        <v/>
      </c>
      <c r="BT145">
        <f>IF(M144&lt;=0,BQ145,MAX(0,$F$15+BQ145-M144-BR145))</f>
        <v/>
      </c>
      <c r="BU145">
        <f>IF(N144&lt;=0,0,N144*$E$16/12)</f>
        <v/>
      </c>
      <c r="BV145">
        <f>IF(N144&lt;=0,0,MIN(N144+BU145,$F$16+BT145))</f>
        <v/>
      </c>
      <c r="BW145">
        <f>IF(N144&lt;=0,BT145,MAX(0,$F$16+BT145-N144-BU145))</f>
        <v/>
      </c>
      <c r="BX145">
        <f>IF(O144&lt;=0,0,O144*$E$17/12)</f>
        <v/>
      </c>
      <c r="BY145">
        <f>IF(O144&lt;=0,0,MIN(O144+BX145,$F$17+BW145))</f>
        <v/>
      </c>
      <c r="BZ145">
        <f>IF(O144&lt;=0,BW145,MAX(0,$F$17+BW145-O144-BX145))</f>
        <v/>
      </c>
      <c r="CA145">
        <f>IF(P144&lt;=0,0,P144*$E$18/12)</f>
        <v/>
      </c>
      <c r="CB145">
        <f>IF(P144&lt;=0,0,MIN(P144+CA145,$F$18+BZ145))</f>
        <v/>
      </c>
      <c r="CC145">
        <f>IF(P144&lt;=0,BZ145,MAX(0,$F$18+BZ145-P144-CA145))</f>
        <v/>
      </c>
      <c r="CD145">
        <f>IF(Q144&lt;=0,0,Q144*$E$19/12)</f>
        <v/>
      </c>
      <c r="CE145">
        <f>IF(Q144&lt;=0,0,MIN(Q144+CD145,$F$19+CC145))</f>
        <v/>
      </c>
      <c r="CF145">
        <f>IF(Q144&lt;=0,CC145,MAX(0,$F$19+CC145-Q144-CD145))</f>
        <v/>
      </c>
      <c r="CG145">
        <f>IF(R144&lt;=0,0,R144*$E$20/12)</f>
        <v/>
      </c>
      <c r="CH145">
        <f>IF(R144&lt;=0,0,MIN(R144+CG145,$F$20+CF145))</f>
        <v/>
      </c>
      <c r="CI145">
        <f>IF(R144&lt;=0,CF145,MAX(0,$F$20+CF145-R144-CG145))</f>
        <v/>
      </c>
      <c r="CJ145">
        <f>IF(S144&lt;=0,0,S144*$E$21/12)</f>
        <v/>
      </c>
      <c r="CK145">
        <f>IF(S144&lt;=0,0,MIN(S144+CJ145,$F$21+CI145))</f>
        <v/>
      </c>
      <c r="CL145">
        <f>IF(S144&lt;=0,CI145,MAX(0,$F$21+CI145-S144-CJ145))</f>
        <v/>
      </c>
      <c r="CM145">
        <f>IF(T144&lt;=0,0,T144*$E$22/12)</f>
        <v/>
      </c>
      <c r="CN145">
        <f>IF(T144&lt;=0,0,MIN(T144+CM145,$F$22+CL145))</f>
        <v/>
      </c>
      <c r="CO145">
        <f>IF(T144&lt;=0,CL145,MAX(0,$F$22+CL145-T144-CM145))</f>
        <v/>
      </c>
      <c r="CP145">
        <f>IF(U144&lt;=0,0,U144*$E$23/12)</f>
        <v/>
      </c>
      <c r="CQ145">
        <f>IF(U144&lt;=0,0,MIN(U144+CP145,$F$23+CO145))</f>
        <v/>
      </c>
      <c r="CR145">
        <f>IF(U144&lt;=0,CO145,MAX(0,$F$23+CO145-U144-CP145))</f>
        <v/>
      </c>
      <c r="CS145">
        <f>IF(V144&lt;=0,0,V144*$E$24/12)</f>
        <v/>
      </c>
      <c r="CT145">
        <f>IF(V144&lt;=0,0,MIN(V144+CS145,$F$24+CR145))</f>
        <v/>
      </c>
      <c r="CU145">
        <f>IF(V144&lt;=0,CR145,MAX(0,$F$24+CR145-V144-CS145))</f>
        <v/>
      </c>
    </row>
    <row r="146">
      <c r="B146" s="39" t="n">
        <v>120</v>
      </c>
      <c r="C146" s="13">
        <f>IF(C145&lt;=0,0,MAX(0,C145+AN146-AO146))</f>
        <v/>
      </c>
      <c r="D146" s="13">
        <f>IF(D145&lt;=0,0,MAX(0,D145+AQ146-AR146))</f>
        <v/>
      </c>
      <c r="E146" s="13">
        <f>IF(E145&lt;=0,0,MAX(0,E145+AT146-AU146))</f>
        <v/>
      </c>
      <c r="F146" s="13">
        <f>IF(F145&lt;=0,0,MAX(0,F145+AW146-AX146))</f>
        <v/>
      </c>
      <c r="G146" s="13">
        <f>IF(G145&lt;=0,0,MAX(0,G145+AZ146-BA146))</f>
        <v/>
      </c>
      <c r="H146" s="13">
        <f>IF(H145&lt;=0,0,MAX(0,H145+BC146-BD146))</f>
        <v/>
      </c>
      <c r="I146" s="13">
        <f>IF(I145&lt;=0,0,MAX(0,I145+BF146-BG146))</f>
        <v/>
      </c>
      <c r="J146" s="13">
        <f>IF(J145&lt;=0,0,MAX(0,J145+BI146-BJ146))</f>
        <v/>
      </c>
      <c r="K146" s="13">
        <f>IF(K145&lt;=0,0,MAX(0,K145+BL146-BM146))</f>
        <v/>
      </c>
      <c r="L146" s="13">
        <f>IF(L145&lt;=0,0,MAX(0,L145+BO146-BP146))</f>
        <v/>
      </c>
      <c r="M146" s="13">
        <f>IF(M145&lt;=0,0,MAX(0,M145+BR146-BS146))</f>
        <v/>
      </c>
      <c r="N146" s="13">
        <f>IF(N145&lt;=0,0,MAX(0,N145+BU146-BV146))</f>
        <v/>
      </c>
      <c r="O146" s="13">
        <f>IF(O145&lt;=0,0,MAX(0,O145+BX146-BY146))</f>
        <v/>
      </c>
      <c r="P146" s="13">
        <f>IF(P145&lt;=0,0,MAX(0,P145+CA146-CB146))</f>
        <v/>
      </c>
      <c r="Q146" s="13">
        <f>IF(Q145&lt;=0,0,MAX(0,Q145+CD146-CE146))</f>
        <v/>
      </c>
      <c r="R146" s="13">
        <f>IF(R145&lt;=0,0,MAX(0,R145+CG146-CH146))</f>
        <v/>
      </c>
      <c r="S146" s="13">
        <f>IF(S145&lt;=0,0,MAX(0,S145+CJ146-CK146))</f>
        <v/>
      </c>
      <c r="T146" s="13">
        <f>IF(T145&lt;=0,0,MAX(0,T145+CM146-CN146))</f>
        <v/>
      </c>
      <c r="U146" s="13">
        <f>IF(U145&lt;=0,0,MAX(0,U145+CP146-CQ146))</f>
        <v/>
      </c>
      <c r="V146" s="13">
        <f>IF(V145&lt;=0,0,MAX(0,V145+CS146-CT146))</f>
        <v/>
      </c>
      <c r="W146" s="13">
        <f>AO146+AR146+AU146+AX146+BA146+BD146+BG146+BJ146+BM146+BP146+BS146+BV146+BY146+CB146+CE146+CH146+CK146+CN146+CQ146+CT146</f>
        <v/>
      </c>
      <c r="X146" s="13">
        <f>AN146+AQ146+AT146+AW146+AZ146+BC146+BF146+BI146+BL146+BO146+BR146+BU146+BX146+CA146+CD146+CG146+CJ146+CM146+CP146+CS146</f>
        <v/>
      </c>
      <c r="Y146" s="27">
        <f>C146+D146+E146+F146+G146+H146+I146+J146+K146+L146+M146+N146+O146+P146+Q146+R146+S146+T146+U146+V146</f>
        <v/>
      </c>
      <c r="AN146">
        <f>IF(C145&lt;=0,0,C145*$E$5/12)</f>
        <v/>
      </c>
      <c r="AO146">
        <f>IF(C145&lt;=0,0,MIN(C145+AN146,$F$5+(Dashboard!$C$11+IF(C145&lt;=0,$F$5,0)+IF(D145&lt;=0,$F$6,0)+IF(E145&lt;=0,$F$7,0)+IF(F145&lt;=0,$F$8,0)+IF(G145&lt;=0,$F$9,0)+IF(H145&lt;=0,$F$10,0)+IF(I145&lt;=0,$F$11,0)+IF(J145&lt;=0,$F$12,0)+IF(K145&lt;=0,$F$13,0)+IF(L145&lt;=0,$F$14,0)+IF(M145&lt;=0,$F$15,0)+IF(N145&lt;=0,$F$16,0)+IF(O145&lt;=0,$F$17,0)+IF(P145&lt;=0,$F$18,0)+IF(Q145&lt;=0,$F$19,0)+IF(R145&lt;=0,$F$20,0)+IF(S145&lt;=0,$F$21,0)+IF(T145&lt;=0,$F$22,0)+IF(U145&lt;=0,$F$23,0)+IF(V145&lt;=0,$F$24,0))))</f>
        <v/>
      </c>
      <c r="AP146">
        <f>IF(C145&lt;=0,(Dashboard!$C$11+IF(C145&lt;=0,$F$5,0)+IF(D145&lt;=0,$F$6,0)+IF(E145&lt;=0,$F$7,0)+IF(F145&lt;=0,$F$8,0)+IF(G145&lt;=0,$F$9,0)+IF(H145&lt;=0,$F$10,0)+IF(I145&lt;=0,$F$11,0)+IF(J145&lt;=0,$F$12,0)+IF(K145&lt;=0,$F$13,0)+IF(L145&lt;=0,$F$14,0)+IF(M145&lt;=0,$F$15,0)+IF(N145&lt;=0,$F$16,0)+IF(O145&lt;=0,$F$17,0)+IF(P145&lt;=0,$F$18,0)+IF(Q145&lt;=0,$F$19,0)+IF(R145&lt;=0,$F$20,0)+IF(S145&lt;=0,$F$21,0)+IF(T145&lt;=0,$F$22,0)+IF(U145&lt;=0,$F$23,0)+IF(V145&lt;=0,$F$24,0)),MAX(0,$F$5+(Dashboard!$C$11+IF(C145&lt;=0,$F$5,0)+IF(D145&lt;=0,$F$6,0)+IF(E145&lt;=0,$F$7,0)+IF(F145&lt;=0,$F$8,0)+IF(G145&lt;=0,$F$9,0)+IF(H145&lt;=0,$F$10,0)+IF(I145&lt;=0,$F$11,0)+IF(J145&lt;=0,$F$12,0)+IF(K145&lt;=0,$F$13,0)+IF(L145&lt;=0,$F$14,0)+IF(M145&lt;=0,$F$15,0)+IF(N145&lt;=0,$F$16,0)+IF(O145&lt;=0,$F$17,0)+IF(P145&lt;=0,$F$18,0)+IF(Q145&lt;=0,$F$19,0)+IF(R145&lt;=0,$F$20,0)+IF(S145&lt;=0,$F$21,0)+IF(T145&lt;=0,$F$22,0)+IF(U145&lt;=0,$F$23,0)+IF(V145&lt;=0,$F$24,0))-C145-AN146))</f>
        <v/>
      </c>
      <c r="AQ146">
        <f>IF(D145&lt;=0,0,D145*$E$6/12)</f>
        <v/>
      </c>
      <c r="AR146">
        <f>IF(D145&lt;=0,0,MIN(D145+AQ146,$F$6+AP146))</f>
        <v/>
      </c>
      <c r="AS146">
        <f>IF(D145&lt;=0,AP146,MAX(0,$F$6+AP146-D145-AQ146))</f>
        <v/>
      </c>
      <c r="AT146">
        <f>IF(E145&lt;=0,0,E145*$E$7/12)</f>
        <v/>
      </c>
      <c r="AU146">
        <f>IF(E145&lt;=0,0,MIN(E145+AT146,$F$7+AS146))</f>
        <v/>
      </c>
      <c r="AV146">
        <f>IF(E145&lt;=0,AS146,MAX(0,$F$7+AS146-E145-AT146))</f>
        <v/>
      </c>
      <c r="AW146">
        <f>IF(F145&lt;=0,0,F145*$E$8/12)</f>
        <v/>
      </c>
      <c r="AX146">
        <f>IF(F145&lt;=0,0,MIN(F145+AW146,$F$8+AV146))</f>
        <v/>
      </c>
      <c r="AY146">
        <f>IF(F145&lt;=0,AV146,MAX(0,$F$8+AV146-F145-AW146))</f>
        <v/>
      </c>
      <c r="AZ146">
        <f>IF(G145&lt;=0,0,G145*$E$9/12)</f>
        <v/>
      </c>
      <c r="BA146">
        <f>IF(G145&lt;=0,0,MIN(G145+AZ146,$F$9+AY146))</f>
        <v/>
      </c>
      <c r="BB146">
        <f>IF(G145&lt;=0,AY146,MAX(0,$F$9+AY146-G145-AZ146))</f>
        <v/>
      </c>
      <c r="BC146">
        <f>IF(H145&lt;=0,0,H145*$E$10/12)</f>
        <v/>
      </c>
      <c r="BD146">
        <f>IF(H145&lt;=0,0,MIN(H145+BC146,$F$10+BB146))</f>
        <v/>
      </c>
      <c r="BE146">
        <f>IF(H145&lt;=0,BB146,MAX(0,$F$10+BB146-H145-BC146))</f>
        <v/>
      </c>
      <c r="BF146">
        <f>IF(I145&lt;=0,0,I145*$E$11/12)</f>
        <v/>
      </c>
      <c r="BG146">
        <f>IF(I145&lt;=0,0,MIN(I145+BF146,$F$11+BE146))</f>
        <v/>
      </c>
      <c r="BH146">
        <f>IF(I145&lt;=0,BE146,MAX(0,$F$11+BE146-I145-BF146))</f>
        <v/>
      </c>
      <c r="BI146">
        <f>IF(J145&lt;=0,0,J145*$E$12/12)</f>
        <v/>
      </c>
      <c r="BJ146">
        <f>IF(J145&lt;=0,0,MIN(J145+BI146,$F$12+BH146))</f>
        <v/>
      </c>
      <c r="BK146">
        <f>IF(J145&lt;=0,BH146,MAX(0,$F$12+BH146-J145-BI146))</f>
        <v/>
      </c>
      <c r="BL146">
        <f>IF(K145&lt;=0,0,K145*$E$13/12)</f>
        <v/>
      </c>
      <c r="BM146">
        <f>IF(K145&lt;=0,0,MIN(K145+BL146,$F$13+BK146))</f>
        <v/>
      </c>
      <c r="BN146">
        <f>IF(K145&lt;=0,BK146,MAX(0,$F$13+BK146-K145-BL146))</f>
        <v/>
      </c>
      <c r="BO146">
        <f>IF(L145&lt;=0,0,L145*$E$14/12)</f>
        <v/>
      </c>
      <c r="BP146">
        <f>IF(L145&lt;=0,0,MIN(L145+BO146,$F$14+BN146))</f>
        <v/>
      </c>
      <c r="BQ146">
        <f>IF(L145&lt;=0,BN146,MAX(0,$F$14+BN146-L145-BO146))</f>
        <v/>
      </c>
      <c r="BR146">
        <f>IF(M145&lt;=0,0,M145*$E$15/12)</f>
        <v/>
      </c>
      <c r="BS146">
        <f>IF(M145&lt;=0,0,MIN(M145+BR146,$F$15+BQ146))</f>
        <v/>
      </c>
      <c r="BT146">
        <f>IF(M145&lt;=0,BQ146,MAX(0,$F$15+BQ146-M145-BR146))</f>
        <v/>
      </c>
      <c r="BU146">
        <f>IF(N145&lt;=0,0,N145*$E$16/12)</f>
        <v/>
      </c>
      <c r="BV146">
        <f>IF(N145&lt;=0,0,MIN(N145+BU146,$F$16+BT146))</f>
        <v/>
      </c>
      <c r="BW146">
        <f>IF(N145&lt;=0,BT146,MAX(0,$F$16+BT146-N145-BU146))</f>
        <v/>
      </c>
      <c r="BX146">
        <f>IF(O145&lt;=0,0,O145*$E$17/12)</f>
        <v/>
      </c>
      <c r="BY146">
        <f>IF(O145&lt;=0,0,MIN(O145+BX146,$F$17+BW146))</f>
        <v/>
      </c>
      <c r="BZ146">
        <f>IF(O145&lt;=0,BW146,MAX(0,$F$17+BW146-O145-BX146))</f>
        <v/>
      </c>
      <c r="CA146">
        <f>IF(P145&lt;=0,0,P145*$E$18/12)</f>
        <v/>
      </c>
      <c r="CB146">
        <f>IF(P145&lt;=0,0,MIN(P145+CA146,$F$18+BZ146))</f>
        <v/>
      </c>
      <c r="CC146">
        <f>IF(P145&lt;=0,BZ146,MAX(0,$F$18+BZ146-P145-CA146))</f>
        <v/>
      </c>
      <c r="CD146">
        <f>IF(Q145&lt;=0,0,Q145*$E$19/12)</f>
        <v/>
      </c>
      <c r="CE146">
        <f>IF(Q145&lt;=0,0,MIN(Q145+CD146,$F$19+CC146))</f>
        <v/>
      </c>
      <c r="CF146">
        <f>IF(Q145&lt;=0,CC146,MAX(0,$F$19+CC146-Q145-CD146))</f>
        <v/>
      </c>
      <c r="CG146">
        <f>IF(R145&lt;=0,0,R145*$E$20/12)</f>
        <v/>
      </c>
      <c r="CH146">
        <f>IF(R145&lt;=0,0,MIN(R145+CG146,$F$20+CF146))</f>
        <v/>
      </c>
      <c r="CI146">
        <f>IF(R145&lt;=0,CF146,MAX(0,$F$20+CF146-R145-CG146))</f>
        <v/>
      </c>
      <c r="CJ146">
        <f>IF(S145&lt;=0,0,S145*$E$21/12)</f>
        <v/>
      </c>
      <c r="CK146">
        <f>IF(S145&lt;=0,0,MIN(S145+CJ146,$F$21+CI146))</f>
        <v/>
      </c>
      <c r="CL146">
        <f>IF(S145&lt;=0,CI146,MAX(0,$F$21+CI146-S145-CJ146))</f>
        <v/>
      </c>
      <c r="CM146">
        <f>IF(T145&lt;=0,0,T145*$E$22/12)</f>
        <v/>
      </c>
      <c r="CN146">
        <f>IF(T145&lt;=0,0,MIN(T145+CM146,$F$22+CL146))</f>
        <v/>
      </c>
      <c r="CO146">
        <f>IF(T145&lt;=0,CL146,MAX(0,$F$22+CL146-T145-CM146))</f>
        <v/>
      </c>
      <c r="CP146">
        <f>IF(U145&lt;=0,0,U145*$E$23/12)</f>
        <v/>
      </c>
      <c r="CQ146">
        <f>IF(U145&lt;=0,0,MIN(U145+CP146,$F$23+CO146))</f>
        <v/>
      </c>
      <c r="CR146">
        <f>IF(U145&lt;=0,CO146,MAX(0,$F$23+CO146-U145-CP146))</f>
        <v/>
      </c>
      <c r="CS146">
        <f>IF(V145&lt;=0,0,V145*$E$24/12)</f>
        <v/>
      </c>
      <c r="CT146">
        <f>IF(V145&lt;=0,0,MIN(V145+CS146,$F$24+CR146))</f>
        <v/>
      </c>
      <c r="CU146">
        <f>IF(V145&lt;=0,CR146,MAX(0,$F$24+CR146-V145-CS146))</f>
        <v/>
      </c>
    </row>
  </sheetData>
  <mergeCells count="2">
    <mergeCell ref="B1:Y1"/>
    <mergeCell ref="B2:Y2"/>
  </mergeCells>
  <conditionalFormatting sqref="C27:C146">
    <cfRule type="expression" priority="1" dxfId="1">
      <formula>AND(C27=0,$D$5&gt;0)</formula>
    </cfRule>
  </conditionalFormatting>
  <conditionalFormatting sqref="D27:D146">
    <cfRule type="expression" priority="2" dxfId="1">
      <formula>AND(D27=0,$D$6&gt;0)</formula>
    </cfRule>
  </conditionalFormatting>
  <conditionalFormatting sqref="E27:E146">
    <cfRule type="expression" priority="3" dxfId="1">
      <formula>AND(E27=0,$D$7&gt;0)</formula>
    </cfRule>
  </conditionalFormatting>
  <conditionalFormatting sqref="F27:F146">
    <cfRule type="expression" priority="4" dxfId="1">
      <formula>AND(F27=0,$D$8&gt;0)</formula>
    </cfRule>
  </conditionalFormatting>
  <conditionalFormatting sqref="G27:G146">
    <cfRule type="expression" priority="5" dxfId="1">
      <formula>AND(G27=0,$D$9&gt;0)</formula>
    </cfRule>
  </conditionalFormatting>
  <conditionalFormatting sqref="H27:H146">
    <cfRule type="expression" priority="6" dxfId="1">
      <formula>AND(H27=0,$D$10&gt;0)</formula>
    </cfRule>
  </conditionalFormatting>
  <conditionalFormatting sqref="I27:I146">
    <cfRule type="expression" priority="7" dxfId="1">
      <formula>AND(I27=0,$D$11&gt;0)</formula>
    </cfRule>
  </conditionalFormatting>
  <conditionalFormatting sqref="J27:J146">
    <cfRule type="expression" priority="8" dxfId="1">
      <formula>AND(J27=0,$D$12&gt;0)</formula>
    </cfRule>
  </conditionalFormatting>
  <conditionalFormatting sqref="K27:K146">
    <cfRule type="expression" priority="9" dxfId="1">
      <formula>AND(K27=0,$D$13&gt;0)</formula>
    </cfRule>
  </conditionalFormatting>
  <conditionalFormatting sqref="L27:L146">
    <cfRule type="expression" priority="10" dxfId="1">
      <formula>AND(L27=0,$D$14&gt;0)</formula>
    </cfRule>
  </conditionalFormatting>
  <conditionalFormatting sqref="M27:M146">
    <cfRule type="expression" priority="11" dxfId="1">
      <formula>AND(M27=0,$D$15&gt;0)</formula>
    </cfRule>
  </conditionalFormatting>
  <conditionalFormatting sqref="N27:N146">
    <cfRule type="expression" priority="12" dxfId="1">
      <formula>AND(N27=0,$D$16&gt;0)</formula>
    </cfRule>
  </conditionalFormatting>
  <conditionalFormatting sqref="O27:O146">
    <cfRule type="expression" priority="13" dxfId="1">
      <formula>AND(O27=0,$D$17&gt;0)</formula>
    </cfRule>
  </conditionalFormatting>
  <conditionalFormatting sqref="P27:P146">
    <cfRule type="expression" priority="14" dxfId="1">
      <formula>AND(P27=0,$D$18&gt;0)</formula>
    </cfRule>
  </conditionalFormatting>
  <conditionalFormatting sqref="Q27:Q146">
    <cfRule type="expression" priority="15" dxfId="1">
      <formula>AND(Q27=0,$D$19&gt;0)</formula>
    </cfRule>
  </conditionalFormatting>
  <conditionalFormatting sqref="R27:R146">
    <cfRule type="expression" priority="16" dxfId="1">
      <formula>AND(R27=0,$D$20&gt;0)</formula>
    </cfRule>
  </conditionalFormatting>
  <conditionalFormatting sqref="S27:S146">
    <cfRule type="expression" priority="17" dxfId="1">
      <formula>AND(S27=0,$D$21&gt;0)</formula>
    </cfRule>
  </conditionalFormatting>
  <conditionalFormatting sqref="T27:T146">
    <cfRule type="expression" priority="18" dxfId="1">
      <formula>AND(T27=0,$D$22&gt;0)</formula>
    </cfRule>
  </conditionalFormatting>
  <conditionalFormatting sqref="U27:U146">
    <cfRule type="expression" priority="19" dxfId="1">
      <formula>AND(U27=0,$D$23&gt;0)</formula>
    </cfRule>
  </conditionalFormatting>
  <conditionalFormatting sqref="V27:V146">
    <cfRule type="expression" priority="20" dxfId="1">
      <formula>AND(V27=0,$D$24&gt;0)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D9488"/>
    <outlinePr summaryBelow="1" summaryRight="1"/>
    <pageSetUpPr/>
  </sheetPr>
  <dimension ref="A1:CU146"/>
  <sheetViews>
    <sheetView showGridLines="0" workbookViewId="0">
      <pane xSplit="2" ySplit="26" topLeftCell="C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8" customWidth="1" min="25" max="25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</cols>
  <sheetData>
    <row r="1">
      <c r="B1" s="38" t="inlineStr">
        <is>
          <t>AVALANCHE PLAN  (Highest Interest First)</t>
        </is>
      </c>
    </row>
    <row r="2">
      <c r="B2" s="2" t="inlineStr">
        <is>
          <t>Month-by-month payment schedule. Green cells = debt paid off!</t>
        </is>
      </c>
    </row>
    <row r="4">
      <c r="B4" s="8" t="inlineStr">
        <is>
          <t>#</t>
        </is>
      </c>
      <c r="C4" s="8" t="inlineStr">
        <is>
          <t>Debt Name</t>
        </is>
      </c>
      <c r="D4" s="8" t="inlineStr">
        <is>
          <t>Balance</t>
        </is>
      </c>
      <c r="E4" s="8" t="inlineStr">
        <is>
          <t>APR %</t>
        </is>
      </c>
      <c r="F4" s="8" t="inlineStr">
        <is>
          <t>Min Payment</t>
        </is>
      </c>
    </row>
    <row r="5">
      <c r="B5" s="39" t="n">
        <v>1</v>
      </c>
      <c r="C5" s="39">
        <f>IFERROR(INDEX('Debt Input'!B$5:B$24,MATCH(1,AI$5:AI$24,0)),"")</f>
        <v/>
      </c>
      <c r="D5" s="13">
        <f>IFERROR(INDEX('Debt Input'!C$5:C$24,MATCH(1,AI$5:AI$24,0)),0)</f>
        <v/>
      </c>
      <c r="E5" s="15">
        <f>IFERROR(INDEX('Debt Input'!D$5:D$24,MATCH(1,AI$5:AI$24,0)),0)</f>
        <v/>
      </c>
      <c r="F5" s="13">
        <f>IFERROR(INDEX('Debt Input'!E$5:E$24,MATCH(1,AI$5:AI$24,0)),0)</f>
        <v/>
      </c>
      <c r="AD5" t="n">
        <v>1</v>
      </c>
      <c r="AE5">
        <f>'Debt Input'!C5</f>
        <v/>
      </c>
      <c r="AF5">
        <f>'Debt Input'!D5</f>
        <v/>
      </c>
      <c r="AG5">
        <f>IF(AE5&gt;0,1,0)</f>
        <v/>
      </c>
      <c r="AH5">
        <f>IF(AG5=0,9999999999,-AF5+AD5*0.0000001)</f>
        <v/>
      </c>
      <c r="AI5">
        <f>RANK(AH5,AH$5:AH$24,1)</f>
        <v/>
      </c>
    </row>
    <row r="6">
      <c r="A6" s="33" t="n"/>
      <c r="B6" s="40" t="n">
        <v>2</v>
      </c>
      <c r="C6" s="40">
        <f>IFERROR(INDEX('Debt Input'!B$5:B$24,MATCH(2,AI$5:AI$24,0)),"")</f>
        <v/>
      </c>
      <c r="D6" s="41">
        <f>IFERROR(INDEX('Debt Input'!C$5:C$24,MATCH(2,AI$5:AI$24,0)),0)</f>
        <v/>
      </c>
      <c r="E6" s="42">
        <f>IFERROR(INDEX('Debt Input'!D$5:D$24,MATCH(2,AI$5:AI$24,0)),0)</f>
        <v/>
      </c>
      <c r="F6" s="41">
        <f>IFERROR(INDEX('Debt Input'!E$5:E$24,MATCH(2,AI$5:AI$24,0)),0)</f>
        <v/>
      </c>
      <c r="AD6" t="n">
        <v>2</v>
      </c>
      <c r="AE6">
        <f>'Debt Input'!C6</f>
        <v/>
      </c>
      <c r="AF6">
        <f>'Debt Input'!D6</f>
        <v/>
      </c>
      <c r="AG6">
        <f>IF(AE6&gt;0,1,0)</f>
        <v/>
      </c>
      <c r="AH6">
        <f>IF(AG6=0,9999999999,-AF6+AD6*0.0000001)</f>
        <v/>
      </c>
      <c r="AI6">
        <f>RANK(AH6,AH$5:AH$24,1)</f>
        <v/>
      </c>
    </row>
    <row r="7">
      <c r="B7" s="39" t="n">
        <v>3</v>
      </c>
      <c r="C7" s="39">
        <f>IFERROR(INDEX('Debt Input'!B$5:B$24,MATCH(3,AI$5:AI$24,0)),"")</f>
        <v/>
      </c>
      <c r="D7" s="13">
        <f>IFERROR(INDEX('Debt Input'!C$5:C$24,MATCH(3,AI$5:AI$24,0)),0)</f>
        <v/>
      </c>
      <c r="E7" s="15">
        <f>IFERROR(INDEX('Debt Input'!D$5:D$24,MATCH(3,AI$5:AI$24,0)),0)</f>
        <v/>
      </c>
      <c r="F7" s="13">
        <f>IFERROR(INDEX('Debt Input'!E$5:E$24,MATCH(3,AI$5:AI$24,0)),0)</f>
        <v/>
      </c>
      <c r="AD7" t="n">
        <v>3</v>
      </c>
      <c r="AE7">
        <f>'Debt Input'!C7</f>
        <v/>
      </c>
      <c r="AF7">
        <f>'Debt Input'!D7</f>
        <v/>
      </c>
      <c r="AG7">
        <f>IF(AE7&gt;0,1,0)</f>
        <v/>
      </c>
      <c r="AH7">
        <f>IF(AG7=0,9999999999,-AF7+AD7*0.0000001)</f>
        <v/>
      </c>
      <c r="AI7">
        <f>RANK(AH7,AH$5:AH$24,1)</f>
        <v/>
      </c>
    </row>
    <row r="8">
      <c r="A8" s="33" t="n"/>
      <c r="B8" s="40" t="n">
        <v>4</v>
      </c>
      <c r="C8" s="40">
        <f>IFERROR(INDEX('Debt Input'!B$5:B$24,MATCH(4,AI$5:AI$24,0)),"")</f>
        <v/>
      </c>
      <c r="D8" s="41">
        <f>IFERROR(INDEX('Debt Input'!C$5:C$24,MATCH(4,AI$5:AI$24,0)),0)</f>
        <v/>
      </c>
      <c r="E8" s="42">
        <f>IFERROR(INDEX('Debt Input'!D$5:D$24,MATCH(4,AI$5:AI$24,0)),0)</f>
        <v/>
      </c>
      <c r="F8" s="41">
        <f>IFERROR(INDEX('Debt Input'!E$5:E$24,MATCH(4,AI$5:AI$24,0)),0)</f>
        <v/>
      </c>
      <c r="AD8" t="n">
        <v>4</v>
      </c>
      <c r="AE8">
        <f>'Debt Input'!C8</f>
        <v/>
      </c>
      <c r="AF8">
        <f>'Debt Input'!D8</f>
        <v/>
      </c>
      <c r="AG8">
        <f>IF(AE8&gt;0,1,0)</f>
        <v/>
      </c>
      <c r="AH8">
        <f>IF(AG8=0,9999999999,-AF8+AD8*0.0000001)</f>
        <v/>
      </c>
      <c r="AI8">
        <f>RANK(AH8,AH$5:AH$24,1)</f>
        <v/>
      </c>
    </row>
    <row r="9">
      <c r="B9" s="39" t="n">
        <v>5</v>
      </c>
      <c r="C9" s="39">
        <f>IFERROR(INDEX('Debt Input'!B$5:B$24,MATCH(5,AI$5:AI$24,0)),"")</f>
        <v/>
      </c>
      <c r="D9" s="13">
        <f>IFERROR(INDEX('Debt Input'!C$5:C$24,MATCH(5,AI$5:AI$24,0)),0)</f>
        <v/>
      </c>
      <c r="E9" s="15">
        <f>IFERROR(INDEX('Debt Input'!D$5:D$24,MATCH(5,AI$5:AI$24,0)),0)</f>
        <v/>
      </c>
      <c r="F9" s="13">
        <f>IFERROR(INDEX('Debt Input'!E$5:E$24,MATCH(5,AI$5:AI$24,0)),0)</f>
        <v/>
      </c>
      <c r="AD9" t="n">
        <v>5</v>
      </c>
      <c r="AE9">
        <f>'Debt Input'!C9</f>
        <v/>
      </c>
      <c r="AF9">
        <f>'Debt Input'!D9</f>
        <v/>
      </c>
      <c r="AG9">
        <f>IF(AE9&gt;0,1,0)</f>
        <v/>
      </c>
      <c r="AH9">
        <f>IF(AG9=0,9999999999,-AF9+AD9*0.0000001)</f>
        <v/>
      </c>
      <c r="AI9">
        <f>RANK(AH9,AH$5:AH$24,1)</f>
        <v/>
      </c>
    </row>
    <row r="10">
      <c r="A10" s="33" t="n"/>
      <c r="B10" s="40" t="n">
        <v>6</v>
      </c>
      <c r="C10" s="40">
        <f>IFERROR(INDEX('Debt Input'!B$5:B$24,MATCH(6,AI$5:AI$24,0)),"")</f>
        <v/>
      </c>
      <c r="D10" s="41">
        <f>IFERROR(INDEX('Debt Input'!C$5:C$24,MATCH(6,AI$5:AI$24,0)),0)</f>
        <v/>
      </c>
      <c r="E10" s="42">
        <f>IFERROR(INDEX('Debt Input'!D$5:D$24,MATCH(6,AI$5:AI$24,0)),0)</f>
        <v/>
      </c>
      <c r="F10" s="41">
        <f>IFERROR(INDEX('Debt Input'!E$5:E$24,MATCH(6,AI$5:AI$24,0)),0)</f>
        <v/>
      </c>
      <c r="AD10" t="n">
        <v>6</v>
      </c>
      <c r="AE10">
        <f>'Debt Input'!C10</f>
        <v/>
      </c>
      <c r="AF10">
        <f>'Debt Input'!D10</f>
        <v/>
      </c>
      <c r="AG10">
        <f>IF(AE10&gt;0,1,0)</f>
        <v/>
      </c>
      <c r="AH10">
        <f>IF(AG10=0,9999999999,-AF10+AD10*0.0000001)</f>
        <v/>
      </c>
      <c r="AI10">
        <f>RANK(AH10,AH$5:AH$24,1)</f>
        <v/>
      </c>
    </row>
    <row r="11">
      <c r="B11" s="39" t="n">
        <v>7</v>
      </c>
      <c r="C11" s="39">
        <f>IFERROR(INDEX('Debt Input'!B$5:B$24,MATCH(7,AI$5:AI$24,0)),"")</f>
        <v/>
      </c>
      <c r="D11" s="13">
        <f>IFERROR(INDEX('Debt Input'!C$5:C$24,MATCH(7,AI$5:AI$24,0)),0)</f>
        <v/>
      </c>
      <c r="E11" s="15">
        <f>IFERROR(INDEX('Debt Input'!D$5:D$24,MATCH(7,AI$5:AI$24,0)),0)</f>
        <v/>
      </c>
      <c r="F11" s="13">
        <f>IFERROR(INDEX('Debt Input'!E$5:E$24,MATCH(7,AI$5:AI$24,0)),0)</f>
        <v/>
      </c>
      <c r="AD11" t="n">
        <v>7</v>
      </c>
      <c r="AE11">
        <f>'Debt Input'!C11</f>
        <v/>
      </c>
      <c r="AF11">
        <f>'Debt Input'!D11</f>
        <v/>
      </c>
      <c r="AG11">
        <f>IF(AE11&gt;0,1,0)</f>
        <v/>
      </c>
      <c r="AH11">
        <f>IF(AG11=0,9999999999,-AF11+AD11*0.0000001)</f>
        <v/>
      </c>
      <c r="AI11">
        <f>RANK(AH11,AH$5:AH$24,1)</f>
        <v/>
      </c>
    </row>
    <row r="12">
      <c r="A12" s="33" t="n"/>
      <c r="B12" s="40" t="n">
        <v>8</v>
      </c>
      <c r="C12" s="40">
        <f>IFERROR(INDEX('Debt Input'!B$5:B$24,MATCH(8,AI$5:AI$24,0)),"")</f>
        <v/>
      </c>
      <c r="D12" s="41">
        <f>IFERROR(INDEX('Debt Input'!C$5:C$24,MATCH(8,AI$5:AI$24,0)),0)</f>
        <v/>
      </c>
      <c r="E12" s="42">
        <f>IFERROR(INDEX('Debt Input'!D$5:D$24,MATCH(8,AI$5:AI$24,0)),0)</f>
        <v/>
      </c>
      <c r="F12" s="41">
        <f>IFERROR(INDEX('Debt Input'!E$5:E$24,MATCH(8,AI$5:AI$24,0)),0)</f>
        <v/>
      </c>
      <c r="AD12" t="n">
        <v>8</v>
      </c>
      <c r="AE12">
        <f>'Debt Input'!C12</f>
        <v/>
      </c>
      <c r="AF12">
        <f>'Debt Input'!D12</f>
        <v/>
      </c>
      <c r="AG12">
        <f>IF(AE12&gt;0,1,0)</f>
        <v/>
      </c>
      <c r="AH12">
        <f>IF(AG12=0,9999999999,-AF12+AD12*0.0000001)</f>
        <v/>
      </c>
      <c r="AI12">
        <f>RANK(AH12,AH$5:AH$24,1)</f>
        <v/>
      </c>
    </row>
    <row r="13">
      <c r="B13" s="39" t="n">
        <v>9</v>
      </c>
      <c r="C13" s="39">
        <f>IFERROR(INDEX('Debt Input'!B$5:B$24,MATCH(9,AI$5:AI$24,0)),"")</f>
        <v/>
      </c>
      <c r="D13" s="13">
        <f>IFERROR(INDEX('Debt Input'!C$5:C$24,MATCH(9,AI$5:AI$24,0)),0)</f>
        <v/>
      </c>
      <c r="E13" s="15">
        <f>IFERROR(INDEX('Debt Input'!D$5:D$24,MATCH(9,AI$5:AI$24,0)),0)</f>
        <v/>
      </c>
      <c r="F13" s="13">
        <f>IFERROR(INDEX('Debt Input'!E$5:E$24,MATCH(9,AI$5:AI$24,0)),0)</f>
        <v/>
      </c>
      <c r="AD13" t="n">
        <v>9</v>
      </c>
      <c r="AE13">
        <f>'Debt Input'!C13</f>
        <v/>
      </c>
      <c r="AF13">
        <f>'Debt Input'!D13</f>
        <v/>
      </c>
      <c r="AG13">
        <f>IF(AE13&gt;0,1,0)</f>
        <v/>
      </c>
      <c r="AH13">
        <f>IF(AG13=0,9999999999,-AF13+AD13*0.0000001)</f>
        <v/>
      </c>
      <c r="AI13">
        <f>RANK(AH13,AH$5:AH$24,1)</f>
        <v/>
      </c>
    </row>
    <row r="14">
      <c r="A14" s="33" t="n"/>
      <c r="B14" s="40" t="n">
        <v>10</v>
      </c>
      <c r="C14" s="40">
        <f>IFERROR(INDEX('Debt Input'!B$5:B$24,MATCH(10,AI$5:AI$24,0)),"")</f>
        <v/>
      </c>
      <c r="D14" s="41">
        <f>IFERROR(INDEX('Debt Input'!C$5:C$24,MATCH(10,AI$5:AI$24,0)),0)</f>
        <v/>
      </c>
      <c r="E14" s="42">
        <f>IFERROR(INDEX('Debt Input'!D$5:D$24,MATCH(10,AI$5:AI$24,0)),0)</f>
        <v/>
      </c>
      <c r="F14" s="41">
        <f>IFERROR(INDEX('Debt Input'!E$5:E$24,MATCH(10,AI$5:AI$24,0)),0)</f>
        <v/>
      </c>
      <c r="AD14" t="n">
        <v>10</v>
      </c>
      <c r="AE14">
        <f>'Debt Input'!C14</f>
        <v/>
      </c>
      <c r="AF14">
        <f>'Debt Input'!D14</f>
        <v/>
      </c>
      <c r="AG14">
        <f>IF(AE14&gt;0,1,0)</f>
        <v/>
      </c>
      <c r="AH14">
        <f>IF(AG14=0,9999999999,-AF14+AD14*0.0000001)</f>
        <v/>
      </c>
      <c r="AI14">
        <f>RANK(AH14,AH$5:AH$24,1)</f>
        <v/>
      </c>
    </row>
    <row r="15">
      <c r="B15" s="39" t="n">
        <v>11</v>
      </c>
      <c r="C15" s="39">
        <f>IFERROR(INDEX('Debt Input'!B$5:B$24,MATCH(11,AI$5:AI$24,0)),"")</f>
        <v/>
      </c>
      <c r="D15" s="13">
        <f>IFERROR(INDEX('Debt Input'!C$5:C$24,MATCH(11,AI$5:AI$24,0)),0)</f>
        <v/>
      </c>
      <c r="E15" s="15">
        <f>IFERROR(INDEX('Debt Input'!D$5:D$24,MATCH(11,AI$5:AI$24,0)),0)</f>
        <v/>
      </c>
      <c r="F15" s="13">
        <f>IFERROR(INDEX('Debt Input'!E$5:E$24,MATCH(11,AI$5:AI$24,0)),0)</f>
        <v/>
      </c>
      <c r="AD15" t="n">
        <v>11</v>
      </c>
      <c r="AE15">
        <f>'Debt Input'!C15</f>
        <v/>
      </c>
      <c r="AF15">
        <f>'Debt Input'!D15</f>
        <v/>
      </c>
      <c r="AG15">
        <f>IF(AE15&gt;0,1,0)</f>
        <v/>
      </c>
      <c r="AH15">
        <f>IF(AG15=0,9999999999,-AF15+AD15*0.0000001)</f>
        <v/>
      </c>
      <c r="AI15">
        <f>RANK(AH15,AH$5:AH$24,1)</f>
        <v/>
      </c>
    </row>
    <row r="16">
      <c r="A16" s="33" t="n"/>
      <c r="B16" s="40" t="n">
        <v>12</v>
      </c>
      <c r="C16" s="40">
        <f>IFERROR(INDEX('Debt Input'!B$5:B$24,MATCH(12,AI$5:AI$24,0)),"")</f>
        <v/>
      </c>
      <c r="D16" s="41">
        <f>IFERROR(INDEX('Debt Input'!C$5:C$24,MATCH(12,AI$5:AI$24,0)),0)</f>
        <v/>
      </c>
      <c r="E16" s="42">
        <f>IFERROR(INDEX('Debt Input'!D$5:D$24,MATCH(12,AI$5:AI$24,0)),0)</f>
        <v/>
      </c>
      <c r="F16" s="41">
        <f>IFERROR(INDEX('Debt Input'!E$5:E$24,MATCH(12,AI$5:AI$24,0)),0)</f>
        <v/>
      </c>
      <c r="AD16" t="n">
        <v>12</v>
      </c>
      <c r="AE16">
        <f>'Debt Input'!C16</f>
        <v/>
      </c>
      <c r="AF16">
        <f>'Debt Input'!D16</f>
        <v/>
      </c>
      <c r="AG16">
        <f>IF(AE16&gt;0,1,0)</f>
        <v/>
      </c>
      <c r="AH16">
        <f>IF(AG16=0,9999999999,-AF16+AD16*0.0000001)</f>
        <v/>
      </c>
      <c r="AI16">
        <f>RANK(AH16,AH$5:AH$24,1)</f>
        <v/>
      </c>
    </row>
    <row r="17">
      <c r="B17" s="39" t="n">
        <v>13</v>
      </c>
      <c r="C17" s="39">
        <f>IFERROR(INDEX('Debt Input'!B$5:B$24,MATCH(13,AI$5:AI$24,0)),"")</f>
        <v/>
      </c>
      <c r="D17" s="13">
        <f>IFERROR(INDEX('Debt Input'!C$5:C$24,MATCH(13,AI$5:AI$24,0)),0)</f>
        <v/>
      </c>
      <c r="E17" s="15">
        <f>IFERROR(INDEX('Debt Input'!D$5:D$24,MATCH(13,AI$5:AI$24,0)),0)</f>
        <v/>
      </c>
      <c r="F17" s="13">
        <f>IFERROR(INDEX('Debt Input'!E$5:E$24,MATCH(13,AI$5:AI$24,0)),0)</f>
        <v/>
      </c>
      <c r="AD17" t="n">
        <v>13</v>
      </c>
      <c r="AE17">
        <f>'Debt Input'!C17</f>
        <v/>
      </c>
      <c r="AF17">
        <f>'Debt Input'!D17</f>
        <v/>
      </c>
      <c r="AG17">
        <f>IF(AE17&gt;0,1,0)</f>
        <v/>
      </c>
      <c r="AH17">
        <f>IF(AG17=0,9999999999,-AF17+AD17*0.0000001)</f>
        <v/>
      </c>
      <c r="AI17">
        <f>RANK(AH17,AH$5:AH$24,1)</f>
        <v/>
      </c>
    </row>
    <row r="18">
      <c r="A18" s="33" t="n"/>
      <c r="B18" s="40" t="n">
        <v>14</v>
      </c>
      <c r="C18" s="40">
        <f>IFERROR(INDEX('Debt Input'!B$5:B$24,MATCH(14,AI$5:AI$24,0)),"")</f>
        <v/>
      </c>
      <c r="D18" s="41">
        <f>IFERROR(INDEX('Debt Input'!C$5:C$24,MATCH(14,AI$5:AI$24,0)),0)</f>
        <v/>
      </c>
      <c r="E18" s="42">
        <f>IFERROR(INDEX('Debt Input'!D$5:D$24,MATCH(14,AI$5:AI$24,0)),0)</f>
        <v/>
      </c>
      <c r="F18" s="41">
        <f>IFERROR(INDEX('Debt Input'!E$5:E$24,MATCH(14,AI$5:AI$24,0)),0)</f>
        <v/>
      </c>
      <c r="AD18" t="n">
        <v>14</v>
      </c>
      <c r="AE18">
        <f>'Debt Input'!C18</f>
        <v/>
      </c>
      <c r="AF18">
        <f>'Debt Input'!D18</f>
        <v/>
      </c>
      <c r="AG18">
        <f>IF(AE18&gt;0,1,0)</f>
        <v/>
      </c>
      <c r="AH18">
        <f>IF(AG18=0,9999999999,-AF18+AD18*0.0000001)</f>
        <v/>
      </c>
      <c r="AI18">
        <f>RANK(AH18,AH$5:AH$24,1)</f>
        <v/>
      </c>
    </row>
    <row r="19">
      <c r="B19" s="39" t="n">
        <v>15</v>
      </c>
      <c r="C19" s="39">
        <f>IFERROR(INDEX('Debt Input'!B$5:B$24,MATCH(15,AI$5:AI$24,0)),"")</f>
        <v/>
      </c>
      <c r="D19" s="13">
        <f>IFERROR(INDEX('Debt Input'!C$5:C$24,MATCH(15,AI$5:AI$24,0)),0)</f>
        <v/>
      </c>
      <c r="E19" s="15">
        <f>IFERROR(INDEX('Debt Input'!D$5:D$24,MATCH(15,AI$5:AI$24,0)),0)</f>
        <v/>
      </c>
      <c r="F19" s="13">
        <f>IFERROR(INDEX('Debt Input'!E$5:E$24,MATCH(15,AI$5:AI$24,0)),0)</f>
        <v/>
      </c>
      <c r="AD19" t="n">
        <v>15</v>
      </c>
      <c r="AE19">
        <f>'Debt Input'!C19</f>
        <v/>
      </c>
      <c r="AF19">
        <f>'Debt Input'!D19</f>
        <v/>
      </c>
      <c r="AG19">
        <f>IF(AE19&gt;0,1,0)</f>
        <v/>
      </c>
      <c r="AH19">
        <f>IF(AG19=0,9999999999,-AF19+AD19*0.0000001)</f>
        <v/>
      </c>
      <c r="AI19">
        <f>RANK(AH19,AH$5:AH$24,1)</f>
        <v/>
      </c>
    </row>
    <row r="20">
      <c r="A20" s="33" t="n"/>
      <c r="B20" s="40" t="n">
        <v>16</v>
      </c>
      <c r="C20" s="40">
        <f>IFERROR(INDEX('Debt Input'!B$5:B$24,MATCH(16,AI$5:AI$24,0)),"")</f>
        <v/>
      </c>
      <c r="D20" s="41">
        <f>IFERROR(INDEX('Debt Input'!C$5:C$24,MATCH(16,AI$5:AI$24,0)),0)</f>
        <v/>
      </c>
      <c r="E20" s="42">
        <f>IFERROR(INDEX('Debt Input'!D$5:D$24,MATCH(16,AI$5:AI$24,0)),0)</f>
        <v/>
      </c>
      <c r="F20" s="41">
        <f>IFERROR(INDEX('Debt Input'!E$5:E$24,MATCH(16,AI$5:AI$24,0)),0)</f>
        <v/>
      </c>
      <c r="AD20" t="n">
        <v>16</v>
      </c>
      <c r="AE20">
        <f>'Debt Input'!C20</f>
        <v/>
      </c>
      <c r="AF20">
        <f>'Debt Input'!D20</f>
        <v/>
      </c>
      <c r="AG20">
        <f>IF(AE20&gt;0,1,0)</f>
        <v/>
      </c>
      <c r="AH20">
        <f>IF(AG20=0,9999999999,-AF20+AD20*0.0000001)</f>
        <v/>
      </c>
      <c r="AI20">
        <f>RANK(AH20,AH$5:AH$24,1)</f>
        <v/>
      </c>
    </row>
    <row r="21">
      <c r="B21" s="39" t="n">
        <v>17</v>
      </c>
      <c r="C21" s="39">
        <f>IFERROR(INDEX('Debt Input'!B$5:B$24,MATCH(17,AI$5:AI$24,0)),"")</f>
        <v/>
      </c>
      <c r="D21" s="13">
        <f>IFERROR(INDEX('Debt Input'!C$5:C$24,MATCH(17,AI$5:AI$24,0)),0)</f>
        <v/>
      </c>
      <c r="E21" s="15">
        <f>IFERROR(INDEX('Debt Input'!D$5:D$24,MATCH(17,AI$5:AI$24,0)),0)</f>
        <v/>
      </c>
      <c r="F21" s="13">
        <f>IFERROR(INDEX('Debt Input'!E$5:E$24,MATCH(17,AI$5:AI$24,0)),0)</f>
        <v/>
      </c>
      <c r="AD21" t="n">
        <v>17</v>
      </c>
      <c r="AE21">
        <f>'Debt Input'!C21</f>
        <v/>
      </c>
      <c r="AF21">
        <f>'Debt Input'!D21</f>
        <v/>
      </c>
      <c r="AG21">
        <f>IF(AE21&gt;0,1,0)</f>
        <v/>
      </c>
      <c r="AH21">
        <f>IF(AG21=0,9999999999,-AF21+AD21*0.0000001)</f>
        <v/>
      </c>
      <c r="AI21">
        <f>RANK(AH21,AH$5:AH$24,1)</f>
        <v/>
      </c>
    </row>
    <row r="22">
      <c r="A22" s="33" t="n"/>
      <c r="B22" s="40" t="n">
        <v>18</v>
      </c>
      <c r="C22" s="40">
        <f>IFERROR(INDEX('Debt Input'!B$5:B$24,MATCH(18,AI$5:AI$24,0)),"")</f>
        <v/>
      </c>
      <c r="D22" s="41">
        <f>IFERROR(INDEX('Debt Input'!C$5:C$24,MATCH(18,AI$5:AI$24,0)),0)</f>
        <v/>
      </c>
      <c r="E22" s="42">
        <f>IFERROR(INDEX('Debt Input'!D$5:D$24,MATCH(18,AI$5:AI$24,0)),0)</f>
        <v/>
      </c>
      <c r="F22" s="41">
        <f>IFERROR(INDEX('Debt Input'!E$5:E$24,MATCH(18,AI$5:AI$24,0)),0)</f>
        <v/>
      </c>
      <c r="AD22" t="n">
        <v>18</v>
      </c>
      <c r="AE22">
        <f>'Debt Input'!C22</f>
        <v/>
      </c>
      <c r="AF22">
        <f>'Debt Input'!D22</f>
        <v/>
      </c>
      <c r="AG22">
        <f>IF(AE22&gt;0,1,0)</f>
        <v/>
      </c>
      <c r="AH22">
        <f>IF(AG22=0,9999999999,-AF22+AD22*0.0000001)</f>
        <v/>
      </c>
      <c r="AI22">
        <f>RANK(AH22,AH$5:AH$24,1)</f>
        <v/>
      </c>
    </row>
    <row r="23">
      <c r="B23" s="39" t="n">
        <v>19</v>
      </c>
      <c r="C23" s="39">
        <f>IFERROR(INDEX('Debt Input'!B$5:B$24,MATCH(19,AI$5:AI$24,0)),"")</f>
        <v/>
      </c>
      <c r="D23" s="13">
        <f>IFERROR(INDEX('Debt Input'!C$5:C$24,MATCH(19,AI$5:AI$24,0)),0)</f>
        <v/>
      </c>
      <c r="E23" s="15">
        <f>IFERROR(INDEX('Debt Input'!D$5:D$24,MATCH(19,AI$5:AI$24,0)),0)</f>
        <v/>
      </c>
      <c r="F23" s="13">
        <f>IFERROR(INDEX('Debt Input'!E$5:E$24,MATCH(19,AI$5:AI$24,0)),0)</f>
        <v/>
      </c>
      <c r="AD23" t="n">
        <v>19</v>
      </c>
      <c r="AE23">
        <f>'Debt Input'!C23</f>
        <v/>
      </c>
      <c r="AF23">
        <f>'Debt Input'!D23</f>
        <v/>
      </c>
      <c r="AG23">
        <f>IF(AE23&gt;0,1,0)</f>
        <v/>
      </c>
      <c r="AH23">
        <f>IF(AG23=0,9999999999,-AF23+AD23*0.0000001)</f>
        <v/>
      </c>
      <c r="AI23">
        <f>RANK(AH23,AH$5:AH$24,1)</f>
        <v/>
      </c>
    </row>
    <row r="24">
      <c r="A24" s="33" t="n"/>
      <c r="B24" s="40" t="n">
        <v>20</v>
      </c>
      <c r="C24" s="40">
        <f>IFERROR(INDEX('Debt Input'!B$5:B$24,MATCH(20,AI$5:AI$24,0)),"")</f>
        <v/>
      </c>
      <c r="D24" s="41">
        <f>IFERROR(INDEX('Debt Input'!C$5:C$24,MATCH(20,AI$5:AI$24,0)),0)</f>
        <v/>
      </c>
      <c r="E24" s="42">
        <f>IFERROR(INDEX('Debt Input'!D$5:D$24,MATCH(20,AI$5:AI$24,0)),0)</f>
        <v/>
      </c>
      <c r="F24" s="41">
        <f>IFERROR(INDEX('Debt Input'!E$5:E$24,MATCH(20,AI$5:AI$24,0)),0)</f>
        <v/>
      </c>
      <c r="AD24" t="n">
        <v>20</v>
      </c>
      <c r="AE24">
        <f>'Debt Input'!C24</f>
        <v/>
      </c>
      <c r="AF24">
        <f>'Debt Input'!D24</f>
        <v/>
      </c>
      <c r="AG24">
        <f>IF(AE24&gt;0,1,0)</f>
        <v/>
      </c>
      <c r="AH24">
        <f>IF(AG24=0,9999999999,-AF24+AD24*0.0000001)</f>
        <v/>
      </c>
      <c r="AI24">
        <f>RANK(AH24,AH$5:AH$24,1)</f>
        <v/>
      </c>
    </row>
    <row r="26">
      <c r="B26" s="8" t="inlineStr">
        <is>
          <t>Month</t>
        </is>
      </c>
      <c r="C26" s="8">
        <f>IF(C5="","",C5)</f>
        <v/>
      </c>
      <c r="D26" s="8">
        <f>IF(C6="","",C6)</f>
        <v/>
      </c>
      <c r="E26" s="8">
        <f>IF(C7="","",C7)</f>
        <v/>
      </c>
      <c r="F26" s="8">
        <f>IF(C8="","",C8)</f>
        <v/>
      </c>
      <c r="G26" s="8">
        <f>IF(C9="","",C9)</f>
        <v/>
      </c>
      <c r="H26" s="8">
        <f>IF(C10="","",C10)</f>
        <v/>
      </c>
      <c r="I26" s="8">
        <f>IF(C11="","",C11)</f>
        <v/>
      </c>
      <c r="J26" s="8">
        <f>IF(C12="","",C12)</f>
        <v/>
      </c>
      <c r="K26" s="8">
        <f>IF(C13="","",C13)</f>
        <v/>
      </c>
      <c r="L26" s="8">
        <f>IF(C14="","",C14)</f>
        <v/>
      </c>
      <c r="M26" s="8">
        <f>IF(C15="","",C15)</f>
        <v/>
      </c>
      <c r="N26" s="8">
        <f>IF(C16="","",C16)</f>
        <v/>
      </c>
      <c r="O26" s="8">
        <f>IF(C17="","",C17)</f>
        <v/>
      </c>
      <c r="P26" s="8">
        <f>IF(C18="","",C18)</f>
        <v/>
      </c>
      <c r="Q26" s="8">
        <f>IF(C19="","",C19)</f>
        <v/>
      </c>
      <c r="R26" s="8">
        <f>IF(C20="","",C20)</f>
        <v/>
      </c>
      <c r="S26" s="8">
        <f>IF(C21="","",C21)</f>
        <v/>
      </c>
      <c r="T26" s="8">
        <f>IF(C22="","",C22)</f>
        <v/>
      </c>
      <c r="U26" s="8">
        <f>IF(C23="","",C23)</f>
        <v/>
      </c>
      <c r="V26" s="8">
        <f>IF(C24="","",C24)</f>
        <v/>
      </c>
      <c r="W26" s="8" t="inlineStr">
        <is>
          <t>Total Payment</t>
        </is>
      </c>
      <c r="X26" s="8" t="inlineStr">
        <is>
          <t>Interest Paid</t>
        </is>
      </c>
      <c r="Y26" s="8" t="inlineStr">
        <is>
          <t>Remaining Balance</t>
        </is>
      </c>
    </row>
    <row r="27">
      <c r="B27" s="39" t="n">
        <v>1</v>
      </c>
      <c r="C27" s="13">
        <f>IF($D$5&lt;=0,0,MAX(0,$D$5+AN27-AO27))</f>
        <v/>
      </c>
      <c r="D27" s="13">
        <f>IF($D$6&lt;=0,0,MAX(0,$D$6+AQ27-AR27))</f>
        <v/>
      </c>
      <c r="E27" s="13">
        <f>IF($D$7&lt;=0,0,MAX(0,$D$7+AT27-AU27))</f>
        <v/>
      </c>
      <c r="F27" s="13">
        <f>IF($D$8&lt;=0,0,MAX(0,$D$8+AW27-AX27))</f>
        <v/>
      </c>
      <c r="G27" s="13">
        <f>IF($D$9&lt;=0,0,MAX(0,$D$9+AZ27-BA27))</f>
        <v/>
      </c>
      <c r="H27" s="13">
        <f>IF($D$10&lt;=0,0,MAX(0,$D$10+BC27-BD27))</f>
        <v/>
      </c>
      <c r="I27" s="13">
        <f>IF($D$11&lt;=0,0,MAX(0,$D$11+BF27-BG27))</f>
        <v/>
      </c>
      <c r="J27" s="13">
        <f>IF($D$12&lt;=0,0,MAX(0,$D$12+BI27-BJ27))</f>
        <v/>
      </c>
      <c r="K27" s="13">
        <f>IF($D$13&lt;=0,0,MAX(0,$D$13+BL27-BM27))</f>
        <v/>
      </c>
      <c r="L27" s="13">
        <f>IF($D$14&lt;=0,0,MAX(0,$D$14+BO27-BP27))</f>
        <v/>
      </c>
      <c r="M27" s="13">
        <f>IF($D$15&lt;=0,0,MAX(0,$D$15+BR27-BS27))</f>
        <v/>
      </c>
      <c r="N27" s="13">
        <f>IF($D$16&lt;=0,0,MAX(0,$D$16+BU27-BV27))</f>
        <v/>
      </c>
      <c r="O27" s="13">
        <f>IF($D$17&lt;=0,0,MAX(0,$D$17+BX27-BY27))</f>
        <v/>
      </c>
      <c r="P27" s="13">
        <f>IF($D$18&lt;=0,0,MAX(0,$D$18+CA27-CB27))</f>
        <v/>
      </c>
      <c r="Q27" s="13">
        <f>IF($D$19&lt;=0,0,MAX(0,$D$19+CD27-CE27))</f>
        <v/>
      </c>
      <c r="R27" s="13">
        <f>IF($D$20&lt;=0,0,MAX(0,$D$20+CG27-CH27))</f>
        <v/>
      </c>
      <c r="S27" s="13">
        <f>IF($D$21&lt;=0,0,MAX(0,$D$21+CJ27-CK27))</f>
        <v/>
      </c>
      <c r="T27" s="13">
        <f>IF($D$22&lt;=0,0,MAX(0,$D$22+CM27-CN27))</f>
        <v/>
      </c>
      <c r="U27" s="13">
        <f>IF($D$23&lt;=0,0,MAX(0,$D$23+CP27-CQ27))</f>
        <v/>
      </c>
      <c r="V27" s="13">
        <f>IF($D$24&lt;=0,0,MAX(0,$D$24+CS27-CT27))</f>
        <v/>
      </c>
      <c r="W27" s="13">
        <f>AO27+AR27+AU27+AX27+BA27+BD27+BG27+BJ27+BM27+BP27+BS27+BV27+BY27+CB27+CE27+CH27+CK27+CN27+CQ27+CT27</f>
        <v/>
      </c>
      <c r="X27" s="13">
        <f>AN27+AQ27+AT27+AW27+AZ27+BC27+BF27+BI27+BL27+BO27+BR27+BU27+BX27+CA27+CD27+CG27+CJ27+CM27+CP27+CS27</f>
        <v/>
      </c>
      <c r="Y27" s="27">
        <f>C27+D27+E27+F27+G27+H27+I27+J27+K27+L27+M27+N27+O27+P27+Q27+R27+S27+T27+U27+V27</f>
        <v/>
      </c>
      <c r="AN27">
        <f>IF($D$5&lt;=0,0,$D$5*$E$5/12)</f>
        <v/>
      </c>
      <c r="AO27">
        <f>IF($D$5&lt;=0,0,MIN($D$5+AN27,$F$5+Dashboard!$C$11))</f>
        <v/>
      </c>
      <c r="AP27">
        <f>IF($D$5&lt;=0,Dashboard!$C$11,MAX(0,$F$5+Dashboard!$C$11-$D$5-AN27))</f>
        <v/>
      </c>
      <c r="AQ27">
        <f>IF($D$6&lt;=0,0,$D$6*$E$6/12)</f>
        <v/>
      </c>
      <c r="AR27">
        <f>IF($D$6&lt;=0,0,MIN($D$6+AQ27,$F$6+AP27))</f>
        <v/>
      </c>
      <c r="AS27">
        <f>IF($D$6&lt;=0,AP27,MAX(0,$F$6+AP27-$D$6-AQ27))</f>
        <v/>
      </c>
      <c r="AT27">
        <f>IF($D$7&lt;=0,0,$D$7*$E$7/12)</f>
        <v/>
      </c>
      <c r="AU27">
        <f>IF($D$7&lt;=0,0,MIN($D$7+AT27,$F$7+AS27))</f>
        <v/>
      </c>
      <c r="AV27">
        <f>IF($D$7&lt;=0,AS27,MAX(0,$F$7+AS27-$D$7-AT27))</f>
        <v/>
      </c>
      <c r="AW27">
        <f>IF($D$8&lt;=0,0,$D$8*$E$8/12)</f>
        <v/>
      </c>
      <c r="AX27">
        <f>IF($D$8&lt;=0,0,MIN($D$8+AW27,$F$8+AV27))</f>
        <v/>
      </c>
      <c r="AY27">
        <f>IF($D$8&lt;=0,AV27,MAX(0,$F$8+AV27-$D$8-AW27))</f>
        <v/>
      </c>
      <c r="AZ27">
        <f>IF($D$9&lt;=0,0,$D$9*$E$9/12)</f>
        <v/>
      </c>
      <c r="BA27">
        <f>IF($D$9&lt;=0,0,MIN($D$9+AZ27,$F$9+AY27))</f>
        <v/>
      </c>
      <c r="BB27">
        <f>IF($D$9&lt;=0,AY27,MAX(0,$F$9+AY27-$D$9-AZ27))</f>
        <v/>
      </c>
      <c r="BC27">
        <f>IF($D$10&lt;=0,0,$D$10*$E$10/12)</f>
        <v/>
      </c>
      <c r="BD27">
        <f>IF($D$10&lt;=0,0,MIN($D$10+BC27,$F$10+BB27))</f>
        <v/>
      </c>
      <c r="BE27">
        <f>IF($D$10&lt;=0,BB27,MAX(0,$F$10+BB27-$D$10-BC27))</f>
        <v/>
      </c>
      <c r="BF27">
        <f>IF($D$11&lt;=0,0,$D$11*$E$11/12)</f>
        <v/>
      </c>
      <c r="BG27">
        <f>IF($D$11&lt;=0,0,MIN($D$11+BF27,$F$11+BE27))</f>
        <v/>
      </c>
      <c r="BH27">
        <f>IF($D$11&lt;=0,BE27,MAX(0,$F$11+BE27-$D$11-BF27))</f>
        <v/>
      </c>
      <c r="BI27">
        <f>IF($D$12&lt;=0,0,$D$12*$E$12/12)</f>
        <v/>
      </c>
      <c r="BJ27">
        <f>IF($D$12&lt;=0,0,MIN($D$12+BI27,$F$12+BH27))</f>
        <v/>
      </c>
      <c r="BK27">
        <f>IF($D$12&lt;=0,BH27,MAX(0,$F$12+BH27-$D$12-BI27))</f>
        <v/>
      </c>
      <c r="BL27">
        <f>IF($D$13&lt;=0,0,$D$13*$E$13/12)</f>
        <v/>
      </c>
      <c r="BM27">
        <f>IF($D$13&lt;=0,0,MIN($D$13+BL27,$F$13+BK27))</f>
        <v/>
      </c>
      <c r="BN27">
        <f>IF($D$13&lt;=0,BK27,MAX(0,$F$13+BK27-$D$13-BL27))</f>
        <v/>
      </c>
      <c r="BO27">
        <f>IF($D$14&lt;=0,0,$D$14*$E$14/12)</f>
        <v/>
      </c>
      <c r="BP27">
        <f>IF($D$14&lt;=0,0,MIN($D$14+BO27,$F$14+BN27))</f>
        <v/>
      </c>
      <c r="BQ27">
        <f>IF($D$14&lt;=0,BN27,MAX(0,$F$14+BN27-$D$14-BO27))</f>
        <v/>
      </c>
      <c r="BR27">
        <f>IF($D$15&lt;=0,0,$D$15*$E$15/12)</f>
        <v/>
      </c>
      <c r="BS27">
        <f>IF($D$15&lt;=0,0,MIN($D$15+BR27,$F$15+BQ27))</f>
        <v/>
      </c>
      <c r="BT27">
        <f>IF($D$15&lt;=0,BQ27,MAX(0,$F$15+BQ27-$D$15-BR27))</f>
        <v/>
      </c>
      <c r="BU27">
        <f>IF($D$16&lt;=0,0,$D$16*$E$16/12)</f>
        <v/>
      </c>
      <c r="BV27">
        <f>IF($D$16&lt;=0,0,MIN($D$16+BU27,$F$16+BT27))</f>
        <v/>
      </c>
      <c r="BW27">
        <f>IF($D$16&lt;=0,BT27,MAX(0,$F$16+BT27-$D$16-BU27))</f>
        <v/>
      </c>
      <c r="BX27">
        <f>IF($D$17&lt;=0,0,$D$17*$E$17/12)</f>
        <v/>
      </c>
      <c r="BY27">
        <f>IF($D$17&lt;=0,0,MIN($D$17+BX27,$F$17+BW27))</f>
        <v/>
      </c>
      <c r="BZ27">
        <f>IF($D$17&lt;=0,BW27,MAX(0,$F$17+BW27-$D$17-BX27))</f>
        <v/>
      </c>
      <c r="CA27">
        <f>IF($D$18&lt;=0,0,$D$18*$E$18/12)</f>
        <v/>
      </c>
      <c r="CB27">
        <f>IF($D$18&lt;=0,0,MIN($D$18+CA27,$F$18+BZ27))</f>
        <v/>
      </c>
      <c r="CC27">
        <f>IF($D$18&lt;=0,BZ27,MAX(0,$F$18+BZ27-$D$18-CA27))</f>
        <v/>
      </c>
      <c r="CD27">
        <f>IF($D$19&lt;=0,0,$D$19*$E$19/12)</f>
        <v/>
      </c>
      <c r="CE27">
        <f>IF($D$19&lt;=0,0,MIN($D$19+CD27,$F$19+CC27))</f>
        <v/>
      </c>
      <c r="CF27">
        <f>IF($D$19&lt;=0,CC27,MAX(0,$F$19+CC27-$D$19-CD27))</f>
        <v/>
      </c>
      <c r="CG27">
        <f>IF($D$20&lt;=0,0,$D$20*$E$20/12)</f>
        <v/>
      </c>
      <c r="CH27">
        <f>IF($D$20&lt;=0,0,MIN($D$20+CG27,$F$20+CF27))</f>
        <v/>
      </c>
      <c r="CI27">
        <f>IF($D$20&lt;=0,CF27,MAX(0,$F$20+CF27-$D$20-CG27))</f>
        <v/>
      </c>
      <c r="CJ27">
        <f>IF($D$21&lt;=0,0,$D$21*$E$21/12)</f>
        <v/>
      </c>
      <c r="CK27">
        <f>IF($D$21&lt;=0,0,MIN($D$21+CJ27,$F$21+CI27))</f>
        <v/>
      </c>
      <c r="CL27">
        <f>IF($D$21&lt;=0,CI27,MAX(0,$F$21+CI27-$D$21-CJ27))</f>
        <v/>
      </c>
      <c r="CM27">
        <f>IF($D$22&lt;=0,0,$D$22*$E$22/12)</f>
        <v/>
      </c>
      <c r="CN27">
        <f>IF($D$22&lt;=0,0,MIN($D$22+CM27,$F$22+CL27))</f>
        <v/>
      </c>
      <c r="CO27">
        <f>IF($D$22&lt;=0,CL27,MAX(0,$F$22+CL27-$D$22-CM27))</f>
        <v/>
      </c>
      <c r="CP27">
        <f>IF($D$23&lt;=0,0,$D$23*$E$23/12)</f>
        <v/>
      </c>
      <c r="CQ27">
        <f>IF($D$23&lt;=0,0,MIN($D$23+CP27,$F$23+CO27))</f>
        <v/>
      </c>
      <c r="CR27">
        <f>IF($D$23&lt;=0,CO27,MAX(0,$F$23+CO27-$D$23-CP27))</f>
        <v/>
      </c>
      <c r="CS27">
        <f>IF($D$24&lt;=0,0,$D$24*$E$24/12)</f>
        <v/>
      </c>
      <c r="CT27">
        <f>IF($D$24&lt;=0,0,MIN($D$24+CS27,$F$24+CR27))</f>
        <v/>
      </c>
      <c r="CU27">
        <f>IF($D$24&lt;=0,CR27,MAX(0,$F$24+CR27-$D$24-CS27))</f>
        <v/>
      </c>
    </row>
    <row r="28">
      <c r="B28" s="39" t="n">
        <v>2</v>
      </c>
      <c r="C28" s="13">
        <f>IF(C27&lt;=0,0,MAX(0,C27+AN28-AO28))</f>
        <v/>
      </c>
      <c r="D28" s="13">
        <f>IF(D27&lt;=0,0,MAX(0,D27+AQ28-AR28))</f>
        <v/>
      </c>
      <c r="E28" s="13">
        <f>IF(E27&lt;=0,0,MAX(0,E27+AT28-AU28))</f>
        <v/>
      </c>
      <c r="F28" s="13">
        <f>IF(F27&lt;=0,0,MAX(0,F27+AW28-AX28))</f>
        <v/>
      </c>
      <c r="G28" s="13">
        <f>IF(G27&lt;=0,0,MAX(0,G27+AZ28-BA28))</f>
        <v/>
      </c>
      <c r="H28" s="13">
        <f>IF(H27&lt;=0,0,MAX(0,H27+BC28-BD28))</f>
        <v/>
      </c>
      <c r="I28" s="13">
        <f>IF(I27&lt;=0,0,MAX(0,I27+BF28-BG28))</f>
        <v/>
      </c>
      <c r="J28" s="13">
        <f>IF(J27&lt;=0,0,MAX(0,J27+BI28-BJ28))</f>
        <v/>
      </c>
      <c r="K28" s="13">
        <f>IF(K27&lt;=0,0,MAX(0,K27+BL28-BM28))</f>
        <v/>
      </c>
      <c r="L28" s="13">
        <f>IF(L27&lt;=0,0,MAX(0,L27+BO28-BP28))</f>
        <v/>
      </c>
      <c r="M28" s="13">
        <f>IF(M27&lt;=0,0,MAX(0,M27+BR28-BS28))</f>
        <v/>
      </c>
      <c r="N28" s="13">
        <f>IF(N27&lt;=0,0,MAX(0,N27+BU28-BV28))</f>
        <v/>
      </c>
      <c r="O28" s="13">
        <f>IF(O27&lt;=0,0,MAX(0,O27+BX28-BY28))</f>
        <v/>
      </c>
      <c r="P28" s="13">
        <f>IF(P27&lt;=0,0,MAX(0,P27+CA28-CB28))</f>
        <v/>
      </c>
      <c r="Q28" s="13">
        <f>IF(Q27&lt;=0,0,MAX(0,Q27+CD28-CE28))</f>
        <v/>
      </c>
      <c r="R28" s="13">
        <f>IF(R27&lt;=0,0,MAX(0,R27+CG28-CH28))</f>
        <v/>
      </c>
      <c r="S28" s="13">
        <f>IF(S27&lt;=0,0,MAX(0,S27+CJ28-CK28))</f>
        <v/>
      </c>
      <c r="T28" s="13">
        <f>IF(T27&lt;=0,0,MAX(0,T27+CM28-CN28))</f>
        <v/>
      </c>
      <c r="U28" s="13">
        <f>IF(U27&lt;=0,0,MAX(0,U27+CP28-CQ28))</f>
        <v/>
      </c>
      <c r="V28" s="13">
        <f>IF(V27&lt;=0,0,MAX(0,V27+CS28-CT28))</f>
        <v/>
      </c>
      <c r="W28" s="13">
        <f>AO28+AR28+AU28+AX28+BA28+BD28+BG28+BJ28+BM28+BP28+BS28+BV28+BY28+CB28+CE28+CH28+CK28+CN28+CQ28+CT28</f>
        <v/>
      </c>
      <c r="X28" s="13">
        <f>AN28+AQ28+AT28+AW28+AZ28+BC28+BF28+BI28+BL28+BO28+BR28+BU28+BX28+CA28+CD28+CG28+CJ28+CM28+CP28+CS28</f>
        <v/>
      </c>
      <c r="Y28" s="27">
        <f>C28+D28+E28+F28+G28+H28+I28+J28+K28+L28+M28+N28+O28+P28+Q28+R28+S28+T28+U28+V28</f>
        <v/>
      </c>
      <c r="AN28">
        <f>IF(C27&lt;=0,0,C27*$E$5/12)</f>
        <v/>
      </c>
      <c r="AO28">
        <f>IF(C27&lt;=0,0,MIN(C27+AN28,$F$5+(Dashboard!$C$11+IF(C27&lt;=0,$F$5,0)+IF(D27&lt;=0,$F$6,0)+IF(E27&lt;=0,$F$7,0)+IF(F27&lt;=0,$F$8,0)+IF(G27&lt;=0,$F$9,0)+IF(H27&lt;=0,$F$10,0)+IF(I27&lt;=0,$F$11,0)+IF(J27&lt;=0,$F$12,0)+IF(K27&lt;=0,$F$13,0)+IF(L27&lt;=0,$F$14,0)+IF(M27&lt;=0,$F$15,0)+IF(N27&lt;=0,$F$16,0)+IF(O27&lt;=0,$F$17,0)+IF(P27&lt;=0,$F$18,0)+IF(Q27&lt;=0,$F$19,0)+IF(R27&lt;=0,$F$20,0)+IF(S27&lt;=0,$F$21,0)+IF(T27&lt;=0,$F$22,0)+IF(U27&lt;=0,$F$23,0)+IF(V27&lt;=0,$F$24,0))))</f>
        <v/>
      </c>
      <c r="AP28">
        <f>IF(C27&lt;=0,(Dashboard!$C$11+IF(C27&lt;=0,$F$5,0)+IF(D27&lt;=0,$F$6,0)+IF(E27&lt;=0,$F$7,0)+IF(F27&lt;=0,$F$8,0)+IF(G27&lt;=0,$F$9,0)+IF(H27&lt;=0,$F$10,0)+IF(I27&lt;=0,$F$11,0)+IF(J27&lt;=0,$F$12,0)+IF(K27&lt;=0,$F$13,0)+IF(L27&lt;=0,$F$14,0)+IF(M27&lt;=0,$F$15,0)+IF(N27&lt;=0,$F$16,0)+IF(O27&lt;=0,$F$17,0)+IF(P27&lt;=0,$F$18,0)+IF(Q27&lt;=0,$F$19,0)+IF(R27&lt;=0,$F$20,0)+IF(S27&lt;=0,$F$21,0)+IF(T27&lt;=0,$F$22,0)+IF(U27&lt;=0,$F$23,0)+IF(V27&lt;=0,$F$24,0)),MAX(0,$F$5+(Dashboard!$C$11+IF(C27&lt;=0,$F$5,0)+IF(D27&lt;=0,$F$6,0)+IF(E27&lt;=0,$F$7,0)+IF(F27&lt;=0,$F$8,0)+IF(G27&lt;=0,$F$9,0)+IF(H27&lt;=0,$F$10,0)+IF(I27&lt;=0,$F$11,0)+IF(J27&lt;=0,$F$12,0)+IF(K27&lt;=0,$F$13,0)+IF(L27&lt;=0,$F$14,0)+IF(M27&lt;=0,$F$15,0)+IF(N27&lt;=0,$F$16,0)+IF(O27&lt;=0,$F$17,0)+IF(P27&lt;=0,$F$18,0)+IF(Q27&lt;=0,$F$19,0)+IF(R27&lt;=0,$F$20,0)+IF(S27&lt;=0,$F$21,0)+IF(T27&lt;=0,$F$22,0)+IF(U27&lt;=0,$F$23,0)+IF(V27&lt;=0,$F$24,0))-C27-AN28))</f>
        <v/>
      </c>
      <c r="AQ28">
        <f>IF(D27&lt;=0,0,D27*$E$6/12)</f>
        <v/>
      </c>
      <c r="AR28">
        <f>IF(D27&lt;=0,0,MIN(D27+AQ28,$F$6+AP28))</f>
        <v/>
      </c>
      <c r="AS28">
        <f>IF(D27&lt;=0,AP28,MAX(0,$F$6+AP28-D27-AQ28))</f>
        <v/>
      </c>
      <c r="AT28">
        <f>IF(E27&lt;=0,0,E27*$E$7/12)</f>
        <v/>
      </c>
      <c r="AU28">
        <f>IF(E27&lt;=0,0,MIN(E27+AT28,$F$7+AS28))</f>
        <v/>
      </c>
      <c r="AV28">
        <f>IF(E27&lt;=0,AS28,MAX(0,$F$7+AS28-E27-AT28))</f>
        <v/>
      </c>
      <c r="AW28">
        <f>IF(F27&lt;=0,0,F27*$E$8/12)</f>
        <v/>
      </c>
      <c r="AX28">
        <f>IF(F27&lt;=0,0,MIN(F27+AW28,$F$8+AV28))</f>
        <v/>
      </c>
      <c r="AY28">
        <f>IF(F27&lt;=0,AV28,MAX(0,$F$8+AV28-F27-AW28))</f>
        <v/>
      </c>
      <c r="AZ28">
        <f>IF(G27&lt;=0,0,G27*$E$9/12)</f>
        <v/>
      </c>
      <c r="BA28">
        <f>IF(G27&lt;=0,0,MIN(G27+AZ28,$F$9+AY28))</f>
        <v/>
      </c>
      <c r="BB28">
        <f>IF(G27&lt;=0,AY28,MAX(0,$F$9+AY28-G27-AZ28))</f>
        <v/>
      </c>
      <c r="BC28">
        <f>IF(H27&lt;=0,0,H27*$E$10/12)</f>
        <v/>
      </c>
      <c r="BD28">
        <f>IF(H27&lt;=0,0,MIN(H27+BC28,$F$10+BB28))</f>
        <v/>
      </c>
      <c r="BE28">
        <f>IF(H27&lt;=0,BB28,MAX(0,$F$10+BB28-H27-BC28))</f>
        <v/>
      </c>
      <c r="BF28">
        <f>IF(I27&lt;=0,0,I27*$E$11/12)</f>
        <v/>
      </c>
      <c r="BG28">
        <f>IF(I27&lt;=0,0,MIN(I27+BF28,$F$11+BE28))</f>
        <v/>
      </c>
      <c r="BH28">
        <f>IF(I27&lt;=0,BE28,MAX(0,$F$11+BE28-I27-BF28))</f>
        <v/>
      </c>
      <c r="BI28">
        <f>IF(J27&lt;=0,0,J27*$E$12/12)</f>
        <v/>
      </c>
      <c r="BJ28">
        <f>IF(J27&lt;=0,0,MIN(J27+BI28,$F$12+BH28))</f>
        <v/>
      </c>
      <c r="BK28">
        <f>IF(J27&lt;=0,BH28,MAX(0,$F$12+BH28-J27-BI28))</f>
        <v/>
      </c>
      <c r="BL28">
        <f>IF(K27&lt;=0,0,K27*$E$13/12)</f>
        <v/>
      </c>
      <c r="BM28">
        <f>IF(K27&lt;=0,0,MIN(K27+BL28,$F$13+BK28))</f>
        <v/>
      </c>
      <c r="BN28">
        <f>IF(K27&lt;=0,BK28,MAX(0,$F$13+BK28-K27-BL28))</f>
        <v/>
      </c>
      <c r="BO28">
        <f>IF(L27&lt;=0,0,L27*$E$14/12)</f>
        <v/>
      </c>
      <c r="BP28">
        <f>IF(L27&lt;=0,0,MIN(L27+BO28,$F$14+BN28))</f>
        <v/>
      </c>
      <c r="BQ28">
        <f>IF(L27&lt;=0,BN28,MAX(0,$F$14+BN28-L27-BO28))</f>
        <v/>
      </c>
      <c r="BR28">
        <f>IF(M27&lt;=0,0,M27*$E$15/12)</f>
        <v/>
      </c>
      <c r="BS28">
        <f>IF(M27&lt;=0,0,MIN(M27+BR28,$F$15+BQ28))</f>
        <v/>
      </c>
      <c r="BT28">
        <f>IF(M27&lt;=0,BQ28,MAX(0,$F$15+BQ28-M27-BR28))</f>
        <v/>
      </c>
      <c r="BU28">
        <f>IF(N27&lt;=0,0,N27*$E$16/12)</f>
        <v/>
      </c>
      <c r="BV28">
        <f>IF(N27&lt;=0,0,MIN(N27+BU28,$F$16+BT28))</f>
        <v/>
      </c>
      <c r="BW28">
        <f>IF(N27&lt;=0,BT28,MAX(0,$F$16+BT28-N27-BU28))</f>
        <v/>
      </c>
      <c r="BX28">
        <f>IF(O27&lt;=0,0,O27*$E$17/12)</f>
        <v/>
      </c>
      <c r="BY28">
        <f>IF(O27&lt;=0,0,MIN(O27+BX28,$F$17+BW28))</f>
        <v/>
      </c>
      <c r="BZ28">
        <f>IF(O27&lt;=0,BW28,MAX(0,$F$17+BW28-O27-BX28))</f>
        <v/>
      </c>
      <c r="CA28">
        <f>IF(P27&lt;=0,0,P27*$E$18/12)</f>
        <v/>
      </c>
      <c r="CB28">
        <f>IF(P27&lt;=0,0,MIN(P27+CA28,$F$18+BZ28))</f>
        <v/>
      </c>
      <c r="CC28">
        <f>IF(P27&lt;=0,BZ28,MAX(0,$F$18+BZ28-P27-CA28))</f>
        <v/>
      </c>
      <c r="CD28">
        <f>IF(Q27&lt;=0,0,Q27*$E$19/12)</f>
        <v/>
      </c>
      <c r="CE28">
        <f>IF(Q27&lt;=0,0,MIN(Q27+CD28,$F$19+CC28))</f>
        <v/>
      </c>
      <c r="CF28">
        <f>IF(Q27&lt;=0,CC28,MAX(0,$F$19+CC28-Q27-CD28))</f>
        <v/>
      </c>
      <c r="CG28">
        <f>IF(R27&lt;=0,0,R27*$E$20/12)</f>
        <v/>
      </c>
      <c r="CH28">
        <f>IF(R27&lt;=0,0,MIN(R27+CG28,$F$20+CF28))</f>
        <v/>
      </c>
      <c r="CI28">
        <f>IF(R27&lt;=0,CF28,MAX(0,$F$20+CF28-R27-CG28))</f>
        <v/>
      </c>
      <c r="CJ28">
        <f>IF(S27&lt;=0,0,S27*$E$21/12)</f>
        <v/>
      </c>
      <c r="CK28">
        <f>IF(S27&lt;=0,0,MIN(S27+CJ28,$F$21+CI28))</f>
        <v/>
      </c>
      <c r="CL28">
        <f>IF(S27&lt;=0,CI28,MAX(0,$F$21+CI28-S27-CJ28))</f>
        <v/>
      </c>
      <c r="CM28">
        <f>IF(T27&lt;=0,0,T27*$E$22/12)</f>
        <v/>
      </c>
      <c r="CN28">
        <f>IF(T27&lt;=0,0,MIN(T27+CM28,$F$22+CL28))</f>
        <v/>
      </c>
      <c r="CO28">
        <f>IF(T27&lt;=0,CL28,MAX(0,$F$22+CL28-T27-CM28))</f>
        <v/>
      </c>
      <c r="CP28">
        <f>IF(U27&lt;=0,0,U27*$E$23/12)</f>
        <v/>
      </c>
      <c r="CQ28">
        <f>IF(U27&lt;=0,0,MIN(U27+CP28,$F$23+CO28))</f>
        <v/>
      </c>
      <c r="CR28">
        <f>IF(U27&lt;=0,CO28,MAX(0,$F$23+CO28-U27-CP28))</f>
        <v/>
      </c>
      <c r="CS28">
        <f>IF(V27&lt;=0,0,V27*$E$24/12)</f>
        <v/>
      </c>
      <c r="CT28">
        <f>IF(V27&lt;=0,0,MIN(V27+CS28,$F$24+CR28))</f>
        <v/>
      </c>
      <c r="CU28">
        <f>IF(V27&lt;=0,CR28,MAX(0,$F$24+CR28-V27-CS28))</f>
        <v/>
      </c>
    </row>
    <row r="29">
      <c r="B29" s="39" t="n">
        <v>3</v>
      </c>
      <c r="C29" s="13">
        <f>IF(C28&lt;=0,0,MAX(0,C28+AN29-AO29))</f>
        <v/>
      </c>
      <c r="D29" s="13">
        <f>IF(D28&lt;=0,0,MAX(0,D28+AQ29-AR29))</f>
        <v/>
      </c>
      <c r="E29" s="13">
        <f>IF(E28&lt;=0,0,MAX(0,E28+AT29-AU29))</f>
        <v/>
      </c>
      <c r="F29" s="13">
        <f>IF(F28&lt;=0,0,MAX(0,F28+AW29-AX29))</f>
        <v/>
      </c>
      <c r="G29" s="13">
        <f>IF(G28&lt;=0,0,MAX(0,G28+AZ29-BA29))</f>
        <v/>
      </c>
      <c r="H29" s="13">
        <f>IF(H28&lt;=0,0,MAX(0,H28+BC29-BD29))</f>
        <v/>
      </c>
      <c r="I29" s="13">
        <f>IF(I28&lt;=0,0,MAX(0,I28+BF29-BG29))</f>
        <v/>
      </c>
      <c r="J29" s="13">
        <f>IF(J28&lt;=0,0,MAX(0,J28+BI29-BJ29))</f>
        <v/>
      </c>
      <c r="K29" s="13">
        <f>IF(K28&lt;=0,0,MAX(0,K28+BL29-BM29))</f>
        <v/>
      </c>
      <c r="L29" s="13">
        <f>IF(L28&lt;=0,0,MAX(0,L28+BO29-BP29))</f>
        <v/>
      </c>
      <c r="M29" s="13">
        <f>IF(M28&lt;=0,0,MAX(0,M28+BR29-BS29))</f>
        <v/>
      </c>
      <c r="N29" s="13">
        <f>IF(N28&lt;=0,0,MAX(0,N28+BU29-BV29))</f>
        <v/>
      </c>
      <c r="O29" s="13">
        <f>IF(O28&lt;=0,0,MAX(0,O28+BX29-BY29))</f>
        <v/>
      </c>
      <c r="P29" s="13">
        <f>IF(P28&lt;=0,0,MAX(0,P28+CA29-CB29))</f>
        <v/>
      </c>
      <c r="Q29" s="13">
        <f>IF(Q28&lt;=0,0,MAX(0,Q28+CD29-CE29))</f>
        <v/>
      </c>
      <c r="R29" s="13">
        <f>IF(R28&lt;=0,0,MAX(0,R28+CG29-CH29))</f>
        <v/>
      </c>
      <c r="S29" s="13">
        <f>IF(S28&lt;=0,0,MAX(0,S28+CJ29-CK29))</f>
        <v/>
      </c>
      <c r="T29" s="13">
        <f>IF(T28&lt;=0,0,MAX(0,T28+CM29-CN29))</f>
        <v/>
      </c>
      <c r="U29" s="13">
        <f>IF(U28&lt;=0,0,MAX(0,U28+CP29-CQ29))</f>
        <v/>
      </c>
      <c r="V29" s="13">
        <f>IF(V28&lt;=0,0,MAX(0,V28+CS29-CT29))</f>
        <v/>
      </c>
      <c r="W29" s="13">
        <f>AO29+AR29+AU29+AX29+BA29+BD29+BG29+BJ29+BM29+BP29+BS29+BV29+BY29+CB29+CE29+CH29+CK29+CN29+CQ29+CT29</f>
        <v/>
      </c>
      <c r="X29" s="13">
        <f>AN29+AQ29+AT29+AW29+AZ29+BC29+BF29+BI29+BL29+BO29+BR29+BU29+BX29+CA29+CD29+CG29+CJ29+CM29+CP29+CS29</f>
        <v/>
      </c>
      <c r="Y29" s="27">
        <f>C29+D29+E29+F29+G29+H29+I29+J29+K29+L29+M29+N29+O29+P29+Q29+R29+S29+T29+U29+V29</f>
        <v/>
      </c>
      <c r="AN29">
        <f>IF(C28&lt;=0,0,C28*$E$5/12)</f>
        <v/>
      </c>
      <c r="AO29">
        <f>IF(C28&lt;=0,0,MIN(C28+AN29,$F$5+(Dashboard!$C$11+IF(C28&lt;=0,$F$5,0)+IF(D28&lt;=0,$F$6,0)+IF(E28&lt;=0,$F$7,0)+IF(F28&lt;=0,$F$8,0)+IF(G28&lt;=0,$F$9,0)+IF(H28&lt;=0,$F$10,0)+IF(I28&lt;=0,$F$11,0)+IF(J28&lt;=0,$F$12,0)+IF(K28&lt;=0,$F$13,0)+IF(L28&lt;=0,$F$14,0)+IF(M28&lt;=0,$F$15,0)+IF(N28&lt;=0,$F$16,0)+IF(O28&lt;=0,$F$17,0)+IF(P28&lt;=0,$F$18,0)+IF(Q28&lt;=0,$F$19,0)+IF(R28&lt;=0,$F$20,0)+IF(S28&lt;=0,$F$21,0)+IF(T28&lt;=0,$F$22,0)+IF(U28&lt;=0,$F$23,0)+IF(V28&lt;=0,$F$24,0))))</f>
        <v/>
      </c>
      <c r="AP29">
        <f>IF(C28&lt;=0,(Dashboard!$C$11+IF(C28&lt;=0,$F$5,0)+IF(D28&lt;=0,$F$6,0)+IF(E28&lt;=0,$F$7,0)+IF(F28&lt;=0,$F$8,0)+IF(G28&lt;=0,$F$9,0)+IF(H28&lt;=0,$F$10,0)+IF(I28&lt;=0,$F$11,0)+IF(J28&lt;=0,$F$12,0)+IF(K28&lt;=0,$F$13,0)+IF(L28&lt;=0,$F$14,0)+IF(M28&lt;=0,$F$15,0)+IF(N28&lt;=0,$F$16,0)+IF(O28&lt;=0,$F$17,0)+IF(P28&lt;=0,$F$18,0)+IF(Q28&lt;=0,$F$19,0)+IF(R28&lt;=0,$F$20,0)+IF(S28&lt;=0,$F$21,0)+IF(T28&lt;=0,$F$22,0)+IF(U28&lt;=0,$F$23,0)+IF(V28&lt;=0,$F$24,0)),MAX(0,$F$5+(Dashboard!$C$11+IF(C28&lt;=0,$F$5,0)+IF(D28&lt;=0,$F$6,0)+IF(E28&lt;=0,$F$7,0)+IF(F28&lt;=0,$F$8,0)+IF(G28&lt;=0,$F$9,0)+IF(H28&lt;=0,$F$10,0)+IF(I28&lt;=0,$F$11,0)+IF(J28&lt;=0,$F$12,0)+IF(K28&lt;=0,$F$13,0)+IF(L28&lt;=0,$F$14,0)+IF(M28&lt;=0,$F$15,0)+IF(N28&lt;=0,$F$16,0)+IF(O28&lt;=0,$F$17,0)+IF(P28&lt;=0,$F$18,0)+IF(Q28&lt;=0,$F$19,0)+IF(R28&lt;=0,$F$20,0)+IF(S28&lt;=0,$F$21,0)+IF(T28&lt;=0,$F$22,0)+IF(U28&lt;=0,$F$23,0)+IF(V28&lt;=0,$F$24,0))-C28-AN29))</f>
        <v/>
      </c>
      <c r="AQ29">
        <f>IF(D28&lt;=0,0,D28*$E$6/12)</f>
        <v/>
      </c>
      <c r="AR29">
        <f>IF(D28&lt;=0,0,MIN(D28+AQ29,$F$6+AP29))</f>
        <v/>
      </c>
      <c r="AS29">
        <f>IF(D28&lt;=0,AP29,MAX(0,$F$6+AP29-D28-AQ29))</f>
        <v/>
      </c>
      <c r="AT29">
        <f>IF(E28&lt;=0,0,E28*$E$7/12)</f>
        <v/>
      </c>
      <c r="AU29">
        <f>IF(E28&lt;=0,0,MIN(E28+AT29,$F$7+AS29))</f>
        <v/>
      </c>
      <c r="AV29">
        <f>IF(E28&lt;=0,AS29,MAX(0,$F$7+AS29-E28-AT29))</f>
        <v/>
      </c>
      <c r="AW29">
        <f>IF(F28&lt;=0,0,F28*$E$8/12)</f>
        <v/>
      </c>
      <c r="AX29">
        <f>IF(F28&lt;=0,0,MIN(F28+AW29,$F$8+AV29))</f>
        <v/>
      </c>
      <c r="AY29">
        <f>IF(F28&lt;=0,AV29,MAX(0,$F$8+AV29-F28-AW29))</f>
        <v/>
      </c>
      <c r="AZ29">
        <f>IF(G28&lt;=0,0,G28*$E$9/12)</f>
        <v/>
      </c>
      <c r="BA29">
        <f>IF(G28&lt;=0,0,MIN(G28+AZ29,$F$9+AY29))</f>
        <v/>
      </c>
      <c r="BB29">
        <f>IF(G28&lt;=0,AY29,MAX(0,$F$9+AY29-G28-AZ29))</f>
        <v/>
      </c>
      <c r="BC29">
        <f>IF(H28&lt;=0,0,H28*$E$10/12)</f>
        <v/>
      </c>
      <c r="BD29">
        <f>IF(H28&lt;=0,0,MIN(H28+BC29,$F$10+BB29))</f>
        <v/>
      </c>
      <c r="BE29">
        <f>IF(H28&lt;=0,BB29,MAX(0,$F$10+BB29-H28-BC29))</f>
        <v/>
      </c>
      <c r="BF29">
        <f>IF(I28&lt;=0,0,I28*$E$11/12)</f>
        <v/>
      </c>
      <c r="BG29">
        <f>IF(I28&lt;=0,0,MIN(I28+BF29,$F$11+BE29))</f>
        <v/>
      </c>
      <c r="BH29">
        <f>IF(I28&lt;=0,BE29,MAX(0,$F$11+BE29-I28-BF29))</f>
        <v/>
      </c>
      <c r="BI29">
        <f>IF(J28&lt;=0,0,J28*$E$12/12)</f>
        <v/>
      </c>
      <c r="BJ29">
        <f>IF(J28&lt;=0,0,MIN(J28+BI29,$F$12+BH29))</f>
        <v/>
      </c>
      <c r="BK29">
        <f>IF(J28&lt;=0,BH29,MAX(0,$F$12+BH29-J28-BI29))</f>
        <v/>
      </c>
      <c r="BL29">
        <f>IF(K28&lt;=0,0,K28*$E$13/12)</f>
        <v/>
      </c>
      <c r="BM29">
        <f>IF(K28&lt;=0,0,MIN(K28+BL29,$F$13+BK29))</f>
        <v/>
      </c>
      <c r="BN29">
        <f>IF(K28&lt;=0,BK29,MAX(0,$F$13+BK29-K28-BL29))</f>
        <v/>
      </c>
      <c r="BO29">
        <f>IF(L28&lt;=0,0,L28*$E$14/12)</f>
        <v/>
      </c>
      <c r="BP29">
        <f>IF(L28&lt;=0,0,MIN(L28+BO29,$F$14+BN29))</f>
        <v/>
      </c>
      <c r="BQ29">
        <f>IF(L28&lt;=0,BN29,MAX(0,$F$14+BN29-L28-BO29))</f>
        <v/>
      </c>
      <c r="BR29">
        <f>IF(M28&lt;=0,0,M28*$E$15/12)</f>
        <v/>
      </c>
      <c r="BS29">
        <f>IF(M28&lt;=0,0,MIN(M28+BR29,$F$15+BQ29))</f>
        <v/>
      </c>
      <c r="BT29">
        <f>IF(M28&lt;=0,BQ29,MAX(0,$F$15+BQ29-M28-BR29))</f>
        <v/>
      </c>
      <c r="BU29">
        <f>IF(N28&lt;=0,0,N28*$E$16/12)</f>
        <v/>
      </c>
      <c r="BV29">
        <f>IF(N28&lt;=0,0,MIN(N28+BU29,$F$16+BT29))</f>
        <v/>
      </c>
      <c r="BW29">
        <f>IF(N28&lt;=0,BT29,MAX(0,$F$16+BT29-N28-BU29))</f>
        <v/>
      </c>
      <c r="BX29">
        <f>IF(O28&lt;=0,0,O28*$E$17/12)</f>
        <v/>
      </c>
      <c r="BY29">
        <f>IF(O28&lt;=0,0,MIN(O28+BX29,$F$17+BW29))</f>
        <v/>
      </c>
      <c r="BZ29">
        <f>IF(O28&lt;=0,BW29,MAX(0,$F$17+BW29-O28-BX29))</f>
        <v/>
      </c>
      <c r="CA29">
        <f>IF(P28&lt;=0,0,P28*$E$18/12)</f>
        <v/>
      </c>
      <c r="CB29">
        <f>IF(P28&lt;=0,0,MIN(P28+CA29,$F$18+BZ29))</f>
        <v/>
      </c>
      <c r="CC29">
        <f>IF(P28&lt;=0,BZ29,MAX(0,$F$18+BZ29-P28-CA29))</f>
        <v/>
      </c>
      <c r="CD29">
        <f>IF(Q28&lt;=0,0,Q28*$E$19/12)</f>
        <v/>
      </c>
      <c r="CE29">
        <f>IF(Q28&lt;=0,0,MIN(Q28+CD29,$F$19+CC29))</f>
        <v/>
      </c>
      <c r="CF29">
        <f>IF(Q28&lt;=0,CC29,MAX(0,$F$19+CC29-Q28-CD29))</f>
        <v/>
      </c>
      <c r="CG29">
        <f>IF(R28&lt;=0,0,R28*$E$20/12)</f>
        <v/>
      </c>
      <c r="CH29">
        <f>IF(R28&lt;=0,0,MIN(R28+CG29,$F$20+CF29))</f>
        <v/>
      </c>
      <c r="CI29">
        <f>IF(R28&lt;=0,CF29,MAX(0,$F$20+CF29-R28-CG29))</f>
        <v/>
      </c>
      <c r="CJ29">
        <f>IF(S28&lt;=0,0,S28*$E$21/12)</f>
        <v/>
      </c>
      <c r="CK29">
        <f>IF(S28&lt;=0,0,MIN(S28+CJ29,$F$21+CI29))</f>
        <v/>
      </c>
      <c r="CL29">
        <f>IF(S28&lt;=0,CI29,MAX(0,$F$21+CI29-S28-CJ29))</f>
        <v/>
      </c>
      <c r="CM29">
        <f>IF(T28&lt;=0,0,T28*$E$22/12)</f>
        <v/>
      </c>
      <c r="CN29">
        <f>IF(T28&lt;=0,0,MIN(T28+CM29,$F$22+CL29))</f>
        <v/>
      </c>
      <c r="CO29">
        <f>IF(T28&lt;=0,CL29,MAX(0,$F$22+CL29-T28-CM29))</f>
        <v/>
      </c>
      <c r="CP29">
        <f>IF(U28&lt;=0,0,U28*$E$23/12)</f>
        <v/>
      </c>
      <c r="CQ29">
        <f>IF(U28&lt;=0,0,MIN(U28+CP29,$F$23+CO29))</f>
        <v/>
      </c>
      <c r="CR29">
        <f>IF(U28&lt;=0,CO29,MAX(0,$F$23+CO29-U28-CP29))</f>
        <v/>
      </c>
      <c r="CS29">
        <f>IF(V28&lt;=0,0,V28*$E$24/12)</f>
        <v/>
      </c>
      <c r="CT29">
        <f>IF(V28&lt;=0,0,MIN(V28+CS29,$F$24+CR29))</f>
        <v/>
      </c>
      <c r="CU29">
        <f>IF(V28&lt;=0,CR29,MAX(0,$F$24+CR29-V28-CS29))</f>
        <v/>
      </c>
    </row>
    <row r="30">
      <c r="B30" s="39" t="n">
        <v>4</v>
      </c>
      <c r="C30" s="13">
        <f>IF(C29&lt;=0,0,MAX(0,C29+AN30-AO30))</f>
        <v/>
      </c>
      <c r="D30" s="13">
        <f>IF(D29&lt;=0,0,MAX(0,D29+AQ30-AR30))</f>
        <v/>
      </c>
      <c r="E30" s="13">
        <f>IF(E29&lt;=0,0,MAX(0,E29+AT30-AU30))</f>
        <v/>
      </c>
      <c r="F30" s="13">
        <f>IF(F29&lt;=0,0,MAX(0,F29+AW30-AX30))</f>
        <v/>
      </c>
      <c r="G30" s="13">
        <f>IF(G29&lt;=0,0,MAX(0,G29+AZ30-BA30))</f>
        <v/>
      </c>
      <c r="H30" s="13">
        <f>IF(H29&lt;=0,0,MAX(0,H29+BC30-BD30))</f>
        <v/>
      </c>
      <c r="I30" s="13">
        <f>IF(I29&lt;=0,0,MAX(0,I29+BF30-BG30))</f>
        <v/>
      </c>
      <c r="J30" s="13">
        <f>IF(J29&lt;=0,0,MAX(0,J29+BI30-BJ30))</f>
        <v/>
      </c>
      <c r="K30" s="13">
        <f>IF(K29&lt;=0,0,MAX(0,K29+BL30-BM30))</f>
        <v/>
      </c>
      <c r="L30" s="13">
        <f>IF(L29&lt;=0,0,MAX(0,L29+BO30-BP30))</f>
        <v/>
      </c>
      <c r="M30" s="13">
        <f>IF(M29&lt;=0,0,MAX(0,M29+BR30-BS30))</f>
        <v/>
      </c>
      <c r="N30" s="13">
        <f>IF(N29&lt;=0,0,MAX(0,N29+BU30-BV30))</f>
        <v/>
      </c>
      <c r="O30" s="13">
        <f>IF(O29&lt;=0,0,MAX(0,O29+BX30-BY30))</f>
        <v/>
      </c>
      <c r="P30" s="13">
        <f>IF(P29&lt;=0,0,MAX(0,P29+CA30-CB30))</f>
        <v/>
      </c>
      <c r="Q30" s="13">
        <f>IF(Q29&lt;=0,0,MAX(0,Q29+CD30-CE30))</f>
        <v/>
      </c>
      <c r="R30" s="13">
        <f>IF(R29&lt;=0,0,MAX(0,R29+CG30-CH30))</f>
        <v/>
      </c>
      <c r="S30" s="13">
        <f>IF(S29&lt;=0,0,MAX(0,S29+CJ30-CK30))</f>
        <v/>
      </c>
      <c r="T30" s="13">
        <f>IF(T29&lt;=0,0,MAX(0,T29+CM30-CN30))</f>
        <v/>
      </c>
      <c r="U30" s="13">
        <f>IF(U29&lt;=0,0,MAX(0,U29+CP30-CQ30))</f>
        <v/>
      </c>
      <c r="V30" s="13">
        <f>IF(V29&lt;=0,0,MAX(0,V29+CS30-CT30))</f>
        <v/>
      </c>
      <c r="W30" s="13">
        <f>AO30+AR30+AU30+AX30+BA30+BD30+BG30+BJ30+BM30+BP30+BS30+BV30+BY30+CB30+CE30+CH30+CK30+CN30+CQ30+CT30</f>
        <v/>
      </c>
      <c r="X30" s="13">
        <f>AN30+AQ30+AT30+AW30+AZ30+BC30+BF30+BI30+BL30+BO30+BR30+BU30+BX30+CA30+CD30+CG30+CJ30+CM30+CP30+CS30</f>
        <v/>
      </c>
      <c r="Y30" s="27">
        <f>C30+D30+E30+F30+G30+H30+I30+J30+K30+L30+M30+N30+O30+P30+Q30+R30+S30+T30+U30+V30</f>
        <v/>
      </c>
      <c r="AN30">
        <f>IF(C29&lt;=0,0,C29*$E$5/12)</f>
        <v/>
      </c>
      <c r="AO30">
        <f>IF(C29&lt;=0,0,MIN(C29+AN30,$F$5+(Dashboard!$C$11+IF(C29&lt;=0,$F$5,0)+IF(D29&lt;=0,$F$6,0)+IF(E29&lt;=0,$F$7,0)+IF(F29&lt;=0,$F$8,0)+IF(G29&lt;=0,$F$9,0)+IF(H29&lt;=0,$F$10,0)+IF(I29&lt;=0,$F$11,0)+IF(J29&lt;=0,$F$12,0)+IF(K29&lt;=0,$F$13,0)+IF(L29&lt;=0,$F$14,0)+IF(M29&lt;=0,$F$15,0)+IF(N29&lt;=0,$F$16,0)+IF(O29&lt;=0,$F$17,0)+IF(P29&lt;=0,$F$18,0)+IF(Q29&lt;=0,$F$19,0)+IF(R29&lt;=0,$F$20,0)+IF(S29&lt;=0,$F$21,0)+IF(T29&lt;=0,$F$22,0)+IF(U29&lt;=0,$F$23,0)+IF(V29&lt;=0,$F$24,0))))</f>
        <v/>
      </c>
      <c r="AP30">
        <f>IF(C29&lt;=0,(Dashboard!$C$11+IF(C29&lt;=0,$F$5,0)+IF(D29&lt;=0,$F$6,0)+IF(E29&lt;=0,$F$7,0)+IF(F29&lt;=0,$F$8,0)+IF(G29&lt;=0,$F$9,0)+IF(H29&lt;=0,$F$10,0)+IF(I29&lt;=0,$F$11,0)+IF(J29&lt;=0,$F$12,0)+IF(K29&lt;=0,$F$13,0)+IF(L29&lt;=0,$F$14,0)+IF(M29&lt;=0,$F$15,0)+IF(N29&lt;=0,$F$16,0)+IF(O29&lt;=0,$F$17,0)+IF(P29&lt;=0,$F$18,0)+IF(Q29&lt;=0,$F$19,0)+IF(R29&lt;=0,$F$20,0)+IF(S29&lt;=0,$F$21,0)+IF(T29&lt;=0,$F$22,0)+IF(U29&lt;=0,$F$23,0)+IF(V29&lt;=0,$F$24,0)),MAX(0,$F$5+(Dashboard!$C$11+IF(C29&lt;=0,$F$5,0)+IF(D29&lt;=0,$F$6,0)+IF(E29&lt;=0,$F$7,0)+IF(F29&lt;=0,$F$8,0)+IF(G29&lt;=0,$F$9,0)+IF(H29&lt;=0,$F$10,0)+IF(I29&lt;=0,$F$11,0)+IF(J29&lt;=0,$F$12,0)+IF(K29&lt;=0,$F$13,0)+IF(L29&lt;=0,$F$14,0)+IF(M29&lt;=0,$F$15,0)+IF(N29&lt;=0,$F$16,0)+IF(O29&lt;=0,$F$17,0)+IF(P29&lt;=0,$F$18,0)+IF(Q29&lt;=0,$F$19,0)+IF(R29&lt;=0,$F$20,0)+IF(S29&lt;=0,$F$21,0)+IF(T29&lt;=0,$F$22,0)+IF(U29&lt;=0,$F$23,0)+IF(V29&lt;=0,$F$24,0))-C29-AN30))</f>
        <v/>
      </c>
      <c r="AQ30">
        <f>IF(D29&lt;=0,0,D29*$E$6/12)</f>
        <v/>
      </c>
      <c r="AR30">
        <f>IF(D29&lt;=0,0,MIN(D29+AQ30,$F$6+AP30))</f>
        <v/>
      </c>
      <c r="AS30">
        <f>IF(D29&lt;=0,AP30,MAX(0,$F$6+AP30-D29-AQ30))</f>
        <v/>
      </c>
      <c r="AT30">
        <f>IF(E29&lt;=0,0,E29*$E$7/12)</f>
        <v/>
      </c>
      <c r="AU30">
        <f>IF(E29&lt;=0,0,MIN(E29+AT30,$F$7+AS30))</f>
        <v/>
      </c>
      <c r="AV30">
        <f>IF(E29&lt;=0,AS30,MAX(0,$F$7+AS30-E29-AT30))</f>
        <v/>
      </c>
      <c r="AW30">
        <f>IF(F29&lt;=0,0,F29*$E$8/12)</f>
        <v/>
      </c>
      <c r="AX30">
        <f>IF(F29&lt;=0,0,MIN(F29+AW30,$F$8+AV30))</f>
        <v/>
      </c>
      <c r="AY30">
        <f>IF(F29&lt;=0,AV30,MAX(0,$F$8+AV30-F29-AW30))</f>
        <v/>
      </c>
      <c r="AZ30">
        <f>IF(G29&lt;=0,0,G29*$E$9/12)</f>
        <v/>
      </c>
      <c r="BA30">
        <f>IF(G29&lt;=0,0,MIN(G29+AZ30,$F$9+AY30))</f>
        <v/>
      </c>
      <c r="BB30">
        <f>IF(G29&lt;=0,AY30,MAX(0,$F$9+AY30-G29-AZ30))</f>
        <v/>
      </c>
      <c r="BC30">
        <f>IF(H29&lt;=0,0,H29*$E$10/12)</f>
        <v/>
      </c>
      <c r="BD30">
        <f>IF(H29&lt;=0,0,MIN(H29+BC30,$F$10+BB30))</f>
        <v/>
      </c>
      <c r="BE30">
        <f>IF(H29&lt;=0,BB30,MAX(0,$F$10+BB30-H29-BC30))</f>
        <v/>
      </c>
      <c r="BF30">
        <f>IF(I29&lt;=0,0,I29*$E$11/12)</f>
        <v/>
      </c>
      <c r="BG30">
        <f>IF(I29&lt;=0,0,MIN(I29+BF30,$F$11+BE30))</f>
        <v/>
      </c>
      <c r="BH30">
        <f>IF(I29&lt;=0,BE30,MAX(0,$F$11+BE30-I29-BF30))</f>
        <v/>
      </c>
      <c r="BI30">
        <f>IF(J29&lt;=0,0,J29*$E$12/12)</f>
        <v/>
      </c>
      <c r="BJ30">
        <f>IF(J29&lt;=0,0,MIN(J29+BI30,$F$12+BH30))</f>
        <v/>
      </c>
      <c r="BK30">
        <f>IF(J29&lt;=0,BH30,MAX(0,$F$12+BH30-J29-BI30))</f>
        <v/>
      </c>
      <c r="BL30">
        <f>IF(K29&lt;=0,0,K29*$E$13/12)</f>
        <v/>
      </c>
      <c r="BM30">
        <f>IF(K29&lt;=0,0,MIN(K29+BL30,$F$13+BK30))</f>
        <v/>
      </c>
      <c r="BN30">
        <f>IF(K29&lt;=0,BK30,MAX(0,$F$13+BK30-K29-BL30))</f>
        <v/>
      </c>
      <c r="BO30">
        <f>IF(L29&lt;=0,0,L29*$E$14/12)</f>
        <v/>
      </c>
      <c r="BP30">
        <f>IF(L29&lt;=0,0,MIN(L29+BO30,$F$14+BN30))</f>
        <v/>
      </c>
      <c r="BQ30">
        <f>IF(L29&lt;=0,BN30,MAX(0,$F$14+BN30-L29-BO30))</f>
        <v/>
      </c>
      <c r="BR30">
        <f>IF(M29&lt;=0,0,M29*$E$15/12)</f>
        <v/>
      </c>
      <c r="BS30">
        <f>IF(M29&lt;=0,0,MIN(M29+BR30,$F$15+BQ30))</f>
        <v/>
      </c>
      <c r="BT30">
        <f>IF(M29&lt;=0,BQ30,MAX(0,$F$15+BQ30-M29-BR30))</f>
        <v/>
      </c>
      <c r="BU30">
        <f>IF(N29&lt;=0,0,N29*$E$16/12)</f>
        <v/>
      </c>
      <c r="BV30">
        <f>IF(N29&lt;=0,0,MIN(N29+BU30,$F$16+BT30))</f>
        <v/>
      </c>
      <c r="BW30">
        <f>IF(N29&lt;=0,BT30,MAX(0,$F$16+BT30-N29-BU30))</f>
        <v/>
      </c>
      <c r="BX30">
        <f>IF(O29&lt;=0,0,O29*$E$17/12)</f>
        <v/>
      </c>
      <c r="BY30">
        <f>IF(O29&lt;=0,0,MIN(O29+BX30,$F$17+BW30))</f>
        <v/>
      </c>
      <c r="BZ30">
        <f>IF(O29&lt;=0,BW30,MAX(0,$F$17+BW30-O29-BX30))</f>
        <v/>
      </c>
      <c r="CA30">
        <f>IF(P29&lt;=0,0,P29*$E$18/12)</f>
        <v/>
      </c>
      <c r="CB30">
        <f>IF(P29&lt;=0,0,MIN(P29+CA30,$F$18+BZ30))</f>
        <v/>
      </c>
      <c r="CC30">
        <f>IF(P29&lt;=0,BZ30,MAX(0,$F$18+BZ30-P29-CA30))</f>
        <v/>
      </c>
      <c r="CD30">
        <f>IF(Q29&lt;=0,0,Q29*$E$19/12)</f>
        <v/>
      </c>
      <c r="CE30">
        <f>IF(Q29&lt;=0,0,MIN(Q29+CD30,$F$19+CC30))</f>
        <v/>
      </c>
      <c r="CF30">
        <f>IF(Q29&lt;=0,CC30,MAX(0,$F$19+CC30-Q29-CD30))</f>
        <v/>
      </c>
      <c r="CG30">
        <f>IF(R29&lt;=0,0,R29*$E$20/12)</f>
        <v/>
      </c>
      <c r="CH30">
        <f>IF(R29&lt;=0,0,MIN(R29+CG30,$F$20+CF30))</f>
        <v/>
      </c>
      <c r="CI30">
        <f>IF(R29&lt;=0,CF30,MAX(0,$F$20+CF30-R29-CG30))</f>
        <v/>
      </c>
      <c r="CJ30">
        <f>IF(S29&lt;=0,0,S29*$E$21/12)</f>
        <v/>
      </c>
      <c r="CK30">
        <f>IF(S29&lt;=0,0,MIN(S29+CJ30,$F$21+CI30))</f>
        <v/>
      </c>
      <c r="CL30">
        <f>IF(S29&lt;=0,CI30,MAX(0,$F$21+CI30-S29-CJ30))</f>
        <v/>
      </c>
      <c r="CM30">
        <f>IF(T29&lt;=0,0,T29*$E$22/12)</f>
        <v/>
      </c>
      <c r="CN30">
        <f>IF(T29&lt;=0,0,MIN(T29+CM30,$F$22+CL30))</f>
        <v/>
      </c>
      <c r="CO30">
        <f>IF(T29&lt;=0,CL30,MAX(0,$F$22+CL30-T29-CM30))</f>
        <v/>
      </c>
      <c r="CP30">
        <f>IF(U29&lt;=0,0,U29*$E$23/12)</f>
        <v/>
      </c>
      <c r="CQ30">
        <f>IF(U29&lt;=0,0,MIN(U29+CP30,$F$23+CO30))</f>
        <v/>
      </c>
      <c r="CR30">
        <f>IF(U29&lt;=0,CO30,MAX(0,$F$23+CO30-U29-CP30))</f>
        <v/>
      </c>
      <c r="CS30">
        <f>IF(V29&lt;=0,0,V29*$E$24/12)</f>
        <v/>
      </c>
      <c r="CT30">
        <f>IF(V29&lt;=0,0,MIN(V29+CS30,$F$24+CR30))</f>
        <v/>
      </c>
      <c r="CU30">
        <f>IF(V29&lt;=0,CR30,MAX(0,$F$24+CR30-V29-CS30))</f>
        <v/>
      </c>
    </row>
    <row r="31">
      <c r="B31" s="39" t="n">
        <v>5</v>
      </c>
      <c r="C31" s="13">
        <f>IF(C30&lt;=0,0,MAX(0,C30+AN31-AO31))</f>
        <v/>
      </c>
      <c r="D31" s="13">
        <f>IF(D30&lt;=0,0,MAX(0,D30+AQ31-AR31))</f>
        <v/>
      </c>
      <c r="E31" s="13">
        <f>IF(E30&lt;=0,0,MAX(0,E30+AT31-AU31))</f>
        <v/>
      </c>
      <c r="F31" s="13">
        <f>IF(F30&lt;=0,0,MAX(0,F30+AW31-AX31))</f>
        <v/>
      </c>
      <c r="G31" s="13">
        <f>IF(G30&lt;=0,0,MAX(0,G30+AZ31-BA31))</f>
        <v/>
      </c>
      <c r="H31" s="13">
        <f>IF(H30&lt;=0,0,MAX(0,H30+BC31-BD31))</f>
        <v/>
      </c>
      <c r="I31" s="13">
        <f>IF(I30&lt;=0,0,MAX(0,I30+BF31-BG31))</f>
        <v/>
      </c>
      <c r="J31" s="13">
        <f>IF(J30&lt;=0,0,MAX(0,J30+BI31-BJ31))</f>
        <v/>
      </c>
      <c r="K31" s="13">
        <f>IF(K30&lt;=0,0,MAX(0,K30+BL31-BM31))</f>
        <v/>
      </c>
      <c r="L31" s="13">
        <f>IF(L30&lt;=0,0,MAX(0,L30+BO31-BP31))</f>
        <v/>
      </c>
      <c r="M31" s="13">
        <f>IF(M30&lt;=0,0,MAX(0,M30+BR31-BS31))</f>
        <v/>
      </c>
      <c r="N31" s="13">
        <f>IF(N30&lt;=0,0,MAX(0,N30+BU31-BV31))</f>
        <v/>
      </c>
      <c r="O31" s="13">
        <f>IF(O30&lt;=0,0,MAX(0,O30+BX31-BY31))</f>
        <v/>
      </c>
      <c r="P31" s="13">
        <f>IF(P30&lt;=0,0,MAX(0,P30+CA31-CB31))</f>
        <v/>
      </c>
      <c r="Q31" s="13">
        <f>IF(Q30&lt;=0,0,MAX(0,Q30+CD31-CE31))</f>
        <v/>
      </c>
      <c r="R31" s="13">
        <f>IF(R30&lt;=0,0,MAX(0,R30+CG31-CH31))</f>
        <v/>
      </c>
      <c r="S31" s="13">
        <f>IF(S30&lt;=0,0,MAX(0,S30+CJ31-CK31))</f>
        <v/>
      </c>
      <c r="T31" s="13">
        <f>IF(T30&lt;=0,0,MAX(0,T30+CM31-CN31))</f>
        <v/>
      </c>
      <c r="U31" s="13">
        <f>IF(U30&lt;=0,0,MAX(0,U30+CP31-CQ31))</f>
        <v/>
      </c>
      <c r="V31" s="13">
        <f>IF(V30&lt;=0,0,MAX(0,V30+CS31-CT31))</f>
        <v/>
      </c>
      <c r="W31" s="13">
        <f>AO31+AR31+AU31+AX31+BA31+BD31+BG31+BJ31+BM31+BP31+BS31+BV31+BY31+CB31+CE31+CH31+CK31+CN31+CQ31+CT31</f>
        <v/>
      </c>
      <c r="X31" s="13">
        <f>AN31+AQ31+AT31+AW31+AZ31+BC31+BF31+BI31+BL31+BO31+BR31+BU31+BX31+CA31+CD31+CG31+CJ31+CM31+CP31+CS31</f>
        <v/>
      </c>
      <c r="Y31" s="27">
        <f>C31+D31+E31+F31+G31+H31+I31+J31+K31+L31+M31+N31+O31+P31+Q31+R31+S31+T31+U31+V31</f>
        <v/>
      </c>
      <c r="AN31">
        <f>IF(C30&lt;=0,0,C30*$E$5/12)</f>
        <v/>
      </c>
      <c r="AO31">
        <f>IF(C30&lt;=0,0,MIN(C30+AN31,$F$5+(Dashboard!$C$11+IF(C30&lt;=0,$F$5,0)+IF(D30&lt;=0,$F$6,0)+IF(E30&lt;=0,$F$7,0)+IF(F30&lt;=0,$F$8,0)+IF(G30&lt;=0,$F$9,0)+IF(H30&lt;=0,$F$10,0)+IF(I30&lt;=0,$F$11,0)+IF(J30&lt;=0,$F$12,0)+IF(K30&lt;=0,$F$13,0)+IF(L30&lt;=0,$F$14,0)+IF(M30&lt;=0,$F$15,0)+IF(N30&lt;=0,$F$16,0)+IF(O30&lt;=0,$F$17,0)+IF(P30&lt;=0,$F$18,0)+IF(Q30&lt;=0,$F$19,0)+IF(R30&lt;=0,$F$20,0)+IF(S30&lt;=0,$F$21,0)+IF(T30&lt;=0,$F$22,0)+IF(U30&lt;=0,$F$23,0)+IF(V30&lt;=0,$F$24,0))))</f>
        <v/>
      </c>
      <c r="AP31">
        <f>IF(C30&lt;=0,(Dashboard!$C$11+IF(C30&lt;=0,$F$5,0)+IF(D30&lt;=0,$F$6,0)+IF(E30&lt;=0,$F$7,0)+IF(F30&lt;=0,$F$8,0)+IF(G30&lt;=0,$F$9,0)+IF(H30&lt;=0,$F$10,0)+IF(I30&lt;=0,$F$11,0)+IF(J30&lt;=0,$F$12,0)+IF(K30&lt;=0,$F$13,0)+IF(L30&lt;=0,$F$14,0)+IF(M30&lt;=0,$F$15,0)+IF(N30&lt;=0,$F$16,0)+IF(O30&lt;=0,$F$17,0)+IF(P30&lt;=0,$F$18,0)+IF(Q30&lt;=0,$F$19,0)+IF(R30&lt;=0,$F$20,0)+IF(S30&lt;=0,$F$21,0)+IF(T30&lt;=0,$F$22,0)+IF(U30&lt;=0,$F$23,0)+IF(V30&lt;=0,$F$24,0)),MAX(0,$F$5+(Dashboard!$C$11+IF(C30&lt;=0,$F$5,0)+IF(D30&lt;=0,$F$6,0)+IF(E30&lt;=0,$F$7,0)+IF(F30&lt;=0,$F$8,0)+IF(G30&lt;=0,$F$9,0)+IF(H30&lt;=0,$F$10,0)+IF(I30&lt;=0,$F$11,0)+IF(J30&lt;=0,$F$12,0)+IF(K30&lt;=0,$F$13,0)+IF(L30&lt;=0,$F$14,0)+IF(M30&lt;=0,$F$15,0)+IF(N30&lt;=0,$F$16,0)+IF(O30&lt;=0,$F$17,0)+IF(P30&lt;=0,$F$18,0)+IF(Q30&lt;=0,$F$19,0)+IF(R30&lt;=0,$F$20,0)+IF(S30&lt;=0,$F$21,0)+IF(T30&lt;=0,$F$22,0)+IF(U30&lt;=0,$F$23,0)+IF(V30&lt;=0,$F$24,0))-C30-AN31))</f>
        <v/>
      </c>
      <c r="AQ31">
        <f>IF(D30&lt;=0,0,D30*$E$6/12)</f>
        <v/>
      </c>
      <c r="AR31">
        <f>IF(D30&lt;=0,0,MIN(D30+AQ31,$F$6+AP31))</f>
        <v/>
      </c>
      <c r="AS31">
        <f>IF(D30&lt;=0,AP31,MAX(0,$F$6+AP31-D30-AQ31))</f>
        <v/>
      </c>
      <c r="AT31">
        <f>IF(E30&lt;=0,0,E30*$E$7/12)</f>
        <v/>
      </c>
      <c r="AU31">
        <f>IF(E30&lt;=0,0,MIN(E30+AT31,$F$7+AS31))</f>
        <v/>
      </c>
      <c r="AV31">
        <f>IF(E30&lt;=0,AS31,MAX(0,$F$7+AS31-E30-AT31))</f>
        <v/>
      </c>
      <c r="AW31">
        <f>IF(F30&lt;=0,0,F30*$E$8/12)</f>
        <v/>
      </c>
      <c r="AX31">
        <f>IF(F30&lt;=0,0,MIN(F30+AW31,$F$8+AV31))</f>
        <v/>
      </c>
      <c r="AY31">
        <f>IF(F30&lt;=0,AV31,MAX(0,$F$8+AV31-F30-AW31))</f>
        <v/>
      </c>
      <c r="AZ31">
        <f>IF(G30&lt;=0,0,G30*$E$9/12)</f>
        <v/>
      </c>
      <c r="BA31">
        <f>IF(G30&lt;=0,0,MIN(G30+AZ31,$F$9+AY31))</f>
        <v/>
      </c>
      <c r="BB31">
        <f>IF(G30&lt;=0,AY31,MAX(0,$F$9+AY31-G30-AZ31))</f>
        <v/>
      </c>
      <c r="BC31">
        <f>IF(H30&lt;=0,0,H30*$E$10/12)</f>
        <v/>
      </c>
      <c r="BD31">
        <f>IF(H30&lt;=0,0,MIN(H30+BC31,$F$10+BB31))</f>
        <v/>
      </c>
      <c r="BE31">
        <f>IF(H30&lt;=0,BB31,MAX(0,$F$10+BB31-H30-BC31))</f>
        <v/>
      </c>
      <c r="BF31">
        <f>IF(I30&lt;=0,0,I30*$E$11/12)</f>
        <v/>
      </c>
      <c r="BG31">
        <f>IF(I30&lt;=0,0,MIN(I30+BF31,$F$11+BE31))</f>
        <v/>
      </c>
      <c r="BH31">
        <f>IF(I30&lt;=0,BE31,MAX(0,$F$11+BE31-I30-BF31))</f>
        <v/>
      </c>
      <c r="BI31">
        <f>IF(J30&lt;=0,0,J30*$E$12/12)</f>
        <v/>
      </c>
      <c r="BJ31">
        <f>IF(J30&lt;=0,0,MIN(J30+BI31,$F$12+BH31))</f>
        <v/>
      </c>
      <c r="BK31">
        <f>IF(J30&lt;=0,BH31,MAX(0,$F$12+BH31-J30-BI31))</f>
        <v/>
      </c>
      <c r="BL31">
        <f>IF(K30&lt;=0,0,K30*$E$13/12)</f>
        <v/>
      </c>
      <c r="BM31">
        <f>IF(K30&lt;=0,0,MIN(K30+BL31,$F$13+BK31))</f>
        <v/>
      </c>
      <c r="BN31">
        <f>IF(K30&lt;=0,BK31,MAX(0,$F$13+BK31-K30-BL31))</f>
        <v/>
      </c>
      <c r="BO31">
        <f>IF(L30&lt;=0,0,L30*$E$14/12)</f>
        <v/>
      </c>
      <c r="BP31">
        <f>IF(L30&lt;=0,0,MIN(L30+BO31,$F$14+BN31))</f>
        <v/>
      </c>
      <c r="BQ31">
        <f>IF(L30&lt;=0,BN31,MAX(0,$F$14+BN31-L30-BO31))</f>
        <v/>
      </c>
      <c r="BR31">
        <f>IF(M30&lt;=0,0,M30*$E$15/12)</f>
        <v/>
      </c>
      <c r="BS31">
        <f>IF(M30&lt;=0,0,MIN(M30+BR31,$F$15+BQ31))</f>
        <v/>
      </c>
      <c r="BT31">
        <f>IF(M30&lt;=0,BQ31,MAX(0,$F$15+BQ31-M30-BR31))</f>
        <v/>
      </c>
      <c r="BU31">
        <f>IF(N30&lt;=0,0,N30*$E$16/12)</f>
        <v/>
      </c>
      <c r="BV31">
        <f>IF(N30&lt;=0,0,MIN(N30+BU31,$F$16+BT31))</f>
        <v/>
      </c>
      <c r="BW31">
        <f>IF(N30&lt;=0,BT31,MAX(0,$F$16+BT31-N30-BU31))</f>
        <v/>
      </c>
      <c r="BX31">
        <f>IF(O30&lt;=0,0,O30*$E$17/12)</f>
        <v/>
      </c>
      <c r="BY31">
        <f>IF(O30&lt;=0,0,MIN(O30+BX31,$F$17+BW31))</f>
        <v/>
      </c>
      <c r="BZ31">
        <f>IF(O30&lt;=0,BW31,MAX(0,$F$17+BW31-O30-BX31))</f>
        <v/>
      </c>
      <c r="CA31">
        <f>IF(P30&lt;=0,0,P30*$E$18/12)</f>
        <v/>
      </c>
      <c r="CB31">
        <f>IF(P30&lt;=0,0,MIN(P30+CA31,$F$18+BZ31))</f>
        <v/>
      </c>
      <c r="CC31">
        <f>IF(P30&lt;=0,BZ31,MAX(0,$F$18+BZ31-P30-CA31))</f>
        <v/>
      </c>
      <c r="CD31">
        <f>IF(Q30&lt;=0,0,Q30*$E$19/12)</f>
        <v/>
      </c>
      <c r="CE31">
        <f>IF(Q30&lt;=0,0,MIN(Q30+CD31,$F$19+CC31))</f>
        <v/>
      </c>
      <c r="CF31">
        <f>IF(Q30&lt;=0,CC31,MAX(0,$F$19+CC31-Q30-CD31))</f>
        <v/>
      </c>
      <c r="CG31">
        <f>IF(R30&lt;=0,0,R30*$E$20/12)</f>
        <v/>
      </c>
      <c r="CH31">
        <f>IF(R30&lt;=0,0,MIN(R30+CG31,$F$20+CF31))</f>
        <v/>
      </c>
      <c r="CI31">
        <f>IF(R30&lt;=0,CF31,MAX(0,$F$20+CF31-R30-CG31))</f>
        <v/>
      </c>
      <c r="CJ31">
        <f>IF(S30&lt;=0,0,S30*$E$21/12)</f>
        <v/>
      </c>
      <c r="CK31">
        <f>IF(S30&lt;=0,0,MIN(S30+CJ31,$F$21+CI31))</f>
        <v/>
      </c>
      <c r="CL31">
        <f>IF(S30&lt;=0,CI31,MAX(0,$F$21+CI31-S30-CJ31))</f>
        <v/>
      </c>
      <c r="CM31">
        <f>IF(T30&lt;=0,0,T30*$E$22/12)</f>
        <v/>
      </c>
      <c r="CN31">
        <f>IF(T30&lt;=0,0,MIN(T30+CM31,$F$22+CL31))</f>
        <v/>
      </c>
      <c r="CO31">
        <f>IF(T30&lt;=0,CL31,MAX(0,$F$22+CL31-T30-CM31))</f>
        <v/>
      </c>
      <c r="CP31">
        <f>IF(U30&lt;=0,0,U30*$E$23/12)</f>
        <v/>
      </c>
      <c r="CQ31">
        <f>IF(U30&lt;=0,0,MIN(U30+CP31,$F$23+CO31))</f>
        <v/>
      </c>
      <c r="CR31">
        <f>IF(U30&lt;=0,CO31,MAX(0,$F$23+CO31-U30-CP31))</f>
        <v/>
      </c>
      <c r="CS31">
        <f>IF(V30&lt;=0,0,V30*$E$24/12)</f>
        <v/>
      </c>
      <c r="CT31">
        <f>IF(V30&lt;=0,0,MIN(V30+CS31,$F$24+CR31))</f>
        <v/>
      </c>
      <c r="CU31">
        <f>IF(V30&lt;=0,CR31,MAX(0,$F$24+CR31-V30-CS31))</f>
        <v/>
      </c>
    </row>
    <row r="32">
      <c r="B32" s="39" t="n">
        <v>6</v>
      </c>
      <c r="C32" s="13">
        <f>IF(C31&lt;=0,0,MAX(0,C31+AN32-AO32))</f>
        <v/>
      </c>
      <c r="D32" s="13">
        <f>IF(D31&lt;=0,0,MAX(0,D31+AQ32-AR32))</f>
        <v/>
      </c>
      <c r="E32" s="13">
        <f>IF(E31&lt;=0,0,MAX(0,E31+AT32-AU32))</f>
        <v/>
      </c>
      <c r="F32" s="13">
        <f>IF(F31&lt;=0,0,MAX(0,F31+AW32-AX32))</f>
        <v/>
      </c>
      <c r="G32" s="13">
        <f>IF(G31&lt;=0,0,MAX(0,G31+AZ32-BA32))</f>
        <v/>
      </c>
      <c r="H32" s="13">
        <f>IF(H31&lt;=0,0,MAX(0,H31+BC32-BD32))</f>
        <v/>
      </c>
      <c r="I32" s="13">
        <f>IF(I31&lt;=0,0,MAX(0,I31+BF32-BG32))</f>
        <v/>
      </c>
      <c r="J32" s="13">
        <f>IF(J31&lt;=0,0,MAX(0,J31+BI32-BJ32))</f>
        <v/>
      </c>
      <c r="K32" s="13">
        <f>IF(K31&lt;=0,0,MAX(0,K31+BL32-BM32))</f>
        <v/>
      </c>
      <c r="L32" s="13">
        <f>IF(L31&lt;=0,0,MAX(0,L31+BO32-BP32))</f>
        <v/>
      </c>
      <c r="M32" s="13">
        <f>IF(M31&lt;=0,0,MAX(0,M31+BR32-BS32))</f>
        <v/>
      </c>
      <c r="N32" s="13">
        <f>IF(N31&lt;=0,0,MAX(0,N31+BU32-BV32))</f>
        <v/>
      </c>
      <c r="O32" s="13">
        <f>IF(O31&lt;=0,0,MAX(0,O31+BX32-BY32))</f>
        <v/>
      </c>
      <c r="P32" s="13">
        <f>IF(P31&lt;=0,0,MAX(0,P31+CA32-CB32))</f>
        <v/>
      </c>
      <c r="Q32" s="13">
        <f>IF(Q31&lt;=0,0,MAX(0,Q31+CD32-CE32))</f>
        <v/>
      </c>
      <c r="R32" s="13">
        <f>IF(R31&lt;=0,0,MAX(0,R31+CG32-CH32))</f>
        <v/>
      </c>
      <c r="S32" s="13">
        <f>IF(S31&lt;=0,0,MAX(0,S31+CJ32-CK32))</f>
        <v/>
      </c>
      <c r="T32" s="13">
        <f>IF(T31&lt;=0,0,MAX(0,T31+CM32-CN32))</f>
        <v/>
      </c>
      <c r="U32" s="13">
        <f>IF(U31&lt;=0,0,MAX(0,U31+CP32-CQ32))</f>
        <v/>
      </c>
      <c r="V32" s="13">
        <f>IF(V31&lt;=0,0,MAX(0,V31+CS32-CT32))</f>
        <v/>
      </c>
      <c r="W32" s="13">
        <f>AO32+AR32+AU32+AX32+BA32+BD32+BG32+BJ32+BM32+BP32+BS32+BV32+BY32+CB32+CE32+CH32+CK32+CN32+CQ32+CT32</f>
        <v/>
      </c>
      <c r="X32" s="13">
        <f>AN32+AQ32+AT32+AW32+AZ32+BC32+BF32+BI32+BL32+BO32+BR32+BU32+BX32+CA32+CD32+CG32+CJ32+CM32+CP32+CS32</f>
        <v/>
      </c>
      <c r="Y32" s="27">
        <f>C32+D32+E32+F32+G32+H32+I32+J32+K32+L32+M32+N32+O32+P32+Q32+R32+S32+T32+U32+V32</f>
        <v/>
      </c>
      <c r="AN32">
        <f>IF(C31&lt;=0,0,C31*$E$5/12)</f>
        <v/>
      </c>
      <c r="AO32">
        <f>IF(C31&lt;=0,0,MIN(C31+AN32,$F$5+(Dashboard!$C$11+IF(C31&lt;=0,$F$5,0)+IF(D31&lt;=0,$F$6,0)+IF(E31&lt;=0,$F$7,0)+IF(F31&lt;=0,$F$8,0)+IF(G31&lt;=0,$F$9,0)+IF(H31&lt;=0,$F$10,0)+IF(I31&lt;=0,$F$11,0)+IF(J31&lt;=0,$F$12,0)+IF(K31&lt;=0,$F$13,0)+IF(L31&lt;=0,$F$14,0)+IF(M31&lt;=0,$F$15,0)+IF(N31&lt;=0,$F$16,0)+IF(O31&lt;=0,$F$17,0)+IF(P31&lt;=0,$F$18,0)+IF(Q31&lt;=0,$F$19,0)+IF(R31&lt;=0,$F$20,0)+IF(S31&lt;=0,$F$21,0)+IF(T31&lt;=0,$F$22,0)+IF(U31&lt;=0,$F$23,0)+IF(V31&lt;=0,$F$24,0))))</f>
        <v/>
      </c>
      <c r="AP32">
        <f>IF(C31&lt;=0,(Dashboard!$C$11+IF(C31&lt;=0,$F$5,0)+IF(D31&lt;=0,$F$6,0)+IF(E31&lt;=0,$F$7,0)+IF(F31&lt;=0,$F$8,0)+IF(G31&lt;=0,$F$9,0)+IF(H31&lt;=0,$F$10,0)+IF(I31&lt;=0,$F$11,0)+IF(J31&lt;=0,$F$12,0)+IF(K31&lt;=0,$F$13,0)+IF(L31&lt;=0,$F$14,0)+IF(M31&lt;=0,$F$15,0)+IF(N31&lt;=0,$F$16,0)+IF(O31&lt;=0,$F$17,0)+IF(P31&lt;=0,$F$18,0)+IF(Q31&lt;=0,$F$19,0)+IF(R31&lt;=0,$F$20,0)+IF(S31&lt;=0,$F$21,0)+IF(T31&lt;=0,$F$22,0)+IF(U31&lt;=0,$F$23,0)+IF(V31&lt;=0,$F$24,0)),MAX(0,$F$5+(Dashboard!$C$11+IF(C31&lt;=0,$F$5,0)+IF(D31&lt;=0,$F$6,0)+IF(E31&lt;=0,$F$7,0)+IF(F31&lt;=0,$F$8,0)+IF(G31&lt;=0,$F$9,0)+IF(H31&lt;=0,$F$10,0)+IF(I31&lt;=0,$F$11,0)+IF(J31&lt;=0,$F$12,0)+IF(K31&lt;=0,$F$13,0)+IF(L31&lt;=0,$F$14,0)+IF(M31&lt;=0,$F$15,0)+IF(N31&lt;=0,$F$16,0)+IF(O31&lt;=0,$F$17,0)+IF(P31&lt;=0,$F$18,0)+IF(Q31&lt;=0,$F$19,0)+IF(R31&lt;=0,$F$20,0)+IF(S31&lt;=0,$F$21,0)+IF(T31&lt;=0,$F$22,0)+IF(U31&lt;=0,$F$23,0)+IF(V31&lt;=0,$F$24,0))-C31-AN32))</f>
        <v/>
      </c>
      <c r="AQ32">
        <f>IF(D31&lt;=0,0,D31*$E$6/12)</f>
        <v/>
      </c>
      <c r="AR32">
        <f>IF(D31&lt;=0,0,MIN(D31+AQ32,$F$6+AP32))</f>
        <v/>
      </c>
      <c r="AS32">
        <f>IF(D31&lt;=0,AP32,MAX(0,$F$6+AP32-D31-AQ32))</f>
        <v/>
      </c>
      <c r="AT32">
        <f>IF(E31&lt;=0,0,E31*$E$7/12)</f>
        <v/>
      </c>
      <c r="AU32">
        <f>IF(E31&lt;=0,0,MIN(E31+AT32,$F$7+AS32))</f>
        <v/>
      </c>
      <c r="AV32">
        <f>IF(E31&lt;=0,AS32,MAX(0,$F$7+AS32-E31-AT32))</f>
        <v/>
      </c>
      <c r="AW32">
        <f>IF(F31&lt;=0,0,F31*$E$8/12)</f>
        <v/>
      </c>
      <c r="AX32">
        <f>IF(F31&lt;=0,0,MIN(F31+AW32,$F$8+AV32))</f>
        <v/>
      </c>
      <c r="AY32">
        <f>IF(F31&lt;=0,AV32,MAX(0,$F$8+AV32-F31-AW32))</f>
        <v/>
      </c>
      <c r="AZ32">
        <f>IF(G31&lt;=0,0,G31*$E$9/12)</f>
        <v/>
      </c>
      <c r="BA32">
        <f>IF(G31&lt;=0,0,MIN(G31+AZ32,$F$9+AY32))</f>
        <v/>
      </c>
      <c r="BB32">
        <f>IF(G31&lt;=0,AY32,MAX(0,$F$9+AY32-G31-AZ32))</f>
        <v/>
      </c>
      <c r="BC32">
        <f>IF(H31&lt;=0,0,H31*$E$10/12)</f>
        <v/>
      </c>
      <c r="BD32">
        <f>IF(H31&lt;=0,0,MIN(H31+BC32,$F$10+BB32))</f>
        <v/>
      </c>
      <c r="BE32">
        <f>IF(H31&lt;=0,BB32,MAX(0,$F$10+BB32-H31-BC32))</f>
        <v/>
      </c>
      <c r="BF32">
        <f>IF(I31&lt;=0,0,I31*$E$11/12)</f>
        <v/>
      </c>
      <c r="BG32">
        <f>IF(I31&lt;=0,0,MIN(I31+BF32,$F$11+BE32))</f>
        <v/>
      </c>
      <c r="BH32">
        <f>IF(I31&lt;=0,BE32,MAX(0,$F$11+BE32-I31-BF32))</f>
        <v/>
      </c>
      <c r="BI32">
        <f>IF(J31&lt;=0,0,J31*$E$12/12)</f>
        <v/>
      </c>
      <c r="BJ32">
        <f>IF(J31&lt;=0,0,MIN(J31+BI32,$F$12+BH32))</f>
        <v/>
      </c>
      <c r="BK32">
        <f>IF(J31&lt;=0,BH32,MAX(0,$F$12+BH32-J31-BI32))</f>
        <v/>
      </c>
      <c r="BL32">
        <f>IF(K31&lt;=0,0,K31*$E$13/12)</f>
        <v/>
      </c>
      <c r="BM32">
        <f>IF(K31&lt;=0,0,MIN(K31+BL32,$F$13+BK32))</f>
        <v/>
      </c>
      <c r="BN32">
        <f>IF(K31&lt;=0,BK32,MAX(0,$F$13+BK32-K31-BL32))</f>
        <v/>
      </c>
      <c r="BO32">
        <f>IF(L31&lt;=0,0,L31*$E$14/12)</f>
        <v/>
      </c>
      <c r="BP32">
        <f>IF(L31&lt;=0,0,MIN(L31+BO32,$F$14+BN32))</f>
        <v/>
      </c>
      <c r="BQ32">
        <f>IF(L31&lt;=0,BN32,MAX(0,$F$14+BN32-L31-BO32))</f>
        <v/>
      </c>
      <c r="BR32">
        <f>IF(M31&lt;=0,0,M31*$E$15/12)</f>
        <v/>
      </c>
      <c r="BS32">
        <f>IF(M31&lt;=0,0,MIN(M31+BR32,$F$15+BQ32))</f>
        <v/>
      </c>
      <c r="BT32">
        <f>IF(M31&lt;=0,BQ32,MAX(0,$F$15+BQ32-M31-BR32))</f>
        <v/>
      </c>
      <c r="BU32">
        <f>IF(N31&lt;=0,0,N31*$E$16/12)</f>
        <v/>
      </c>
      <c r="BV32">
        <f>IF(N31&lt;=0,0,MIN(N31+BU32,$F$16+BT32))</f>
        <v/>
      </c>
      <c r="BW32">
        <f>IF(N31&lt;=0,BT32,MAX(0,$F$16+BT32-N31-BU32))</f>
        <v/>
      </c>
      <c r="BX32">
        <f>IF(O31&lt;=0,0,O31*$E$17/12)</f>
        <v/>
      </c>
      <c r="BY32">
        <f>IF(O31&lt;=0,0,MIN(O31+BX32,$F$17+BW32))</f>
        <v/>
      </c>
      <c r="BZ32">
        <f>IF(O31&lt;=0,BW32,MAX(0,$F$17+BW32-O31-BX32))</f>
        <v/>
      </c>
      <c r="CA32">
        <f>IF(P31&lt;=0,0,P31*$E$18/12)</f>
        <v/>
      </c>
      <c r="CB32">
        <f>IF(P31&lt;=0,0,MIN(P31+CA32,$F$18+BZ32))</f>
        <v/>
      </c>
      <c r="CC32">
        <f>IF(P31&lt;=0,BZ32,MAX(0,$F$18+BZ32-P31-CA32))</f>
        <v/>
      </c>
      <c r="CD32">
        <f>IF(Q31&lt;=0,0,Q31*$E$19/12)</f>
        <v/>
      </c>
      <c r="CE32">
        <f>IF(Q31&lt;=0,0,MIN(Q31+CD32,$F$19+CC32))</f>
        <v/>
      </c>
      <c r="CF32">
        <f>IF(Q31&lt;=0,CC32,MAX(0,$F$19+CC32-Q31-CD32))</f>
        <v/>
      </c>
      <c r="CG32">
        <f>IF(R31&lt;=0,0,R31*$E$20/12)</f>
        <v/>
      </c>
      <c r="CH32">
        <f>IF(R31&lt;=0,0,MIN(R31+CG32,$F$20+CF32))</f>
        <v/>
      </c>
      <c r="CI32">
        <f>IF(R31&lt;=0,CF32,MAX(0,$F$20+CF32-R31-CG32))</f>
        <v/>
      </c>
      <c r="CJ32">
        <f>IF(S31&lt;=0,0,S31*$E$21/12)</f>
        <v/>
      </c>
      <c r="CK32">
        <f>IF(S31&lt;=0,0,MIN(S31+CJ32,$F$21+CI32))</f>
        <v/>
      </c>
      <c r="CL32">
        <f>IF(S31&lt;=0,CI32,MAX(0,$F$21+CI32-S31-CJ32))</f>
        <v/>
      </c>
      <c r="CM32">
        <f>IF(T31&lt;=0,0,T31*$E$22/12)</f>
        <v/>
      </c>
      <c r="CN32">
        <f>IF(T31&lt;=0,0,MIN(T31+CM32,$F$22+CL32))</f>
        <v/>
      </c>
      <c r="CO32">
        <f>IF(T31&lt;=0,CL32,MAX(0,$F$22+CL32-T31-CM32))</f>
        <v/>
      </c>
      <c r="CP32">
        <f>IF(U31&lt;=0,0,U31*$E$23/12)</f>
        <v/>
      </c>
      <c r="CQ32">
        <f>IF(U31&lt;=0,0,MIN(U31+CP32,$F$23+CO32))</f>
        <v/>
      </c>
      <c r="CR32">
        <f>IF(U31&lt;=0,CO32,MAX(0,$F$23+CO32-U31-CP32))</f>
        <v/>
      </c>
      <c r="CS32">
        <f>IF(V31&lt;=0,0,V31*$E$24/12)</f>
        <v/>
      </c>
      <c r="CT32">
        <f>IF(V31&lt;=0,0,MIN(V31+CS32,$F$24+CR32))</f>
        <v/>
      </c>
      <c r="CU32">
        <f>IF(V31&lt;=0,CR32,MAX(0,$F$24+CR32-V31-CS32))</f>
        <v/>
      </c>
    </row>
    <row r="33">
      <c r="B33" s="39" t="n">
        <v>7</v>
      </c>
      <c r="C33" s="13">
        <f>IF(C32&lt;=0,0,MAX(0,C32+AN33-AO33))</f>
        <v/>
      </c>
      <c r="D33" s="13">
        <f>IF(D32&lt;=0,0,MAX(0,D32+AQ33-AR33))</f>
        <v/>
      </c>
      <c r="E33" s="13">
        <f>IF(E32&lt;=0,0,MAX(0,E32+AT33-AU33))</f>
        <v/>
      </c>
      <c r="F33" s="13">
        <f>IF(F32&lt;=0,0,MAX(0,F32+AW33-AX33))</f>
        <v/>
      </c>
      <c r="G33" s="13">
        <f>IF(G32&lt;=0,0,MAX(0,G32+AZ33-BA33))</f>
        <v/>
      </c>
      <c r="H33" s="13">
        <f>IF(H32&lt;=0,0,MAX(0,H32+BC33-BD33))</f>
        <v/>
      </c>
      <c r="I33" s="13">
        <f>IF(I32&lt;=0,0,MAX(0,I32+BF33-BG33))</f>
        <v/>
      </c>
      <c r="J33" s="13">
        <f>IF(J32&lt;=0,0,MAX(0,J32+BI33-BJ33))</f>
        <v/>
      </c>
      <c r="K33" s="13">
        <f>IF(K32&lt;=0,0,MAX(0,K32+BL33-BM33))</f>
        <v/>
      </c>
      <c r="L33" s="13">
        <f>IF(L32&lt;=0,0,MAX(0,L32+BO33-BP33))</f>
        <v/>
      </c>
      <c r="M33" s="13">
        <f>IF(M32&lt;=0,0,MAX(0,M32+BR33-BS33))</f>
        <v/>
      </c>
      <c r="N33" s="13">
        <f>IF(N32&lt;=0,0,MAX(0,N32+BU33-BV33))</f>
        <v/>
      </c>
      <c r="O33" s="13">
        <f>IF(O32&lt;=0,0,MAX(0,O32+BX33-BY33))</f>
        <v/>
      </c>
      <c r="P33" s="13">
        <f>IF(P32&lt;=0,0,MAX(0,P32+CA33-CB33))</f>
        <v/>
      </c>
      <c r="Q33" s="13">
        <f>IF(Q32&lt;=0,0,MAX(0,Q32+CD33-CE33))</f>
        <v/>
      </c>
      <c r="R33" s="13">
        <f>IF(R32&lt;=0,0,MAX(0,R32+CG33-CH33))</f>
        <v/>
      </c>
      <c r="S33" s="13">
        <f>IF(S32&lt;=0,0,MAX(0,S32+CJ33-CK33))</f>
        <v/>
      </c>
      <c r="T33" s="13">
        <f>IF(T32&lt;=0,0,MAX(0,T32+CM33-CN33))</f>
        <v/>
      </c>
      <c r="U33" s="13">
        <f>IF(U32&lt;=0,0,MAX(0,U32+CP33-CQ33))</f>
        <v/>
      </c>
      <c r="V33" s="13">
        <f>IF(V32&lt;=0,0,MAX(0,V32+CS33-CT33))</f>
        <v/>
      </c>
      <c r="W33" s="13">
        <f>AO33+AR33+AU33+AX33+BA33+BD33+BG33+BJ33+BM33+BP33+BS33+BV33+BY33+CB33+CE33+CH33+CK33+CN33+CQ33+CT33</f>
        <v/>
      </c>
      <c r="X33" s="13">
        <f>AN33+AQ33+AT33+AW33+AZ33+BC33+BF33+BI33+BL33+BO33+BR33+BU33+BX33+CA33+CD33+CG33+CJ33+CM33+CP33+CS33</f>
        <v/>
      </c>
      <c r="Y33" s="27">
        <f>C33+D33+E33+F33+G33+H33+I33+J33+K33+L33+M33+N33+O33+P33+Q33+R33+S33+T33+U33+V33</f>
        <v/>
      </c>
      <c r="AN33">
        <f>IF(C32&lt;=0,0,C32*$E$5/12)</f>
        <v/>
      </c>
      <c r="AO33">
        <f>IF(C32&lt;=0,0,MIN(C32+AN33,$F$5+(Dashboard!$C$11+IF(C32&lt;=0,$F$5,0)+IF(D32&lt;=0,$F$6,0)+IF(E32&lt;=0,$F$7,0)+IF(F32&lt;=0,$F$8,0)+IF(G32&lt;=0,$F$9,0)+IF(H32&lt;=0,$F$10,0)+IF(I32&lt;=0,$F$11,0)+IF(J32&lt;=0,$F$12,0)+IF(K32&lt;=0,$F$13,0)+IF(L32&lt;=0,$F$14,0)+IF(M32&lt;=0,$F$15,0)+IF(N32&lt;=0,$F$16,0)+IF(O32&lt;=0,$F$17,0)+IF(P32&lt;=0,$F$18,0)+IF(Q32&lt;=0,$F$19,0)+IF(R32&lt;=0,$F$20,0)+IF(S32&lt;=0,$F$21,0)+IF(T32&lt;=0,$F$22,0)+IF(U32&lt;=0,$F$23,0)+IF(V32&lt;=0,$F$24,0))))</f>
        <v/>
      </c>
      <c r="AP33">
        <f>IF(C32&lt;=0,(Dashboard!$C$11+IF(C32&lt;=0,$F$5,0)+IF(D32&lt;=0,$F$6,0)+IF(E32&lt;=0,$F$7,0)+IF(F32&lt;=0,$F$8,0)+IF(G32&lt;=0,$F$9,0)+IF(H32&lt;=0,$F$10,0)+IF(I32&lt;=0,$F$11,0)+IF(J32&lt;=0,$F$12,0)+IF(K32&lt;=0,$F$13,0)+IF(L32&lt;=0,$F$14,0)+IF(M32&lt;=0,$F$15,0)+IF(N32&lt;=0,$F$16,0)+IF(O32&lt;=0,$F$17,0)+IF(P32&lt;=0,$F$18,0)+IF(Q32&lt;=0,$F$19,0)+IF(R32&lt;=0,$F$20,0)+IF(S32&lt;=0,$F$21,0)+IF(T32&lt;=0,$F$22,0)+IF(U32&lt;=0,$F$23,0)+IF(V32&lt;=0,$F$24,0)),MAX(0,$F$5+(Dashboard!$C$11+IF(C32&lt;=0,$F$5,0)+IF(D32&lt;=0,$F$6,0)+IF(E32&lt;=0,$F$7,0)+IF(F32&lt;=0,$F$8,0)+IF(G32&lt;=0,$F$9,0)+IF(H32&lt;=0,$F$10,0)+IF(I32&lt;=0,$F$11,0)+IF(J32&lt;=0,$F$12,0)+IF(K32&lt;=0,$F$13,0)+IF(L32&lt;=0,$F$14,0)+IF(M32&lt;=0,$F$15,0)+IF(N32&lt;=0,$F$16,0)+IF(O32&lt;=0,$F$17,0)+IF(P32&lt;=0,$F$18,0)+IF(Q32&lt;=0,$F$19,0)+IF(R32&lt;=0,$F$20,0)+IF(S32&lt;=0,$F$21,0)+IF(T32&lt;=0,$F$22,0)+IF(U32&lt;=0,$F$23,0)+IF(V32&lt;=0,$F$24,0))-C32-AN33))</f>
        <v/>
      </c>
      <c r="AQ33">
        <f>IF(D32&lt;=0,0,D32*$E$6/12)</f>
        <v/>
      </c>
      <c r="AR33">
        <f>IF(D32&lt;=0,0,MIN(D32+AQ33,$F$6+AP33))</f>
        <v/>
      </c>
      <c r="AS33">
        <f>IF(D32&lt;=0,AP33,MAX(0,$F$6+AP33-D32-AQ33))</f>
        <v/>
      </c>
      <c r="AT33">
        <f>IF(E32&lt;=0,0,E32*$E$7/12)</f>
        <v/>
      </c>
      <c r="AU33">
        <f>IF(E32&lt;=0,0,MIN(E32+AT33,$F$7+AS33))</f>
        <v/>
      </c>
      <c r="AV33">
        <f>IF(E32&lt;=0,AS33,MAX(0,$F$7+AS33-E32-AT33))</f>
        <v/>
      </c>
      <c r="AW33">
        <f>IF(F32&lt;=0,0,F32*$E$8/12)</f>
        <v/>
      </c>
      <c r="AX33">
        <f>IF(F32&lt;=0,0,MIN(F32+AW33,$F$8+AV33))</f>
        <v/>
      </c>
      <c r="AY33">
        <f>IF(F32&lt;=0,AV33,MAX(0,$F$8+AV33-F32-AW33))</f>
        <v/>
      </c>
      <c r="AZ33">
        <f>IF(G32&lt;=0,0,G32*$E$9/12)</f>
        <v/>
      </c>
      <c r="BA33">
        <f>IF(G32&lt;=0,0,MIN(G32+AZ33,$F$9+AY33))</f>
        <v/>
      </c>
      <c r="BB33">
        <f>IF(G32&lt;=0,AY33,MAX(0,$F$9+AY33-G32-AZ33))</f>
        <v/>
      </c>
      <c r="BC33">
        <f>IF(H32&lt;=0,0,H32*$E$10/12)</f>
        <v/>
      </c>
      <c r="BD33">
        <f>IF(H32&lt;=0,0,MIN(H32+BC33,$F$10+BB33))</f>
        <v/>
      </c>
      <c r="BE33">
        <f>IF(H32&lt;=0,BB33,MAX(0,$F$10+BB33-H32-BC33))</f>
        <v/>
      </c>
      <c r="BF33">
        <f>IF(I32&lt;=0,0,I32*$E$11/12)</f>
        <v/>
      </c>
      <c r="BG33">
        <f>IF(I32&lt;=0,0,MIN(I32+BF33,$F$11+BE33))</f>
        <v/>
      </c>
      <c r="BH33">
        <f>IF(I32&lt;=0,BE33,MAX(0,$F$11+BE33-I32-BF33))</f>
        <v/>
      </c>
      <c r="BI33">
        <f>IF(J32&lt;=0,0,J32*$E$12/12)</f>
        <v/>
      </c>
      <c r="BJ33">
        <f>IF(J32&lt;=0,0,MIN(J32+BI33,$F$12+BH33))</f>
        <v/>
      </c>
      <c r="BK33">
        <f>IF(J32&lt;=0,BH33,MAX(0,$F$12+BH33-J32-BI33))</f>
        <v/>
      </c>
      <c r="BL33">
        <f>IF(K32&lt;=0,0,K32*$E$13/12)</f>
        <v/>
      </c>
      <c r="BM33">
        <f>IF(K32&lt;=0,0,MIN(K32+BL33,$F$13+BK33))</f>
        <v/>
      </c>
      <c r="BN33">
        <f>IF(K32&lt;=0,BK33,MAX(0,$F$13+BK33-K32-BL33))</f>
        <v/>
      </c>
      <c r="BO33">
        <f>IF(L32&lt;=0,0,L32*$E$14/12)</f>
        <v/>
      </c>
      <c r="BP33">
        <f>IF(L32&lt;=0,0,MIN(L32+BO33,$F$14+BN33))</f>
        <v/>
      </c>
      <c r="BQ33">
        <f>IF(L32&lt;=0,BN33,MAX(0,$F$14+BN33-L32-BO33))</f>
        <v/>
      </c>
      <c r="BR33">
        <f>IF(M32&lt;=0,0,M32*$E$15/12)</f>
        <v/>
      </c>
      <c r="BS33">
        <f>IF(M32&lt;=0,0,MIN(M32+BR33,$F$15+BQ33))</f>
        <v/>
      </c>
      <c r="BT33">
        <f>IF(M32&lt;=0,BQ33,MAX(0,$F$15+BQ33-M32-BR33))</f>
        <v/>
      </c>
      <c r="BU33">
        <f>IF(N32&lt;=0,0,N32*$E$16/12)</f>
        <v/>
      </c>
      <c r="BV33">
        <f>IF(N32&lt;=0,0,MIN(N32+BU33,$F$16+BT33))</f>
        <v/>
      </c>
      <c r="BW33">
        <f>IF(N32&lt;=0,BT33,MAX(0,$F$16+BT33-N32-BU33))</f>
        <v/>
      </c>
      <c r="BX33">
        <f>IF(O32&lt;=0,0,O32*$E$17/12)</f>
        <v/>
      </c>
      <c r="BY33">
        <f>IF(O32&lt;=0,0,MIN(O32+BX33,$F$17+BW33))</f>
        <v/>
      </c>
      <c r="BZ33">
        <f>IF(O32&lt;=0,BW33,MAX(0,$F$17+BW33-O32-BX33))</f>
        <v/>
      </c>
      <c r="CA33">
        <f>IF(P32&lt;=0,0,P32*$E$18/12)</f>
        <v/>
      </c>
      <c r="CB33">
        <f>IF(P32&lt;=0,0,MIN(P32+CA33,$F$18+BZ33))</f>
        <v/>
      </c>
      <c r="CC33">
        <f>IF(P32&lt;=0,BZ33,MAX(0,$F$18+BZ33-P32-CA33))</f>
        <v/>
      </c>
      <c r="CD33">
        <f>IF(Q32&lt;=0,0,Q32*$E$19/12)</f>
        <v/>
      </c>
      <c r="CE33">
        <f>IF(Q32&lt;=0,0,MIN(Q32+CD33,$F$19+CC33))</f>
        <v/>
      </c>
      <c r="CF33">
        <f>IF(Q32&lt;=0,CC33,MAX(0,$F$19+CC33-Q32-CD33))</f>
        <v/>
      </c>
      <c r="CG33">
        <f>IF(R32&lt;=0,0,R32*$E$20/12)</f>
        <v/>
      </c>
      <c r="CH33">
        <f>IF(R32&lt;=0,0,MIN(R32+CG33,$F$20+CF33))</f>
        <v/>
      </c>
      <c r="CI33">
        <f>IF(R32&lt;=0,CF33,MAX(0,$F$20+CF33-R32-CG33))</f>
        <v/>
      </c>
      <c r="CJ33">
        <f>IF(S32&lt;=0,0,S32*$E$21/12)</f>
        <v/>
      </c>
      <c r="CK33">
        <f>IF(S32&lt;=0,0,MIN(S32+CJ33,$F$21+CI33))</f>
        <v/>
      </c>
      <c r="CL33">
        <f>IF(S32&lt;=0,CI33,MAX(0,$F$21+CI33-S32-CJ33))</f>
        <v/>
      </c>
      <c r="CM33">
        <f>IF(T32&lt;=0,0,T32*$E$22/12)</f>
        <v/>
      </c>
      <c r="CN33">
        <f>IF(T32&lt;=0,0,MIN(T32+CM33,$F$22+CL33))</f>
        <v/>
      </c>
      <c r="CO33">
        <f>IF(T32&lt;=0,CL33,MAX(0,$F$22+CL33-T32-CM33))</f>
        <v/>
      </c>
      <c r="CP33">
        <f>IF(U32&lt;=0,0,U32*$E$23/12)</f>
        <v/>
      </c>
      <c r="CQ33">
        <f>IF(U32&lt;=0,0,MIN(U32+CP33,$F$23+CO33))</f>
        <v/>
      </c>
      <c r="CR33">
        <f>IF(U32&lt;=0,CO33,MAX(0,$F$23+CO33-U32-CP33))</f>
        <v/>
      </c>
      <c r="CS33">
        <f>IF(V32&lt;=0,0,V32*$E$24/12)</f>
        <v/>
      </c>
      <c r="CT33">
        <f>IF(V32&lt;=0,0,MIN(V32+CS33,$F$24+CR33))</f>
        <v/>
      </c>
      <c r="CU33">
        <f>IF(V32&lt;=0,CR33,MAX(0,$F$24+CR33-V32-CS33))</f>
        <v/>
      </c>
    </row>
    <row r="34">
      <c r="B34" s="39" t="n">
        <v>8</v>
      </c>
      <c r="C34" s="13">
        <f>IF(C33&lt;=0,0,MAX(0,C33+AN34-AO34))</f>
        <v/>
      </c>
      <c r="D34" s="13">
        <f>IF(D33&lt;=0,0,MAX(0,D33+AQ34-AR34))</f>
        <v/>
      </c>
      <c r="E34" s="13">
        <f>IF(E33&lt;=0,0,MAX(0,E33+AT34-AU34))</f>
        <v/>
      </c>
      <c r="F34" s="13">
        <f>IF(F33&lt;=0,0,MAX(0,F33+AW34-AX34))</f>
        <v/>
      </c>
      <c r="G34" s="13">
        <f>IF(G33&lt;=0,0,MAX(0,G33+AZ34-BA34))</f>
        <v/>
      </c>
      <c r="H34" s="13">
        <f>IF(H33&lt;=0,0,MAX(0,H33+BC34-BD34))</f>
        <v/>
      </c>
      <c r="I34" s="13">
        <f>IF(I33&lt;=0,0,MAX(0,I33+BF34-BG34))</f>
        <v/>
      </c>
      <c r="J34" s="13">
        <f>IF(J33&lt;=0,0,MAX(0,J33+BI34-BJ34))</f>
        <v/>
      </c>
      <c r="K34" s="13">
        <f>IF(K33&lt;=0,0,MAX(0,K33+BL34-BM34))</f>
        <v/>
      </c>
      <c r="L34" s="13">
        <f>IF(L33&lt;=0,0,MAX(0,L33+BO34-BP34))</f>
        <v/>
      </c>
      <c r="M34" s="13">
        <f>IF(M33&lt;=0,0,MAX(0,M33+BR34-BS34))</f>
        <v/>
      </c>
      <c r="N34" s="13">
        <f>IF(N33&lt;=0,0,MAX(0,N33+BU34-BV34))</f>
        <v/>
      </c>
      <c r="O34" s="13">
        <f>IF(O33&lt;=0,0,MAX(0,O33+BX34-BY34))</f>
        <v/>
      </c>
      <c r="P34" s="13">
        <f>IF(P33&lt;=0,0,MAX(0,P33+CA34-CB34))</f>
        <v/>
      </c>
      <c r="Q34" s="13">
        <f>IF(Q33&lt;=0,0,MAX(0,Q33+CD34-CE34))</f>
        <v/>
      </c>
      <c r="R34" s="13">
        <f>IF(R33&lt;=0,0,MAX(0,R33+CG34-CH34))</f>
        <v/>
      </c>
      <c r="S34" s="13">
        <f>IF(S33&lt;=0,0,MAX(0,S33+CJ34-CK34))</f>
        <v/>
      </c>
      <c r="T34" s="13">
        <f>IF(T33&lt;=0,0,MAX(0,T33+CM34-CN34))</f>
        <v/>
      </c>
      <c r="U34" s="13">
        <f>IF(U33&lt;=0,0,MAX(0,U33+CP34-CQ34))</f>
        <v/>
      </c>
      <c r="V34" s="13">
        <f>IF(V33&lt;=0,0,MAX(0,V33+CS34-CT34))</f>
        <v/>
      </c>
      <c r="W34" s="13">
        <f>AO34+AR34+AU34+AX34+BA34+BD34+BG34+BJ34+BM34+BP34+BS34+BV34+BY34+CB34+CE34+CH34+CK34+CN34+CQ34+CT34</f>
        <v/>
      </c>
      <c r="X34" s="13">
        <f>AN34+AQ34+AT34+AW34+AZ34+BC34+BF34+BI34+BL34+BO34+BR34+BU34+BX34+CA34+CD34+CG34+CJ34+CM34+CP34+CS34</f>
        <v/>
      </c>
      <c r="Y34" s="27">
        <f>C34+D34+E34+F34+G34+H34+I34+J34+K34+L34+M34+N34+O34+P34+Q34+R34+S34+T34+U34+V34</f>
        <v/>
      </c>
      <c r="AN34">
        <f>IF(C33&lt;=0,0,C33*$E$5/12)</f>
        <v/>
      </c>
      <c r="AO34">
        <f>IF(C33&lt;=0,0,MIN(C33+AN34,$F$5+(Dashboard!$C$11+IF(C33&lt;=0,$F$5,0)+IF(D33&lt;=0,$F$6,0)+IF(E33&lt;=0,$F$7,0)+IF(F33&lt;=0,$F$8,0)+IF(G33&lt;=0,$F$9,0)+IF(H33&lt;=0,$F$10,0)+IF(I33&lt;=0,$F$11,0)+IF(J33&lt;=0,$F$12,0)+IF(K33&lt;=0,$F$13,0)+IF(L33&lt;=0,$F$14,0)+IF(M33&lt;=0,$F$15,0)+IF(N33&lt;=0,$F$16,0)+IF(O33&lt;=0,$F$17,0)+IF(P33&lt;=0,$F$18,0)+IF(Q33&lt;=0,$F$19,0)+IF(R33&lt;=0,$F$20,0)+IF(S33&lt;=0,$F$21,0)+IF(T33&lt;=0,$F$22,0)+IF(U33&lt;=0,$F$23,0)+IF(V33&lt;=0,$F$24,0))))</f>
        <v/>
      </c>
      <c r="AP34">
        <f>IF(C33&lt;=0,(Dashboard!$C$11+IF(C33&lt;=0,$F$5,0)+IF(D33&lt;=0,$F$6,0)+IF(E33&lt;=0,$F$7,0)+IF(F33&lt;=0,$F$8,0)+IF(G33&lt;=0,$F$9,0)+IF(H33&lt;=0,$F$10,0)+IF(I33&lt;=0,$F$11,0)+IF(J33&lt;=0,$F$12,0)+IF(K33&lt;=0,$F$13,0)+IF(L33&lt;=0,$F$14,0)+IF(M33&lt;=0,$F$15,0)+IF(N33&lt;=0,$F$16,0)+IF(O33&lt;=0,$F$17,0)+IF(P33&lt;=0,$F$18,0)+IF(Q33&lt;=0,$F$19,0)+IF(R33&lt;=0,$F$20,0)+IF(S33&lt;=0,$F$21,0)+IF(T33&lt;=0,$F$22,0)+IF(U33&lt;=0,$F$23,0)+IF(V33&lt;=0,$F$24,0)),MAX(0,$F$5+(Dashboard!$C$11+IF(C33&lt;=0,$F$5,0)+IF(D33&lt;=0,$F$6,0)+IF(E33&lt;=0,$F$7,0)+IF(F33&lt;=0,$F$8,0)+IF(G33&lt;=0,$F$9,0)+IF(H33&lt;=0,$F$10,0)+IF(I33&lt;=0,$F$11,0)+IF(J33&lt;=0,$F$12,0)+IF(K33&lt;=0,$F$13,0)+IF(L33&lt;=0,$F$14,0)+IF(M33&lt;=0,$F$15,0)+IF(N33&lt;=0,$F$16,0)+IF(O33&lt;=0,$F$17,0)+IF(P33&lt;=0,$F$18,0)+IF(Q33&lt;=0,$F$19,0)+IF(R33&lt;=0,$F$20,0)+IF(S33&lt;=0,$F$21,0)+IF(T33&lt;=0,$F$22,0)+IF(U33&lt;=0,$F$23,0)+IF(V33&lt;=0,$F$24,0))-C33-AN34))</f>
        <v/>
      </c>
      <c r="AQ34">
        <f>IF(D33&lt;=0,0,D33*$E$6/12)</f>
        <v/>
      </c>
      <c r="AR34">
        <f>IF(D33&lt;=0,0,MIN(D33+AQ34,$F$6+AP34))</f>
        <v/>
      </c>
      <c r="AS34">
        <f>IF(D33&lt;=0,AP34,MAX(0,$F$6+AP34-D33-AQ34))</f>
        <v/>
      </c>
      <c r="AT34">
        <f>IF(E33&lt;=0,0,E33*$E$7/12)</f>
        <v/>
      </c>
      <c r="AU34">
        <f>IF(E33&lt;=0,0,MIN(E33+AT34,$F$7+AS34))</f>
        <v/>
      </c>
      <c r="AV34">
        <f>IF(E33&lt;=0,AS34,MAX(0,$F$7+AS34-E33-AT34))</f>
        <v/>
      </c>
      <c r="AW34">
        <f>IF(F33&lt;=0,0,F33*$E$8/12)</f>
        <v/>
      </c>
      <c r="AX34">
        <f>IF(F33&lt;=0,0,MIN(F33+AW34,$F$8+AV34))</f>
        <v/>
      </c>
      <c r="AY34">
        <f>IF(F33&lt;=0,AV34,MAX(0,$F$8+AV34-F33-AW34))</f>
        <v/>
      </c>
      <c r="AZ34">
        <f>IF(G33&lt;=0,0,G33*$E$9/12)</f>
        <v/>
      </c>
      <c r="BA34">
        <f>IF(G33&lt;=0,0,MIN(G33+AZ34,$F$9+AY34))</f>
        <v/>
      </c>
      <c r="BB34">
        <f>IF(G33&lt;=0,AY34,MAX(0,$F$9+AY34-G33-AZ34))</f>
        <v/>
      </c>
      <c r="BC34">
        <f>IF(H33&lt;=0,0,H33*$E$10/12)</f>
        <v/>
      </c>
      <c r="BD34">
        <f>IF(H33&lt;=0,0,MIN(H33+BC34,$F$10+BB34))</f>
        <v/>
      </c>
      <c r="BE34">
        <f>IF(H33&lt;=0,BB34,MAX(0,$F$10+BB34-H33-BC34))</f>
        <v/>
      </c>
      <c r="BF34">
        <f>IF(I33&lt;=0,0,I33*$E$11/12)</f>
        <v/>
      </c>
      <c r="BG34">
        <f>IF(I33&lt;=0,0,MIN(I33+BF34,$F$11+BE34))</f>
        <v/>
      </c>
      <c r="BH34">
        <f>IF(I33&lt;=0,BE34,MAX(0,$F$11+BE34-I33-BF34))</f>
        <v/>
      </c>
      <c r="BI34">
        <f>IF(J33&lt;=0,0,J33*$E$12/12)</f>
        <v/>
      </c>
      <c r="BJ34">
        <f>IF(J33&lt;=0,0,MIN(J33+BI34,$F$12+BH34))</f>
        <v/>
      </c>
      <c r="BK34">
        <f>IF(J33&lt;=0,BH34,MAX(0,$F$12+BH34-J33-BI34))</f>
        <v/>
      </c>
      <c r="BL34">
        <f>IF(K33&lt;=0,0,K33*$E$13/12)</f>
        <v/>
      </c>
      <c r="BM34">
        <f>IF(K33&lt;=0,0,MIN(K33+BL34,$F$13+BK34))</f>
        <v/>
      </c>
      <c r="BN34">
        <f>IF(K33&lt;=0,BK34,MAX(0,$F$13+BK34-K33-BL34))</f>
        <v/>
      </c>
      <c r="BO34">
        <f>IF(L33&lt;=0,0,L33*$E$14/12)</f>
        <v/>
      </c>
      <c r="BP34">
        <f>IF(L33&lt;=0,0,MIN(L33+BO34,$F$14+BN34))</f>
        <v/>
      </c>
      <c r="BQ34">
        <f>IF(L33&lt;=0,BN34,MAX(0,$F$14+BN34-L33-BO34))</f>
        <v/>
      </c>
      <c r="BR34">
        <f>IF(M33&lt;=0,0,M33*$E$15/12)</f>
        <v/>
      </c>
      <c r="BS34">
        <f>IF(M33&lt;=0,0,MIN(M33+BR34,$F$15+BQ34))</f>
        <v/>
      </c>
      <c r="BT34">
        <f>IF(M33&lt;=0,BQ34,MAX(0,$F$15+BQ34-M33-BR34))</f>
        <v/>
      </c>
      <c r="BU34">
        <f>IF(N33&lt;=0,0,N33*$E$16/12)</f>
        <v/>
      </c>
      <c r="BV34">
        <f>IF(N33&lt;=0,0,MIN(N33+BU34,$F$16+BT34))</f>
        <v/>
      </c>
      <c r="BW34">
        <f>IF(N33&lt;=0,BT34,MAX(0,$F$16+BT34-N33-BU34))</f>
        <v/>
      </c>
      <c r="BX34">
        <f>IF(O33&lt;=0,0,O33*$E$17/12)</f>
        <v/>
      </c>
      <c r="BY34">
        <f>IF(O33&lt;=0,0,MIN(O33+BX34,$F$17+BW34))</f>
        <v/>
      </c>
      <c r="BZ34">
        <f>IF(O33&lt;=0,BW34,MAX(0,$F$17+BW34-O33-BX34))</f>
        <v/>
      </c>
      <c r="CA34">
        <f>IF(P33&lt;=0,0,P33*$E$18/12)</f>
        <v/>
      </c>
      <c r="CB34">
        <f>IF(P33&lt;=0,0,MIN(P33+CA34,$F$18+BZ34))</f>
        <v/>
      </c>
      <c r="CC34">
        <f>IF(P33&lt;=0,BZ34,MAX(0,$F$18+BZ34-P33-CA34))</f>
        <v/>
      </c>
      <c r="CD34">
        <f>IF(Q33&lt;=0,0,Q33*$E$19/12)</f>
        <v/>
      </c>
      <c r="CE34">
        <f>IF(Q33&lt;=0,0,MIN(Q33+CD34,$F$19+CC34))</f>
        <v/>
      </c>
      <c r="CF34">
        <f>IF(Q33&lt;=0,CC34,MAX(0,$F$19+CC34-Q33-CD34))</f>
        <v/>
      </c>
      <c r="CG34">
        <f>IF(R33&lt;=0,0,R33*$E$20/12)</f>
        <v/>
      </c>
      <c r="CH34">
        <f>IF(R33&lt;=0,0,MIN(R33+CG34,$F$20+CF34))</f>
        <v/>
      </c>
      <c r="CI34">
        <f>IF(R33&lt;=0,CF34,MAX(0,$F$20+CF34-R33-CG34))</f>
        <v/>
      </c>
      <c r="CJ34">
        <f>IF(S33&lt;=0,0,S33*$E$21/12)</f>
        <v/>
      </c>
      <c r="CK34">
        <f>IF(S33&lt;=0,0,MIN(S33+CJ34,$F$21+CI34))</f>
        <v/>
      </c>
      <c r="CL34">
        <f>IF(S33&lt;=0,CI34,MAX(0,$F$21+CI34-S33-CJ34))</f>
        <v/>
      </c>
      <c r="CM34">
        <f>IF(T33&lt;=0,0,T33*$E$22/12)</f>
        <v/>
      </c>
      <c r="CN34">
        <f>IF(T33&lt;=0,0,MIN(T33+CM34,$F$22+CL34))</f>
        <v/>
      </c>
      <c r="CO34">
        <f>IF(T33&lt;=0,CL34,MAX(0,$F$22+CL34-T33-CM34))</f>
        <v/>
      </c>
      <c r="CP34">
        <f>IF(U33&lt;=0,0,U33*$E$23/12)</f>
        <v/>
      </c>
      <c r="CQ34">
        <f>IF(U33&lt;=0,0,MIN(U33+CP34,$F$23+CO34))</f>
        <v/>
      </c>
      <c r="CR34">
        <f>IF(U33&lt;=0,CO34,MAX(0,$F$23+CO34-U33-CP34))</f>
        <v/>
      </c>
      <c r="CS34">
        <f>IF(V33&lt;=0,0,V33*$E$24/12)</f>
        <v/>
      </c>
      <c r="CT34">
        <f>IF(V33&lt;=0,0,MIN(V33+CS34,$F$24+CR34))</f>
        <v/>
      </c>
      <c r="CU34">
        <f>IF(V33&lt;=0,CR34,MAX(0,$F$24+CR34-V33-CS34))</f>
        <v/>
      </c>
    </row>
    <row r="35">
      <c r="B35" s="39" t="n">
        <v>9</v>
      </c>
      <c r="C35" s="13">
        <f>IF(C34&lt;=0,0,MAX(0,C34+AN35-AO35))</f>
        <v/>
      </c>
      <c r="D35" s="13">
        <f>IF(D34&lt;=0,0,MAX(0,D34+AQ35-AR35))</f>
        <v/>
      </c>
      <c r="E35" s="13">
        <f>IF(E34&lt;=0,0,MAX(0,E34+AT35-AU35))</f>
        <v/>
      </c>
      <c r="F35" s="13">
        <f>IF(F34&lt;=0,0,MAX(0,F34+AW35-AX35))</f>
        <v/>
      </c>
      <c r="G35" s="13">
        <f>IF(G34&lt;=0,0,MAX(0,G34+AZ35-BA35))</f>
        <v/>
      </c>
      <c r="H35" s="13">
        <f>IF(H34&lt;=0,0,MAX(0,H34+BC35-BD35))</f>
        <v/>
      </c>
      <c r="I35" s="13">
        <f>IF(I34&lt;=0,0,MAX(0,I34+BF35-BG35))</f>
        <v/>
      </c>
      <c r="J35" s="13">
        <f>IF(J34&lt;=0,0,MAX(0,J34+BI35-BJ35))</f>
        <v/>
      </c>
      <c r="K35" s="13">
        <f>IF(K34&lt;=0,0,MAX(0,K34+BL35-BM35))</f>
        <v/>
      </c>
      <c r="L35" s="13">
        <f>IF(L34&lt;=0,0,MAX(0,L34+BO35-BP35))</f>
        <v/>
      </c>
      <c r="M35" s="13">
        <f>IF(M34&lt;=0,0,MAX(0,M34+BR35-BS35))</f>
        <v/>
      </c>
      <c r="N35" s="13">
        <f>IF(N34&lt;=0,0,MAX(0,N34+BU35-BV35))</f>
        <v/>
      </c>
      <c r="O35" s="13">
        <f>IF(O34&lt;=0,0,MAX(0,O34+BX35-BY35))</f>
        <v/>
      </c>
      <c r="P35" s="13">
        <f>IF(P34&lt;=0,0,MAX(0,P34+CA35-CB35))</f>
        <v/>
      </c>
      <c r="Q35" s="13">
        <f>IF(Q34&lt;=0,0,MAX(0,Q34+CD35-CE35))</f>
        <v/>
      </c>
      <c r="R35" s="13">
        <f>IF(R34&lt;=0,0,MAX(0,R34+CG35-CH35))</f>
        <v/>
      </c>
      <c r="S35" s="13">
        <f>IF(S34&lt;=0,0,MAX(0,S34+CJ35-CK35))</f>
        <v/>
      </c>
      <c r="T35" s="13">
        <f>IF(T34&lt;=0,0,MAX(0,T34+CM35-CN35))</f>
        <v/>
      </c>
      <c r="U35" s="13">
        <f>IF(U34&lt;=0,0,MAX(0,U34+CP35-CQ35))</f>
        <v/>
      </c>
      <c r="V35" s="13">
        <f>IF(V34&lt;=0,0,MAX(0,V34+CS35-CT35))</f>
        <v/>
      </c>
      <c r="W35" s="13">
        <f>AO35+AR35+AU35+AX35+BA35+BD35+BG35+BJ35+BM35+BP35+BS35+BV35+BY35+CB35+CE35+CH35+CK35+CN35+CQ35+CT35</f>
        <v/>
      </c>
      <c r="X35" s="13">
        <f>AN35+AQ35+AT35+AW35+AZ35+BC35+BF35+BI35+BL35+BO35+BR35+BU35+BX35+CA35+CD35+CG35+CJ35+CM35+CP35+CS35</f>
        <v/>
      </c>
      <c r="Y35" s="27">
        <f>C35+D35+E35+F35+G35+H35+I35+J35+K35+L35+M35+N35+O35+P35+Q35+R35+S35+T35+U35+V35</f>
        <v/>
      </c>
      <c r="AN35">
        <f>IF(C34&lt;=0,0,C34*$E$5/12)</f>
        <v/>
      </c>
      <c r="AO35">
        <f>IF(C34&lt;=0,0,MIN(C34+AN35,$F$5+(Dashboard!$C$11+IF(C34&lt;=0,$F$5,0)+IF(D34&lt;=0,$F$6,0)+IF(E34&lt;=0,$F$7,0)+IF(F34&lt;=0,$F$8,0)+IF(G34&lt;=0,$F$9,0)+IF(H34&lt;=0,$F$10,0)+IF(I34&lt;=0,$F$11,0)+IF(J34&lt;=0,$F$12,0)+IF(K34&lt;=0,$F$13,0)+IF(L34&lt;=0,$F$14,0)+IF(M34&lt;=0,$F$15,0)+IF(N34&lt;=0,$F$16,0)+IF(O34&lt;=0,$F$17,0)+IF(P34&lt;=0,$F$18,0)+IF(Q34&lt;=0,$F$19,0)+IF(R34&lt;=0,$F$20,0)+IF(S34&lt;=0,$F$21,0)+IF(T34&lt;=0,$F$22,0)+IF(U34&lt;=0,$F$23,0)+IF(V34&lt;=0,$F$24,0))))</f>
        <v/>
      </c>
      <c r="AP35">
        <f>IF(C34&lt;=0,(Dashboard!$C$11+IF(C34&lt;=0,$F$5,0)+IF(D34&lt;=0,$F$6,0)+IF(E34&lt;=0,$F$7,0)+IF(F34&lt;=0,$F$8,0)+IF(G34&lt;=0,$F$9,0)+IF(H34&lt;=0,$F$10,0)+IF(I34&lt;=0,$F$11,0)+IF(J34&lt;=0,$F$12,0)+IF(K34&lt;=0,$F$13,0)+IF(L34&lt;=0,$F$14,0)+IF(M34&lt;=0,$F$15,0)+IF(N34&lt;=0,$F$16,0)+IF(O34&lt;=0,$F$17,0)+IF(P34&lt;=0,$F$18,0)+IF(Q34&lt;=0,$F$19,0)+IF(R34&lt;=0,$F$20,0)+IF(S34&lt;=0,$F$21,0)+IF(T34&lt;=0,$F$22,0)+IF(U34&lt;=0,$F$23,0)+IF(V34&lt;=0,$F$24,0)),MAX(0,$F$5+(Dashboard!$C$11+IF(C34&lt;=0,$F$5,0)+IF(D34&lt;=0,$F$6,0)+IF(E34&lt;=0,$F$7,0)+IF(F34&lt;=0,$F$8,0)+IF(G34&lt;=0,$F$9,0)+IF(H34&lt;=0,$F$10,0)+IF(I34&lt;=0,$F$11,0)+IF(J34&lt;=0,$F$12,0)+IF(K34&lt;=0,$F$13,0)+IF(L34&lt;=0,$F$14,0)+IF(M34&lt;=0,$F$15,0)+IF(N34&lt;=0,$F$16,0)+IF(O34&lt;=0,$F$17,0)+IF(P34&lt;=0,$F$18,0)+IF(Q34&lt;=0,$F$19,0)+IF(R34&lt;=0,$F$20,0)+IF(S34&lt;=0,$F$21,0)+IF(T34&lt;=0,$F$22,0)+IF(U34&lt;=0,$F$23,0)+IF(V34&lt;=0,$F$24,0))-C34-AN35))</f>
        <v/>
      </c>
      <c r="AQ35">
        <f>IF(D34&lt;=0,0,D34*$E$6/12)</f>
        <v/>
      </c>
      <c r="AR35">
        <f>IF(D34&lt;=0,0,MIN(D34+AQ35,$F$6+AP35))</f>
        <v/>
      </c>
      <c r="AS35">
        <f>IF(D34&lt;=0,AP35,MAX(0,$F$6+AP35-D34-AQ35))</f>
        <v/>
      </c>
      <c r="AT35">
        <f>IF(E34&lt;=0,0,E34*$E$7/12)</f>
        <v/>
      </c>
      <c r="AU35">
        <f>IF(E34&lt;=0,0,MIN(E34+AT35,$F$7+AS35))</f>
        <v/>
      </c>
      <c r="AV35">
        <f>IF(E34&lt;=0,AS35,MAX(0,$F$7+AS35-E34-AT35))</f>
        <v/>
      </c>
      <c r="AW35">
        <f>IF(F34&lt;=0,0,F34*$E$8/12)</f>
        <v/>
      </c>
      <c r="AX35">
        <f>IF(F34&lt;=0,0,MIN(F34+AW35,$F$8+AV35))</f>
        <v/>
      </c>
      <c r="AY35">
        <f>IF(F34&lt;=0,AV35,MAX(0,$F$8+AV35-F34-AW35))</f>
        <v/>
      </c>
      <c r="AZ35">
        <f>IF(G34&lt;=0,0,G34*$E$9/12)</f>
        <v/>
      </c>
      <c r="BA35">
        <f>IF(G34&lt;=0,0,MIN(G34+AZ35,$F$9+AY35))</f>
        <v/>
      </c>
      <c r="BB35">
        <f>IF(G34&lt;=0,AY35,MAX(0,$F$9+AY35-G34-AZ35))</f>
        <v/>
      </c>
      <c r="BC35">
        <f>IF(H34&lt;=0,0,H34*$E$10/12)</f>
        <v/>
      </c>
      <c r="BD35">
        <f>IF(H34&lt;=0,0,MIN(H34+BC35,$F$10+BB35))</f>
        <v/>
      </c>
      <c r="BE35">
        <f>IF(H34&lt;=0,BB35,MAX(0,$F$10+BB35-H34-BC35))</f>
        <v/>
      </c>
      <c r="BF35">
        <f>IF(I34&lt;=0,0,I34*$E$11/12)</f>
        <v/>
      </c>
      <c r="BG35">
        <f>IF(I34&lt;=0,0,MIN(I34+BF35,$F$11+BE35))</f>
        <v/>
      </c>
      <c r="BH35">
        <f>IF(I34&lt;=0,BE35,MAX(0,$F$11+BE35-I34-BF35))</f>
        <v/>
      </c>
      <c r="BI35">
        <f>IF(J34&lt;=0,0,J34*$E$12/12)</f>
        <v/>
      </c>
      <c r="BJ35">
        <f>IF(J34&lt;=0,0,MIN(J34+BI35,$F$12+BH35))</f>
        <v/>
      </c>
      <c r="BK35">
        <f>IF(J34&lt;=0,BH35,MAX(0,$F$12+BH35-J34-BI35))</f>
        <v/>
      </c>
      <c r="BL35">
        <f>IF(K34&lt;=0,0,K34*$E$13/12)</f>
        <v/>
      </c>
      <c r="BM35">
        <f>IF(K34&lt;=0,0,MIN(K34+BL35,$F$13+BK35))</f>
        <v/>
      </c>
      <c r="BN35">
        <f>IF(K34&lt;=0,BK35,MAX(0,$F$13+BK35-K34-BL35))</f>
        <v/>
      </c>
      <c r="BO35">
        <f>IF(L34&lt;=0,0,L34*$E$14/12)</f>
        <v/>
      </c>
      <c r="BP35">
        <f>IF(L34&lt;=0,0,MIN(L34+BO35,$F$14+BN35))</f>
        <v/>
      </c>
      <c r="BQ35">
        <f>IF(L34&lt;=0,BN35,MAX(0,$F$14+BN35-L34-BO35))</f>
        <v/>
      </c>
      <c r="BR35">
        <f>IF(M34&lt;=0,0,M34*$E$15/12)</f>
        <v/>
      </c>
      <c r="BS35">
        <f>IF(M34&lt;=0,0,MIN(M34+BR35,$F$15+BQ35))</f>
        <v/>
      </c>
      <c r="BT35">
        <f>IF(M34&lt;=0,BQ35,MAX(0,$F$15+BQ35-M34-BR35))</f>
        <v/>
      </c>
      <c r="BU35">
        <f>IF(N34&lt;=0,0,N34*$E$16/12)</f>
        <v/>
      </c>
      <c r="BV35">
        <f>IF(N34&lt;=0,0,MIN(N34+BU35,$F$16+BT35))</f>
        <v/>
      </c>
      <c r="BW35">
        <f>IF(N34&lt;=0,BT35,MAX(0,$F$16+BT35-N34-BU35))</f>
        <v/>
      </c>
      <c r="BX35">
        <f>IF(O34&lt;=0,0,O34*$E$17/12)</f>
        <v/>
      </c>
      <c r="BY35">
        <f>IF(O34&lt;=0,0,MIN(O34+BX35,$F$17+BW35))</f>
        <v/>
      </c>
      <c r="BZ35">
        <f>IF(O34&lt;=0,BW35,MAX(0,$F$17+BW35-O34-BX35))</f>
        <v/>
      </c>
      <c r="CA35">
        <f>IF(P34&lt;=0,0,P34*$E$18/12)</f>
        <v/>
      </c>
      <c r="CB35">
        <f>IF(P34&lt;=0,0,MIN(P34+CA35,$F$18+BZ35))</f>
        <v/>
      </c>
      <c r="CC35">
        <f>IF(P34&lt;=0,BZ35,MAX(0,$F$18+BZ35-P34-CA35))</f>
        <v/>
      </c>
      <c r="CD35">
        <f>IF(Q34&lt;=0,0,Q34*$E$19/12)</f>
        <v/>
      </c>
      <c r="CE35">
        <f>IF(Q34&lt;=0,0,MIN(Q34+CD35,$F$19+CC35))</f>
        <v/>
      </c>
      <c r="CF35">
        <f>IF(Q34&lt;=0,CC35,MAX(0,$F$19+CC35-Q34-CD35))</f>
        <v/>
      </c>
      <c r="CG35">
        <f>IF(R34&lt;=0,0,R34*$E$20/12)</f>
        <v/>
      </c>
      <c r="CH35">
        <f>IF(R34&lt;=0,0,MIN(R34+CG35,$F$20+CF35))</f>
        <v/>
      </c>
      <c r="CI35">
        <f>IF(R34&lt;=0,CF35,MAX(0,$F$20+CF35-R34-CG35))</f>
        <v/>
      </c>
      <c r="CJ35">
        <f>IF(S34&lt;=0,0,S34*$E$21/12)</f>
        <v/>
      </c>
      <c r="CK35">
        <f>IF(S34&lt;=0,0,MIN(S34+CJ35,$F$21+CI35))</f>
        <v/>
      </c>
      <c r="CL35">
        <f>IF(S34&lt;=0,CI35,MAX(0,$F$21+CI35-S34-CJ35))</f>
        <v/>
      </c>
      <c r="CM35">
        <f>IF(T34&lt;=0,0,T34*$E$22/12)</f>
        <v/>
      </c>
      <c r="CN35">
        <f>IF(T34&lt;=0,0,MIN(T34+CM35,$F$22+CL35))</f>
        <v/>
      </c>
      <c r="CO35">
        <f>IF(T34&lt;=0,CL35,MAX(0,$F$22+CL35-T34-CM35))</f>
        <v/>
      </c>
      <c r="CP35">
        <f>IF(U34&lt;=0,0,U34*$E$23/12)</f>
        <v/>
      </c>
      <c r="CQ35">
        <f>IF(U34&lt;=0,0,MIN(U34+CP35,$F$23+CO35))</f>
        <v/>
      </c>
      <c r="CR35">
        <f>IF(U34&lt;=0,CO35,MAX(0,$F$23+CO35-U34-CP35))</f>
        <v/>
      </c>
      <c r="CS35">
        <f>IF(V34&lt;=0,0,V34*$E$24/12)</f>
        <v/>
      </c>
      <c r="CT35">
        <f>IF(V34&lt;=0,0,MIN(V34+CS35,$F$24+CR35))</f>
        <v/>
      </c>
      <c r="CU35">
        <f>IF(V34&lt;=0,CR35,MAX(0,$F$24+CR35-V34-CS35))</f>
        <v/>
      </c>
    </row>
    <row r="36">
      <c r="B36" s="39" t="n">
        <v>10</v>
      </c>
      <c r="C36" s="13">
        <f>IF(C35&lt;=0,0,MAX(0,C35+AN36-AO36))</f>
        <v/>
      </c>
      <c r="D36" s="13">
        <f>IF(D35&lt;=0,0,MAX(0,D35+AQ36-AR36))</f>
        <v/>
      </c>
      <c r="E36" s="13">
        <f>IF(E35&lt;=0,0,MAX(0,E35+AT36-AU36))</f>
        <v/>
      </c>
      <c r="F36" s="13">
        <f>IF(F35&lt;=0,0,MAX(0,F35+AW36-AX36))</f>
        <v/>
      </c>
      <c r="G36" s="13">
        <f>IF(G35&lt;=0,0,MAX(0,G35+AZ36-BA36))</f>
        <v/>
      </c>
      <c r="H36" s="13">
        <f>IF(H35&lt;=0,0,MAX(0,H35+BC36-BD36))</f>
        <v/>
      </c>
      <c r="I36" s="13">
        <f>IF(I35&lt;=0,0,MAX(0,I35+BF36-BG36))</f>
        <v/>
      </c>
      <c r="J36" s="13">
        <f>IF(J35&lt;=0,0,MAX(0,J35+BI36-BJ36))</f>
        <v/>
      </c>
      <c r="K36" s="13">
        <f>IF(K35&lt;=0,0,MAX(0,K35+BL36-BM36))</f>
        <v/>
      </c>
      <c r="L36" s="13">
        <f>IF(L35&lt;=0,0,MAX(0,L35+BO36-BP36))</f>
        <v/>
      </c>
      <c r="M36" s="13">
        <f>IF(M35&lt;=0,0,MAX(0,M35+BR36-BS36))</f>
        <v/>
      </c>
      <c r="N36" s="13">
        <f>IF(N35&lt;=0,0,MAX(0,N35+BU36-BV36))</f>
        <v/>
      </c>
      <c r="O36" s="13">
        <f>IF(O35&lt;=0,0,MAX(0,O35+BX36-BY36))</f>
        <v/>
      </c>
      <c r="P36" s="13">
        <f>IF(P35&lt;=0,0,MAX(0,P35+CA36-CB36))</f>
        <v/>
      </c>
      <c r="Q36" s="13">
        <f>IF(Q35&lt;=0,0,MAX(0,Q35+CD36-CE36))</f>
        <v/>
      </c>
      <c r="R36" s="13">
        <f>IF(R35&lt;=0,0,MAX(0,R35+CG36-CH36))</f>
        <v/>
      </c>
      <c r="S36" s="13">
        <f>IF(S35&lt;=0,0,MAX(0,S35+CJ36-CK36))</f>
        <v/>
      </c>
      <c r="T36" s="13">
        <f>IF(T35&lt;=0,0,MAX(0,T35+CM36-CN36))</f>
        <v/>
      </c>
      <c r="U36" s="13">
        <f>IF(U35&lt;=0,0,MAX(0,U35+CP36-CQ36))</f>
        <v/>
      </c>
      <c r="V36" s="13">
        <f>IF(V35&lt;=0,0,MAX(0,V35+CS36-CT36))</f>
        <v/>
      </c>
      <c r="W36" s="13">
        <f>AO36+AR36+AU36+AX36+BA36+BD36+BG36+BJ36+BM36+BP36+BS36+BV36+BY36+CB36+CE36+CH36+CK36+CN36+CQ36+CT36</f>
        <v/>
      </c>
      <c r="X36" s="13">
        <f>AN36+AQ36+AT36+AW36+AZ36+BC36+BF36+BI36+BL36+BO36+BR36+BU36+BX36+CA36+CD36+CG36+CJ36+CM36+CP36+CS36</f>
        <v/>
      </c>
      <c r="Y36" s="27">
        <f>C36+D36+E36+F36+G36+H36+I36+J36+K36+L36+M36+N36+O36+P36+Q36+R36+S36+T36+U36+V36</f>
        <v/>
      </c>
      <c r="AN36">
        <f>IF(C35&lt;=0,0,C35*$E$5/12)</f>
        <v/>
      </c>
      <c r="AO36">
        <f>IF(C35&lt;=0,0,MIN(C35+AN36,$F$5+(Dashboard!$C$11+IF(C35&lt;=0,$F$5,0)+IF(D35&lt;=0,$F$6,0)+IF(E35&lt;=0,$F$7,0)+IF(F35&lt;=0,$F$8,0)+IF(G35&lt;=0,$F$9,0)+IF(H35&lt;=0,$F$10,0)+IF(I35&lt;=0,$F$11,0)+IF(J35&lt;=0,$F$12,0)+IF(K35&lt;=0,$F$13,0)+IF(L35&lt;=0,$F$14,0)+IF(M35&lt;=0,$F$15,0)+IF(N35&lt;=0,$F$16,0)+IF(O35&lt;=0,$F$17,0)+IF(P35&lt;=0,$F$18,0)+IF(Q35&lt;=0,$F$19,0)+IF(R35&lt;=0,$F$20,0)+IF(S35&lt;=0,$F$21,0)+IF(T35&lt;=0,$F$22,0)+IF(U35&lt;=0,$F$23,0)+IF(V35&lt;=0,$F$24,0))))</f>
        <v/>
      </c>
      <c r="AP36">
        <f>IF(C35&lt;=0,(Dashboard!$C$11+IF(C35&lt;=0,$F$5,0)+IF(D35&lt;=0,$F$6,0)+IF(E35&lt;=0,$F$7,0)+IF(F35&lt;=0,$F$8,0)+IF(G35&lt;=0,$F$9,0)+IF(H35&lt;=0,$F$10,0)+IF(I35&lt;=0,$F$11,0)+IF(J35&lt;=0,$F$12,0)+IF(K35&lt;=0,$F$13,0)+IF(L35&lt;=0,$F$14,0)+IF(M35&lt;=0,$F$15,0)+IF(N35&lt;=0,$F$16,0)+IF(O35&lt;=0,$F$17,0)+IF(P35&lt;=0,$F$18,0)+IF(Q35&lt;=0,$F$19,0)+IF(R35&lt;=0,$F$20,0)+IF(S35&lt;=0,$F$21,0)+IF(T35&lt;=0,$F$22,0)+IF(U35&lt;=0,$F$23,0)+IF(V35&lt;=0,$F$24,0)),MAX(0,$F$5+(Dashboard!$C$11+IF(C35&lt;=0,$F$5,0)+IF(D35&lt;=0,$F$6,0)+IF(E35&lt;=0,$F$7,0)+IF(F35&lt;=0,$F$8,0)+IF(G35&lt;=0,$F$9,0)+IF(H35&lt;=0,$F$10,0)+IF(I35&lt;=0,$F$11,0)+IF(J35&lt;=0,$F$12,0)+IF(K35&lt;=0,$F$13,0)+IF(L35&lt;=0,$F$14,0)+IF(M35&lt;=0,$F$15,0)+IF(N35&lt;=0,$F$16,0)+IF(O35&lt;=0,$F$17,0)+IF(P35&lt;=0,$F$18,0)+IF(Q35&lt;=0,$F$19,0)+IF(R35&lt;=0,$F$20,0)+IF(S35&lt;=0,$F$21,0)+IF(T35&lt;=0,$F$22,0)+IF(U35&lt;=0,$F$23,0)+IF(V35&lt;=0,$F$24,0))-C35-AN36))</f>
        <v/>
      </c>
      <c r="AQ36">
        <f>IF(D35&lt;=0,0,D35*$E$6/12)</f>
        <v/>
      </c>
      <c r="AR36">
        <f>IF(D35&lt;=0,0,MIN(D35+AQ36,$F$6+AP36))</f>
        <v/>
      </c>
      <c r="AS36">
        <f>IF(D35&lt;=0,AP36,MAX(0,$F$6+AP36-D35-AQ36))</f>
        <v/>
      </c>
      <c r="AT36">
        <f>IF(E35&lt;=0,0,E35*$E$7/12)</f>
        <v/>
      </c>
      <c r="AU36">
        <f>IF(E35&lt;=0,0,MIN(E35+AT36,$F$7+AS36))</f>
        <v/>
      </c>
      <c r="AV36">
        <f>IF(E35&lt;=0,AS36,MAX(0,$F$7+AS36-E35-AT36))</f>
        <v/>
      </c>
      <c r="AW36">
        <f>IF(F35&lt;=0,0,F35*$E$8/12)</f>
        <v/>
      </c>
      <c r="AX36">
        <f>IF(F35&lt;=0,0,MIN(F35+AW36,$F$8+AV36))</f>
        <v/>
      </c>
      <c r="AY36">
        <f>IF(F35&lt;=0,AV36,MAX(0,$F$8+AV36-F35-AW36))</f>
        <v/>
      </c>
      <c r="AZ36">
        <f>IF(G35&lt;=0,0,G35*$E$9/12)</f>
        <v/>
      </c>
      <c r="BA36">
        <f>IF(G35&lt;=0,0,MIN(G35+AZ36,$F$9+AY36))</f>
        <v/>
      </c>
      <c r="BB36">
        <f>IF(G35&lt;=0,AY36,MAX(0,$F$9+AY36-G35-AZ36))</f>
        <v/>
      </c>
      <c r="BC36">
        <f>IF(H35&lt;=0,0,H35*$E$10/12)</f>
        <v/>
      </c>
      <c r="BD36">
        <f>IF(H35&lt;=0,0,MIN(H35+BC36,$F$10+BB36))</f>
        <v/>
      </c>
      <c r="BE36">
        <f>IF(H35&lt;=0,BB36,MAX(0,$F$10+BB36-H35-BC36))</f>
        <v/>
      </c>
      <c r="BF36">
        <f>IF(I35&lt;=0,0,I35*$E$11/12)</f>
        <v/>
      </c>
      <c r="BG36">
        <f>IF(I35&lt;=0,0,MIN(I35+BF36,$F$11+BE36))</f>
        <v/>
      </c>
      <c r="BH36">
        <f>IF(I35&lt;=0,BE36,MAX(0,$F$11+BE36-I35-BF36))</f>
        <v/>
      </c>
      <c r="BI36">
        <f>IF(J35&lt;=0,0,J35*$E$12/12)</f>
        <v/>
      </c>
      <c r="BJ36">
        <f>IF(J35&lt;=0,0,MIN(J35+BI36,$F$12+BH36))</f>
        <v/>
      </c>
      <c r="BK36">
        <f>IF(J35&lt;=0,BH36,MAX(0,$F$12+BH36-J35-BI36))</f>
        <v/>
      </c>
      <c r="BL36">
        <f>IF(K35&lt;=0,0,K35*$E$13/12)</f>
        <v/>
      </c>
      <c r="BM36">
        <f>IF(K35&lt;=0,0,MIN(K35+BL36,$F$13+BK36))</f>
        <v/>
      </c>
      <c r="BN36">
        <f>IF(K35&lt;=0,BK36,MAX(0,$F$13+BK36-K35-BL36))</f>
        <v/>
      </c>
      <c r="BO36">
        <f>IF(L35&lt;=0,0,L35*$E$14/12)</f>
        <v/>
      </c>
      <c r="BP36">
        <f>IF(L35&lt;=0,0,MIN(L35+BO36,$F$14+BN36))</f>
        <v/>
      </c>
      <c r="BQ36">
        <f>IF(L35&lt;=0,BN36,MAX(0,$F$14+BN36-L35-BO36))</f>
        <v/>
      </c>
      <c r="BR36">
        <f>IF(M35&lt;=0,0,M35*$E$15/12)</f>
        <v/>
      </c>
      <c r="BS36">
        <f>IF(M35&lt;=0,0,MIN(M35+BR36,$F$15+BQ36))</f>
        <v/>
      </c>
      <c r="BT36">
        <f>IF(M35&lt;=0,BQ36,MAX(0,$F$15+BQ36-M35-BR36))</f>
        <v/>
      </c>
      <c r="BU36">
        <f>IF(N35&lt;=0,0,N35*$E$16/12)</f>
        <v/>
      </c>
      <c r="BV36">
        <f>IF(N35&lt;=0,0,MIN(N35+BU36,$F$16+BT36))</f>
        <v/>
      </c>
      <c r="BW36">
        <f>IF(N35&lt;=0,BT36,MAX(0,$F$16+BT36-N35-BU36))</f>
        <v/>
      </c>
      <c r="BX36">
        <f>IF(O35&lt;=0,0,O35*$E$17/12)</f>
        <v/>
      </c>
      <c r="BY36">
        <f>IF(O35&lt;=0,0,MIN(O35+BX36,$F$17+BW36))</f>
        <v/>
      </c>
      <c r="BZ36">
        <f>IF(O35&lt;=0,BW36,MAX(0,$F$17+BW36-O35-BX36))</f>
        <v/>
      </c>
      <c r="CA36">
        <f>IF(P35&lt;=0,0,P35*$E$18/12)</f>
        <v/>
      </c>
      <c r="CB36">
        <f>IF(P35&lt;=0,0,MIN(P35+CA36,$F$18+BZ36))</f>
        <v/>
      </c>
      <c r="CC36">
        <f>IF(P35&lt;=0,BZ36,MAX(0,$F$18+BZ36-P35-CA36))</f>
        <v/>
      </c>
      <c r="CD36">
        <f>IF(Q35&lt;=0,0,Q35*$E$19/12)</f>
        <v/>
      </c>
      <c r="CE36">
        <f>IF(Q35&lt;=0,0,MIN(Q35+CD36,$F$19+CC36))</f>
        <v/>
      </c>
      <c r="CF36">
        <f>IF(Q35&lt;=0,CC36,MAX(0,$F$19+CC36-Q35-CD36))</f>
        <v/>
      </c>
      <c r="CG36">
        <f>IF(R35&lt;=0,0,R35*$E$20/12)</f>
        <v/>
      </c>
      <c r="CH36">
        <f>IF(R35&lt;=0,0,MIN(R35+CG36,$F$20+CF36))</f>
        <v/>
      </c>
      <c r="CI36">
        <f>IF(R35&lt;=0,CF36,MAX(0,$F$20+CF36-R35-CG36))</f>
        <v/>
      </c>
      <c r="CJ36">
        <f>IF(S35&lt;=0,0,S35*$E$21/12)</f>
        <v/>
      </c>
      <c r="CK36">
        <f>IF(S35&lt;=0,0,MIN(S35+CJ36,$F$21+CI36))</f>
        <v/>
      </c>
      <c r="CL36">
        <f>IF(S35&lt;=0,CI36,MAX(0,$F$21+CI36-S35-CJ36))</f>
        <v/>
      </c>
      <c r="CM36">
        <f>IF(T35&lt;=0,0,T35*$E$22/12)</f>
        <v/>
      </c>
      <c r="CN36">
        <f>IF(T35&lt;=0,0,MIN(T35+CM36,$F$22+CL36))</f>
        <v/>
      </c>
      <c r="CO36">
        <f>IF(T35&lt;=0,CL36,MAX(0,$F$22+CL36-T35-CM36))</f>
        <v/>
      </c>
      <c r="CP36">
        <f>IF(U35&lt;=0,0,U35*$E$23/12)</f>
        <v/>
      </c>
      <c r="CQ36">
        <f>IF(U35&lt;=0,0,MIN(U35+CP36,$F$23+CO36))</f>
        <v/>
      </c>
      <c r="CR36">
        <f>IF(U35&lt;=0,CO36,MAX(0,$F$23+CO36-U35-CP36))</f>
        <v/>
      </c>
      <c r="CS36">
        <f>IF(V35&lt;=0,0,V35*$E$24/12)</f>
        <v/>
      </c>
      <c r="CT36">
        <f>IF(V35&lt;=0,0,MIN(V35+CS36,$F$24+CR36))</f>
        <v/>
      </c>
      <c r="CU36">
        <f>IF(V35&lt;=0,CR36,MAX(0,$F$24+CR36-V35-CS36))</f>
        <v/>
      </c>
    </row>
    <row r="37">
      <c r="B37" s="39" t="n">
        <v>11</v>
      </c>
      <c r="C37" s="13">
        <f>IF(C36&lt;=0,0,MAX(0,C36+AN37-AO37))</f>
        <v/>
      </c>
      <c r="D37" s="13">
        <f>IF(D36&lt;=0,0,MAX(0,D36+AQ37-AR37))</f>
        <v/>
      </c>
      <c r="E37" s="13">
        <f>IF(E36&lt;=0,0,MAX(0,E36+AT37-AU37))</f>
        <v/>
      </c>
      <c r="F37" s="13">
        <f>IF(F36&lt;=0,0,MAX(0,F36+AW37-AX37))</f>
        <v/>
      </c>
      <c r="G37" s="13">
        <f>IF(G36&lt;=0,0,MAX(0,G36+AZ37-BA37))</f>
        <v/>
      </c>
      <c r="H37" s="13">
        <f>IF(H36&lt;=0,0,MAX(0,H36+BC37-BD37))</f>
        <v/>
      </c>
      <c r="I37" s="13">
        <f>IF(I36&lt;=0,0,MAX(0,I36+BF37-BG37))</f>
        <v/>
      </c>
      <c r="J37" s="13">
        <f>IF(J36&lt;=0,0,MAX(0,J36+BI37-BJ37))</f>
        <v/>
      </c>
      <c r="K37" s="13">
        <f>IF(K36&lt;=0,0,MAX(0,K36+BL37-BM37))</f>
        <v/>
      </c>
      <c r="L37" s="13">
        <f>IF(L36&lt;=0,0,MAX(0,L36+BO37-BP37))</f>
        <v/>
      </c>
      <c r="M37" s="13">
        <f>IF(M36&lt;=0,0,MAX(0,M36+BR37-BS37))</f>
        <v/>
      </c>
      <c r="N37" s="13">
        <f>IF(N36&lt;=0,0,MAX(0,N36+BU37-BV37))</f>
        <v/>
      </c>
      <c r="O37" s="13">
        <f>IF(O36&lt;=0,0,MAX(0,O36+BX37-BY37))</f>
        <v/>
      </c>
      <c r="P37" s="13">
        <f>IF(P36&lt;=0,0,MAX(0,P36+CA37-CB37))</f>
        <v/>
      </c>
      <c r="Q37" s="13">
        <f>IF(Q36&lt;=0,0,MAX(0,Q36+CD37-CE37))</f>
        <v/>
      </c>
      <c r="R37" s="13">
        <f>IF(R36&lt;=0,0,MAX(0,R36+CG37-CH37))</f>
        <v/>
      </c>
      <c r="S37" s="13">
        <f>IF(S36&lt;=0,0,MAX(0,S36+CJ37-CK37))</f>
        <v/>
      </c>
      <c r="T37" s="13">
        <f>IF(T36&lt;=0,0,MAX(0,T36+CM37-CN37))</f>
        <v/>
      </c>
      <c r="U37" s="13">
        <f>IF(U36&lt;=0,0,MAX(0,U36+CP37-CQ37))</f>
        <v/>
      </c>
      <c r="V37" s="13">
        <f>IF(V36&lt;=0,0,MAX(0,V36+CS37-CT37))</f>
        <v/>
      </c>
      <c r="W37" s="13">
        <f>AO37+AR37+AU37+AX37+BA37+BD37+BG37+BJ37+BM37+BP37+BS37+BV37+BY37+CB37+CE37+CH37+CK37+CN37+CQ37+CT37</f>
        <v/>
      </c>
      <c r="X37" s="13">
        <f>AN37+AQ37+AT37+AW37+AZ37+BC37+BF37+BI37+BL37+BO37+BR37+BU37+BX37+CA37+CD37+CG37+CJ37+CM37+CP37+CS37</f>
        <v/>
      </c>
      <c r="Y37" s="27">
        <f>C37+D37+E37+F37+G37+H37+I37+J37+K37+L37+M37+N37+O37+P37+Q37+R37+S37+T37+U37+V37</f>
        <v/>
      </c>
      <c r="AN37">
        <f>IF(C36&lt;=0,0,C36*$E$5/12)</f>
        <v/>
      </c>
      <c r="AO37">
        <f>IF(C36&lt;=0,0,MIN(C36+AN37,$F$5+(Dashboard!$C$11+IF(C36&lt;=0,$F$5,0)+IF(D36&lt;=0,$F$6,0)+IF(E36&lt;=0,$F$7,0)+IF(F36&lt;=0,$F$8,0)+IF(G36&lt;=0,$F$9,0)+IF(H36&lt;=0,$F$10,0)+IF(I36&lt;=0,$F$11,0)+IF(J36&lt;=0,$F$12,0)+IF(K36&lt;=0,$F$13,0)+IF(L36&lt;=0,$F$14,0)+IF(M36&lt;=0,$F$15,0)+IF(N36&lt;=0,$F$16,0)+IF(O36&lt;=0,$F$17,0)+IF(P36&lt;=0,$F$18,0)+IF(Q36&lt;=0,$F$19,0)+IF(R36&lt;=0,$F$20,0)+IF(S36&lt;=0,$F$21,0)+IF(T36&lt;=0,$F$22,0)+IF(U36&lt;=0,$F$23,0)+IF(V36&lt;=0,$F$24,0))))</f>
        <v/>
      </c>
      <c r="AP37">
        <f>IF(C36&lt;=0,(Dashboard!$C$11+IF(C36&lt;=0,$F$5,0)+IF(D36&lt;=0,$F$6,0)+IF(E36&lt;=0,$F$7,0)+IF(F36&lt;=0,$F$8,0)+IF(G36&lt;=0,$F$9,0)+IF(H36&lt;=0,$F$10,0)+IF(I36&lt;=0,$F$11,0)+IF(J36&lt;=0,$F$12,0)+IF(K36&lt;=0,$F$13,0)+IF(L36&lt;=0,$F$14,0)+IF(M36&lt;=0,$F$15,0)+IF(N36&lt;=0,$F$16,0)+IF(O36&lt;=0,$F$17,0)+IF(P36&lt;=0,$F$18,0)+IF(Q36&lt;=0,$F$19,0)+IF(R36&lt;=0,$F$20,0)+IF(S36&lt;=0,$F$21,0)+IF(T36&lt;=0,$F$22,0)+IF(U36&lt;=0,$F$23,0)+IF(V36&lt;=0,$F$24,0)),MAX(0,$F$5+(Dashboard!$C$11+IF(C36&lt;=0,$F$5,0)+IF(D36&lt;=0,$F$6,0)+IF(E36&lt;=0,$F$7,0)+IF(F36&lt;=0,$F$8,0)+IF(G36&lt;=0,$F$9,0)+IF(H36&lt;=0,$F$10,0)+IF(I36&lt;=0,$F$11,0)+IF(J36&lt;=0,$F$12,0)+IF(K36&lt;=0,$F$13,0)+IF(L36&lt;=0,$F$14,0)+IF(M36&lt;=0,$F$15,0)+IF(N36&lt;=0,$F$16,0)+IF(O36&lt;=0,$F$17,0)+IF(P36&lt;=0,$F$18,0)+IF(Q36&lt;=0,$F$19,0)+IF(R36&lt;=0,$F$20,0)+IF(S36&lt;=0,$F$21,0)+IF(T36&lt;=0,$F$22,0)+IF(U36&lt;=0,$F$23,0)+IF(V36&lt;=0,$F$24,0))-C36-AN37))</f>
        <v/>
      </c>
      <c r="AQ37">
        <f>IF(D36&lt;=0,0,D36*$E$6/12)</f>
        <v/>
      </c>
      <c r="AR37">
        <f>IF(D36&lt;=0,0,MIN(D36+AQ37,$F$6+AP37))</f>
        <v/>
      </c>
      <c r="AS37">
        <f>IF(D36&lt;=0,AP37,MAX(0,$F$6+AP37-D36-AQ37))</f>
        <v/>
      </c>
      <c r="AT37">
        <f>IF(E36&lt;=0,0,E36*$E$7/12)</f>
        <v/>
      </c>
      <c r="AU37">
        <f>IF(E36&lt;=0,0,MIN(E36+AT37,$F$7+AS37))</f>
        <v/>
      </c>
      <c r="AV37">
        <f>IF(E36&lt;=0,AS37,MAX(0,$F$7+AS37-E36-AT37))</f>
        <v/>
      </c>
      <c r="AW37">
        <f>IF(F36&lt;=0,0,F36*$E$8/12)</f>
        <v/>
      </c>
      <c r="AX37">
        <f>IF(F36&lt;=0,0,MIN(F36+AW37,$F$8+AV37))</f>
        <v/>
      </c>
      <c r="AY37">
        <f>IF(F36&lt;=0,AV37,MAX(0,$F$8+AV37-F36-AW37))</f>
        <v/>
      </c>
      <c r="AZ37">
        <f>IF(G36&lt;=0,0,G36*$E$9/12)</f>
        <v/>
      </c>
      <c r="BA37">
        <f>IF(G36&lt;=0,0,MIN(G36+AZ37,$F$9+AY37))</f>
        <v/>
      </c>
      <c r="BB37">
        <f>IF(G36&lt;=0,AY37,MAX(0,$F$9+AY37-G36-AZ37))</f>
        <v/>
      </c>
      <c r="BC37">
        <f>IF(H36&lt;=0,0,H36*$E$10/12)</f>
        <v/>
      </c>
      <c r="BD37">
        <f>IF(H36&lt;=0,0,MIN(H36+BC37,$F$10+BB37))</f>
        <v/>
      </c>
      <c r="BE37">
        <f>IF(H36&lt;=0,BB37,MAX(0,$F$10+BB37-H36-BC37))</f>
        <v/>
      </c>
      <c r="BF37">
        <f>IF(I36&lt;=0,0,I36*$E$11/12)</f>
        <v/>
      </c>
      <c r="BG37">
        <f>IF(I36&lt;=0,0,MIN(I36+BF37,$F$11+BE37))</f>
        <v/>
      </c>
      <c r="BH37">
        <f>IF(I36&lt;=0,BE37,MAX(0,$F$11+BE37-I36-BF37))</f>
        <v/>
      </c>
      <c r="BI37">
        <f>IF(J36&lt;=0,0,J36*$E$12/12)</f>
        <v/>
      </c>
      <c r="BJ37">
        <f>IF(J36&lt;=0,0,MIN(J36+BI37,$F$12+BH37))</f>
        <v/>
      </c>
      <c r="BK37">
        <f>IF(J36&lt;=0,BH37,MAX(0,$F$12+BH37-J36-BI37))</f>
        <v/>
      </c>
      <c r="BL37">
        <f>IF(K36&lt;=0,0,K36*$E$13/12)</f>
        <v/>
      </c>
      <c r="BM37">
        <f>IF(K36&lt;=0,0,MIN(K36+BL37,$F$13+BK37))</f>
        <v/>
      </c>
      <c r="BN37">
        <f>IF(K36&lt;=0,BK37,MAX(0,$F$13+BK37-K36-BL37))</f>
        <v/>
      </c>
      <c r="BO37">
        <f>IF(L36&lt;=0,0,L36*$E$14/12)</f>
        <v/>
      </c>
      <c r="BP37">
        <f>IF(L36&lt;=0,0,MIN(L36+BO37,$F$14+BN37))</f>
        <v/>
      </c>
      <c r="BQ37">
        <f>IF(L36&lt;=0,BN37,MAX(0,$F$14+BN37-L36-BO37))</f>
        <v/>
      </c>
      <c r="BR37">
        <f>IF(M36&lt;=0,0,M36*$E$15/12)</f>
        <v/>
      </c>
      <c r="BS37">
        <f>IF(M36&lt;=0,0,MIN(M36+BR37,$F$15+BQ37))</f>
        <v/>
      </c>
      <c r="BT37">
        <f>IF(M36&lt;=0,BQ37,MAX(0,$F$15+BQ37-M36-BR37))</f>
        <v/>
      </c>
      <c r="BU37">
        <f>IF(N36&lt;=0,0,N36*$E$16/12)</f>
        <v/>
      </c>
      <c r="BV37">
        <f>IF(N36&lt;=0,0,MIN(N36+BU37,$F$16+BT37))</f>
        <v/>
      </c>
      <c r="BW37">
        <f>IF(N36&lt;=0,BT37,MAX(0,$F$16+BT37-N36-BU37))</f>
        <v/>
      </c>
      <c r="BX37">
        <f>IF(O36&lt;=0,0,O36*$E$17/12)</f>
        <v/>
      </c>
      <c r="BY37">
        <f>IF(O36&lt;=0,0,MIN(O36+BX37,$F$17+BW37))</f>
        <v/>
      </c>
      <c r="BZ37">
        <f>IF(O36&lt;=0,BW37,MAX(0,$F$17+BW37-O36-BX37))</f>
        <v/>
      </c>
      <c r="CA37">
        <f>IF(P36&lt;=0,0,P36*$E$18/12)</f>
        <v/>
      </c>
      <c r="CB37">
        <f>IF(P36&lt;=0,0,MIN(P36+CA37,$F$18+BZ37))</f>
        <v/>
      </c>
      <c r="CC37">
        <f>IF(P36&lt;=0,BZ37,MAX(0,$F$18+BZ37-P36-CA37))</f>
        <v/>
      </c>
      <c r="CD37">
        <f>IF(Q36&lt;=0,0,Q36*$E$19/12)</f>
        <v/>
      </c>
      <c r="CE37">
        <f>IF(Q36&lt;=0,0,MIN(Q36+CD37,$F$19+CC37))</f>
        <v/>
      </c>
      <c r="CF37">
        <f>IF(Q36&lt;=0,CC37,MAX(0,$F$19+CC37-Q36-CD37))</f>
        <v/>
      </c>
      <c r="CG37">
        <f>IF(R36&lt;=0,0,R36*$E$20/12)</f>
        <v/>
      </c>
      <c r="CH37">
        <f>IF(R36&lt;=0,0,MIN(R36+CG37,$F$20+CF37))</f>
        <v/>
      </c>
      <c r="CI37">
        <f>IF(R36&lt;=0,CF37,MAX(0,$F$20+CF37-R36-CG37))</f>
        <v/>
      </c>
      <c r="CJ37">
        <f>IF(S36&lt;=0,0,S36*$E$21/12)</f>
        <v/>
      </c>
      <c r="CK37">
        <f>IF(S36&lt;=0,0,MIN(S36+CJ37,$F$21+CI37))</f>
        <v/>
      </c>
      <c r="CL37">
        <f>IF(S36&lt;=0,CI37,MAX(0,$F$21+CI37-S36-CJ37))</f>
        <v/>
      </c>
      <c r="CM37">
        <f>IF(T36&lt;=0,0,T36*$E$22/12)</f>
        <v/>
      </c>
      <c r="CN37">
        <f>IF(T36&lt;=0,0,MIN(T36+CM37,$F$22+CL37))</f>
        <v/>
      </c>
      <c r="CO37">
        <f>IF(T36&lt;=0,CL37,MAX(0,$F$22+CL37-T36-CM37))</f>
        <v/>
      </c>
      <c r="CP37">
        <f>IF(U36&lt;=0,0,U36*$E$23/12)</f>
        <v/>
      </c>
      <c r="CQ37">
        <f>IF(U36&lt;=0,0,MIN(U36+CP37,$F$23+CO37))</f>
        <v/>
      </c>
      <c r="CR37">
        <f>IF(U36&lt;=0,CO37,MAX(0,$F$23+CO37-U36-CP37))</f>
        <v/>
      </c>
      <c r="CS37">
        <f>IF(V36&lt;=0,0,V36*$E$24/12)</f>
        <v/>
      </c>
      <c r="CT37">
        <f>IF(V36&lt;=0,0,MIN(V36+CS37,$F$24+CR37))</f>
        <v/>
      </c>
      <c r="CU37">
        <f>IF(V36&lt;=0,CR37,MAX(0,$F$24+CR37-V36-CS37))</f>
        <v/>
      </c>
    </row>
    <row r="38">
      <c r="B38" s="39" t="n">
        <v>12</v>
      </c>
      <c r="C38" s="13">
        <f>IF(C37&lt;=0,0,MAX(0,C37+AN38-AO38))</f>
        <v/>
      </c>
      <c r="D38" s="13">
        <f>IF(D37&lt;=0,0,MAX(0,D37+AQ38-AR38))</f>
        <v/>
      </c>
      <c r="E38" s="13">
        <f>IF(E37&lt;=0,0,MAX(0,E37+AT38-AU38))</f>
        <v/>
      </c>
      <c r="F38" s="13">
        <f>IF(F37&lt;=0,0,MAX(0,F37+AW38-AX38))</f>
        <v/>
      </c>
      <c r="G38" s="13">
        <f>IF(G37&lt;=0,0,MAX(0,G37+AZ38-BA38))</f>
        <v/>
      </c>
      <c r="H38" s="13">
        <f>IF(H37&lt;=0,0,MAX(0,H37+BC38-BD38))</f>
        <v/>
      </c>
      <c r="I38" s="13">
        <f>IF(I37&lt;=0,0,MAX(0,I37+BF38-BG38))</f>
        <v/>
      </c>
      <c r="J38" s="13">
        <f>IF(J37&lt;=0,0,MAX(0,J37+BI38-BJ38))</f>
        <v/>
      </c>
      <c r="K38" s="13">
        <f>IF(K37&lt;=0,0,MAX(0,K37+BL38-BM38))</f>
        <v/>
      </c>
      <c r="L38" s="13">
        <f>IF(L37&lt;=0,0,MAX(0,L37+BO38-BP38))</f>
        <v/>
      </c>
      <c r="M38" s="13">
        <f>IF(M37&lt;=0,0,MAX(0,M37+BR38-BS38))</f>
        <v/>
      </c>
      <c r="N38" s="13">
        <f>IF(N37&lt;=0,0,MAX(0,N37+BU38-BV38))</f>
        <v/>
      </c>
      <c r="O38" s="13">
        <f>IF(O37&lt;=0,0,MAX(0,O37+BX38-BY38))</f>
        <v/>
      </c>
      <c r="P38" s="13">
        <f>IF(P37&lt;=0,0,MAX(0,P37+CA38-CB38))</f>
        <v/>
      </c>
      <c r="Q38" s="13">
        <f>IF(Q37&lt;=0,0,MAX(0,Q37+CD38-CE38))</f>
        <v/>
      </c>
      <c r="R38" s="13">
        <f>IF(R37&lt;=0,0,MAX(0,R37+CG38-CH38))</f>
        <v/>
      </c>
      <c r="S38" s="13">
        <f>IF(S37&lt;=0,0,MAX(0,S37+CJ38-CK38))</f>
        <v/>
      </c>
      <c r="T38" s="13">
        <f>IF(T37&lt;=0,0,MAX(0,T37+CM38-CN38))</f>
        <v/>
      </c>
      <c r="U38" s="13">
        <f>IF(U37&lt;=0,0,MAX(0,U37+CP38-CQ38))</f>
        <v/>
      </c>
      <c r="V38" s="13">
        <f>IF(V37&lt;=0,0,MAX(0,V37+CS38-CT38))</f>
        <v/>
      </c>
      <c r="W38" s="13">
        <f>AO38+AR38+AU38+AX38+BA38+BD38+BG38+BJ38+BM38+BP38+BS38+BV38+BY38+CB38+CE38+CH38+CK38+CN38+CQ38+CT38</f>
        <v/>
      </c>
      <c r="X38" s="13">
        <f>AN38+AQ38+AT38+AW38+AZ38+BC38+BF38+BI38+BL38+BO38+BR38+BU38+BX38+CA38+CD38+CG38+CJ38+CM38+CP38+CS38</f>
        <v/>
      </c>
      <c r="Y38" s="27">
        <f>C38+D38+E38+F38+G38+H38+I38+J38+K38+L38+M38+N38+O38+P38+Q38+R38+S38+T38+U38+V38</f>
        <v/>
      </c>
      <c r="AN38">
        <f>IF(C37&lt;=0,0,C37*$E$5/12)</f>
        <v/>
      </c>
      <c r="AO38">
        <f>IF(C37&lt;=0,0,MIN(C37+AN38,$F$5+(Dashboard!$C$11+IF(C37&lt;=0,$F$5,0)+IF(D37&lt;=0,$F$6,0)+IF(E37&lt;=0,$F$7,0)+IF(F37&lt;=0,$F$8,0)+IF(G37&lt;=0,$F$9,0)+IF(H37&lt;=0,$F$10,0)+IF(I37&lt;=0,$F$11,0)+IF(J37&lt;=0,$F$12,0)+IF(K37&lt;=0,$F$13,0)+IF(L37&lt;=0,$F$14,0)+IF(M37&lt;=0,$F$15,0)+IF(N37&lt;=0,$F$16,0)+IF(O37&lt;=0,$F$17,0)+IF(P37&lt;=0,$F$18,0)+IF(Q37&lt;=0,$F$19,0)+IF(R37&lt;=0,$F$20,0)+IF(S37&lt;=0,$F$21,0)+IF(T37&lt;=0,$F$22,0)+IF(U37&lt;=0,$F$23,0)+IF(V37&lt;=0,$F$24,0))))</f>
        <v/>
      </c>
      <c r="AP38">
        <f>IF(C37&lt;=0,(Dashboard!$C$11+IF(C37&lt;=0,$F$5,0)+IF(D37&lt;=0,$F$6,0)+IF(E37&lt;=0,$F$7,0)+IF(F37&lt;=0,$F$8,0)+IF(G37&lt;=0,$F$9,0)+IF(H37&lt;=0,$F$10,0)+IF(I37&lt;=0,$F$11,0)+IF(J37&lt;=0,$F$12,0)+IF(K37&lt;=0,$F$13,0)+IF(L37&lt;=0,$F$14,0)+IF(M37&lt;=0,$F$15,0)+IF(N37&lt;=0,$F$16,0)+IF(O37&lt;=0,$F$17,0)+IF(P37&lt;=0,$F$18,0)+IF(Q37&lt;=0,$F$19,0)+IF(R37&lt;=0,$F$20,0)+IF(S37&lt;=0,$F$21,0)+IF(T37&lt;=0,$F$22,0)+IF(U37&lt;=0,$F$23,0)+IF(V37&lt;=0,$F$24,0)),MAX(0,$F$5+(Dashboard!$C$11+IF(C37&lt;=0,$F$5,0)+IF(D37&lt;=0,$F$6,0)+IF(E37&lt;=0,$F$7,0)+IF(F37&lt;=0,$F$8,0)+IF(G37&lt;=0,$F$9,0)+IF(H37&lt;=0,$F$10,0)+IF(I37&lt;=0,$F$11,0)+IF(J37&lt;=0,$F$12,0)+IF(K37&lt;=0,$F$13,0)+IF(L37&lt;=0,$F$14,0)+IF(M37&lt;=0,$F$15,0)+IF(N37&lt;=0,$F$16,0)+IF(O37&lt;=0,$F$17,0)+IF(P37&lt;=0,$F$18,0)+IF(Q37&lt;=0,$F$19,0)+IF(R37&lt;=0,$F$20,0)+IF(S37&lt;=0,$F$21,0)+IF(T37&lt;=0,$F$22,0)+IF(U37&lt;=0,$F$23,0)+IF(V37&lt;=0,$F$24,0))-C37-AN38))</f>
        <v/>
      </c>
      <c r="AQ38">
        <f>IF(D37&lt;=0,0,D37*$E$6/12)</f>
        <v/>
      </c>
      <c r="AR38">
        <f>IF(D37&lt;=0,0,MIN(D37+AQ38,$F$6+AP38))</f>
        <v/>
      </c>
      <c r="AS38">
        <f>IF(D37&lt;=0,AP38,MAX(0,$F$6+AP38-D37-AQ38))</f>
        <v/>
      </c>
      <c r="AT38">
        <f>IF(E37&lt;=0,0,E37*$E$7/12)</f>
        <v/>
      </c>
      <c r="AU38">
        <f>IF(E37&lt;=0,0,MIN(E37+AT38,$F$7+AS38))</f>
        <v/>
      </c>
      <c r="AV38">
        <f>IF(E37&lt;=0,AS38,MAX(0,$F$7+AS38-E37-AT38))</f>
        <v/>
      </c>
      <c r="AW38">
        <f>IF(F37&lt;=0,0,F37*$E$8/12)</f>
        <v/>
      </c>
      <c r="AX38">
        <f>IF(F37&lt;=0,0,MIN(F37+AW38,$F$8+AV38))</f>
        <v/>
      </c>
      <c r="AY38">
        <f>IF(F37&lt;=0,AV38,MAX(0,$F$8+AV38-F37-AW38))</f>
        <v/>
      </c>
      <c r="AZ38">
        <f>IF(G37&lt;=0,0,G37*$E$9/12)</f>
        <v/>
      </c>
      <c r="BA38">
        <f>IF(G37&lt;=0,0,MIN(G37+AZ38,$F$9+AY38))</f>
        <v/>
      </c>
      <c r="BB38">
        <f>IF(G37&lt;=0,AY38,MAX(0,$F$9+AY38-G37-AZ38))</f>
        <v/>
      </c>
      <c r="BC38">
        <f>IF(H37&lt;=0,0,H37*$E$10/12)</f>
        <v/>
      </c>
      <c r="BD38">
        <f>IF(H37&lt;=0,0,MIN(H37+BC38,$F$10+BB38))</f>
        <v/>
      </c>
      <c r="BE38">
        <f>IF(H37&lt;=0,BB38,MAX(0,$F$10+BB38-H37-BC38))</f>
        <v/>
      </c>
      <c r="BF38">
        <f>IF(I37&lt;=0,0,I37*$E$11/12)</f>
        <v/>
      </c>
      <c r="BG38">
        <f>IF(I37&lt;=0,0,MIN(I37+BF38,$F$11+BE38))</f>
        <v/>
      </c>
      <c r="BH38">
        <f>IF(I37&lt;=0,BE38,MAX(0,$F$11+BE38-I37-BF38))</f>
        <v/>
      </c>
      <c r="BI38">
        <f>IF(J37&lt;=0,0,J37*$E$12/12)</f>
        <v/>
      </c>
      <c r="BJ38">
        <f>IF(J37&lt;=0,0,MIN(J37+BI38,$F$12+BH38))</f>
        <v/>
      </c>
      <c r="BK38">
        <f>IF(J37&lt;=0,BH38,MAX(0,$F$12+BH38-J37-BI38))</f>
        <v/>
      </c>
      <c r="BL38">
        <f>IF(K37&lt;=0,0,K37*$E$13/12)</f>
        <v/>
      </c>
      <c r="BM38">
        <f>IF(K37&lt;=0,0,MIN(K37+BL38,$F$13+BK38))</f>
        <v/>
      </c>
      <c r="BN38">
        <f>IF(K37&lt;=0,BK38,MAX(0,$F$13+BK38-K37-BL38))</f>
        <v/>
      </c>
      <c r="BO38">
        <f>IF(L37&lt;=0,0,L37*$E$14/12)</f>
        <v/>
      </c>
      <c r="BP38">
        <f>IF(L37&lt;=0,0,MIN(L37+BO38,$F$14+BN38))</f>
        <v/>
      </c>
      <c r="BQ38">
        <f>IF(L37&lt;=0,BN38,MAX(0,$F$14+BN38-L37-BO38))</f>
        <v/>
      </c>
      <c r="BR38">
        <f>IF(M37&lt;=0,0,M37*$E$15/12)</f>
        <v/>
      </c>
      <c r="BS38">
        <f>IF(M37&lt;=0,0,MIN(M37+BR38,$F$15+BQ38))</f>
        <v/>
      </c>
      <c r="BT38">
        <f>IF(M37&lt;=0,BQ38,MAX(0,$F$15+BQ38-M37-BR38))</f>
        <v/>
      </c>
      <c r="BU38">
        <f>IF(N37&lt;=0,0,N37*$E$16/12)</f>
        <v/>
      </c>
      <c r="BV38">
        <f>IF(N37&lt;=0,0,MIN(N37+BU38,$F$16+BT38))</f>
        <v/>
      </c>
      <c r="BW38">
        <f>IF(N37&lt;=0,BT38,MAX(0,$F$16+BT38-N37-BU38))</f>
        <v/>
      </c>
      <c r="BX38">
        <f>IF(O37&lt;=0,0,O37*$E$17/12)</f>
        <v/>
      </c>
      <c r="BY38">
        <f>IF(O37&lt;=0,0,MIN(O37+BX38,$F$17+BW38))</f>
        <v/>
      </c>
      <c r="BZ38">
        <f>IF(O37&lt;=0,BW38,MAX(0,$F$17+BW38-O37-BX38))</f>
        <v/>
      </c>
      <c r="CA38">
        <f>IF(P37&lt;=0,0,P37*$E$18/12)</f>
        <v/>
      </c>
      <c r="CB38">
        <f>IF(P37&lt;=0,0,MIN(P37+CA38,$F$18+BZ38))</f>
        <v/>
      </c>
      <c r="CC38">
        <f>IF(P37&lt;=0,BZ38,MAX(0,$F$18+BZ38-P37-CA38))</f>
        <v/>
      </c>
      <c r="CD38">
        <f>IF(Q37&lt;=0,0,Q37*$E$19/12)</f>
        <v/>
      </c>
      <c r="CE38">
        <f>IF(Q37&lt;=0,0,MIN(Q37+CD38,$F$19+CC38))</f>
        <v/>
      </c>
      <c r="CF38">
        <f>IF(Q37&lt;=0,CC38,MAX(0,$F$19+CC38-Q37-CD38))</f>
        <v/>
      </c>
      <c r="CG38">
        <f>IF(R37&lt;=0,0,R37*$E$20/12)</f>
        <v/>
      </c>
      <c r="CH38">
        <f>IF(R37&lt;=0,0,MIN(R37+CG38,$F$20+CF38))</f>
        <v/>
      </c>
      <c r="CI38">
        <f>IF(R37&lt;=0,CF38,MAX(0,$F$20+CF38-R37-CG38))</f>
        <v/>
      </c>
      <c r="CJ38">
        <f>IF(S37&lt;=0,0,S37*$E$21/12)</f>
        <v/>
      </c>
      <c r="CK38">
        <f>IF(S37&lt;=0,0,MIN(S37+CJ38,$F$21+CI38))</f>
        <v/>
      </c>
      <c r="CL38">
        <f>IF(S37&lt;=0,CI38,MAX(0,$F$21+CI38-S37-CJ38))</f>
        <v/>
      </c>
      <c r="CM38">
        <f>IF(T37&lt;=0,0,T37*$E$22/12)</f>
        <v/>
      </c>
      <c r="CN38">
        <f>IF(T37&lt;=0,0,MIN(T37+CM38,$F$22+CL38))</f>
        <v/>
      </c>
      <c r="CO38">
        <f>IF(T37&lt;=0,CL38,MAX(0,$F$22+CL38-T37-CM38))</f>
        <v/>
      </c>
      <c r="CP38">
        <f>IF(U37&lt;=0,0,U37*$E$23/12)</f>
        <v/>
      </c>
      <c r="CQ38">
        <f>IF(U37&lt;=0,0,MIN(U37+CP38,$F$23+CO38))</f>
        <v/>
      </c>
      <c r="CR38">
        <f>IF(U37&lt;=0,CO38,MAX(0,$F$23+CO38-U37-CP38))</f>
        <v/>
      </c>
      <c r="CS38">
        <f>IF(V37&lt;=0,0,V37*$E$24/12)</f>
        <v/>
      </c>
      <c r="CT38">
        <f>IF(V37&lt;=0,0,MIN(V37+CS38,$F$24+CR38))</f>
        <v/>
      </c>
      <c r="CU38">
        <f>IF(V37&lt;=0,CR38,MAX(0,$F$24+CR38-V37-CS38))</f>
        <v/>
      </c>
    </row>
    <row r="39">
      <c r="B39" s="39" t="n">
        <v>13</v>
      </c>
      <c r="C39" s="13">
        <f>IF(C38&lt;=0,0,MAX(0,C38+AN39-AO39))</f>
        <v/>
      </c>
      <c r="D39" s="13">
        <f>IF(D38&lt;=0,0,MAX(0,D38+AQ39-AR39))</f>
        <v/>
      </c>
      <c r="E39" s="13">
        <f>IF(E38&lt;=0,0,MAX(0,E38+AT39-AU39))</f>
        <v/>
      </c>
      <c r="F39" s="13">
        <f>IF(F38&lt;=0,0,MAX(0,F38+AW39-AX39))</f>
        <v/>
      </c>
      <c r="G39" s="13">
        <f>IF(G38&lt;=0,0,MAX(0,G38+AZ39-BA39))</f>
        <v/>
      </c>
      <c r="H39" s="13">
        <f>IF(H38&lt;=0,0,MAX(0,H38+BC39-BD39))</f>
        <v/>
      </c>
      <c r="I39" s="13">
        <f>IF(I38&lt;=0,0,MAX(0,I38+BF39-BG39))</f>
        <v/>
      </c>
      <c r="J39" s="13">
        <f>IF(J38&lt;=0,0,MAX(0,J38+BI39-BJ39))</f>
        <v/>
      </c>
      <c r="K39" s="13">
        <f>IF(K38&lt;=0,0,MAX(0,K38+BL39-BM39))</f>
        <v/>
      </c>
      <c r="L39" s="13">
        <f>IF(L38&lt;=0,0,MAX(0,L38+BO39-BP39))</f>
        <v/>
      </c>
      <c r="M39" s="13">
        <f>IF(M38&lt;=0,0,MAX(0,M38+BR39-BS39))</f>
        <v/>
      </c>
      <c r="N39" s="13">
        <f>IF(N38&lt;=0,0,MAX(0,N38+BU39-BV39))</f>
        <v/>
      </c>
      <c r="O39" s="13">
        <f>IF(O38&lt;=0,0,MAX(0,O38+BX39-BY39))</f>
        <v/>
      </c>
      <c r="P39" s="13">
        <f>IF(P38&lt;=0,0,MAX(0,P38+CA39-CB39))</f>
        <v/>
      </c>
      <c r="Q39" s="13">
        <f>IF(Q38&lt;=0,0,MAX(0,Q38+CD39-CE39))</f>
        <v/>
      </c>
      <c r="R39" s="13">
        <f>IF(R38&lt;=0,0,MAX(0,R38+CG39-CH39))</f>
        <v/>
      </c>
      <c r="S39" s="13">
        <f>IF(S38&lt;=0,0,MAX(0,S38+CJ39-CK39))</f>
        <v/>
      </c>
      <c r="T39" s="13">
        <f>IF(T38&lt;=0,0,MAX(0,T38+CM39-CN39))</f>
        <v/>
      </c>
      <c r="U39" s="13">
        <f>IF(U38&lt;=0,0,MAX(0,U38+CP39-CQ39))</f>
        <v/>
      </c>
      <c r="V39" s="13">
        <f>IF(V38&lt;=0,0,MAX(0,V38+CS39-CT39))</f>
        <v/>
      </c>
      <c r="W39" s="13">
        <f>AO39+AR39+AU39+AX39+BA39+BD39+BG39+BJ39+BM39+BP39+BS39+BV39+BY39+CB39+CE39+CH39+CK39+CN39+CQ39+CT39</f>
        <v/>
      </c>
      <c r="X39" s="13">
        <f>AN39+AQ39+AT39+AW39+AZ39+BC39+BF39+BI39+BL39+BO39+BR39+BU39+BX39+CA39+CD39+CG39+CJ39+CM39+CP39+CS39</f>
        <v/>
      </c>
      <c r="Y39" s="27">
        <f>C39+D39+E39+F39+G39+H39+I39+J39+K39+L39+M39+N39+O39+P39+Q39+R39+S39+T39+U39+V39</f>
        <v/>
      </c>
      <c r="AN39">
        <f>IF(C38&lt;=0,0,C38*$E$5/12)</f>
        <v/>
      </c>
      <c r="AO39">
        <f>IF(C38&lt;=0,0,MIN(C38+AN39,$F$5+(Dashboard!$C$11+IF(C38&lt;=0,$F$5,0)+IF(D38&lt;=0,$F$6,0)+IF(E38&lt;=0,$F$7,0)+IF(F38&lt;=0,$F$8,0)+IF(G38&lt;=0,$F$9,0)+IF(H38&lt;=0,$F$10,0)+IF(I38&lt;=0,$F$11,0)+IF(J38&lt;=0,$F$12,0)+IF(K38&lt;=0,$F$13,0)+IF(L38&lt;=0,$F$14,0)+IF(M38&lt;=0,$F$15,0)+IF(N38&lt;=0,$F$16,0)+IF(O38&lt;=0,$F$17,0)+IF(P38&lt;=0,$F$18,0)+IF(Q38&lt;=0,$F$19,0)+IF(R38&lt;=0,$F$20,0)+IF(S38&lt;=0,$F$21,0)+IF(T38&lt;=0,$F$22,0)+IF(U38&lt;=0,$F$23,0)+IF(V38&lt;=0,$F$24,0))))</f>
        <v/>
      </c>
      <c r="AP39">
        <f>IF(C38&lt;=0,(Dashboard!$C$11+IF(C38&lt;=0,$F$5,0)+IF(D38&lt;=0,$F$6,0)+IF(E38&lt;=0,$F$7,0)+IF(F38&lt;=0,$F$8,0)+IF(G38&lt;=0,$F$9,0)+IF(H38&lt;=0,$F$10,0)+IF(I38&lt;=0,$F$11,0)+IF(J38&lt;=0,$F$12,0)+IF(K38&lt;=0,$F$13,0)+IF(L38&lt;=0,$F$14,0)+IF(M38&lt;=0,$F$15,0)+IF(N38&lt;=0,$F$16,0)+IF(O38&lt;=0,$F$17,0)+IF(P38&lt;=0,$F$18,0)+IF(Q38&lt;=0,$F$19,0)+IF(R38&lt;=0,$F$20,0)+IF(S38&lt;=0,$F$21,0)+IF(T38&lt;=0,$F$22,0)+IF(U38&lt;=0,$F$23,0)+IF(V38&lt;=0,$F$24,0)),MAX(0,$F$5+(Dashboard!$C$11+IF(C38&lt;=0,$F$5,0)+IF(D38&lt;=0,$F$6,0)+IF(E38&lt;=0,$F$7,0)+IF(F38&lt;=0,$F$8,0)+IF(G38&lt;=0,$F$9,0)+IF(H38&lt;=0,$F$10,0)+IF(I38&lt;=0,$F$11,0)+IF(J38&lt;=0,$F$12,0)+IF(K38&lt;=0,$F$13,0)+IF(L38&lt;=0,$F$14,0)+IF(M38&lt;=0,$F$15,0)+IF(N38&lt;=0,$F$16,0)+IF(O38&lt;=0,$F$17,0)+IF(P38&lt;=0,$F$18,0)+IF(Q38&lt;=0,$F$19,0)+IF(R38&lt;=0,$F$20,0)+IF(S38&lt;=0,$F$21,0)+IF(T38&lt;=0,$F$22,0)+IF(U38&lt;=0,$F$23,0)+IF(V38&lt;=0,$F$24,0))-C38-AN39))</f>
        <v/>
      </c>
      <c r="AQ39">
        <f>IF(D38&lt;=0,0,D38*$E$6/12)</f>
        <v/>
      </c>
      <c r="AR39">
        <f>IF(D38&lt;=0,0,MIN(D38+AQ39,$F$6+AP39))</f>
        <v/>
      </c>
      <c r="AS39">
        <f>IF(D38&lt;=0,AP39,MAX(0,$F$6+AP39-D38-AQ39))</f>
        <v/>
      </c>
      <c r="AT39">
        <f>IF(E38&lt;=0,0,E38*$E$7/12)</f>
        <v/>
      </c>
      <c r="AU39">
        <f>IF(E38&lt;=0,0,MIN(E38+AT39,$F$7+AS39))</f>
        <v/>
      </c>
      <c r="AV39">
        <f>IF(E38&lt;=0,AS39,MAX(0,$F$7+AS39-E38-AT39))</f>
        <v/>
      </c>
      <c r="AW39">
        <f>IF(F38&lt;=0,0,F38*$E$8/12)</f>
        <v/>
      </c>
      <c r="AX39">
        <f>IF(F38&lt;=0,0,MIN(F38+AW39,$F$8+AV39))</f>
        <v/>
      </c>
      <c r="AY39">
        <f>IF(F38&lt;=0,AV39,MAX(0,$F$8+AV39-F38-AW39))</f>
        <v/>
      </c>
      <c r="AZ39">
        <f>IF(G38&lt;=0,0,G38*$E$9/12)</f>
        <v/>
      </c>
      <c r="BA39">
        <f>IF(G38&lt;=0,0,MIN(G38+AZ39,$F$9+AY39))</f>
        <v/>
      </c>
      <c r="BB39">
        <f>IF(G38&lt;=0,AY39,MAX(0,$F$9+AY39-G38-AZ39))</f>
        <v/>
      </c>
      <c r="BC39">
        <f>IF(H38&lt;=0,0,H38*$E$10/12)</f>
        <v/>
      </c>
      <c r="BD39">
        <f>IF(H38&lt;=0,0,MIN(H38+BC39,$F$10+BB39))</f>
        <v/>
      </c>
      <c r="BE39">
        <f>IF(H38&lt;=0,BB39,MAX(0,$F$10+BB39-H38-BC39))</f>
        <v/>
      </c>
      <c r="BF39">
        <f>IF(I38&lt;=0,0,I38*$E$11/12)</f>
        <v/>
      </c>
      <c r="BG39">
        <f>IF(I38&lt;=0,0,MIN(I38+BF39,$F$11+BE39))</f>
        <v/>
      </c>
      <c r="BH39">
        <f>IF(I38&lt;=0,BE39,MAX(0,$F$11+BE39-I38-BF39))</f>
        <v/>
      </c>
      <c r="BI39">
        <f>IF(J38&lt;=0,0,J38*$E$12/12)</f>
        <v/>
      </c>
      <c r="BJ39">
        <f>IF(J38&lt;=0,0,MIN(J38+BI39,$F$12+BH39))</f>
        <v/>
      </c>
      <c r="BK39">
        <f>IF(J38&lt;=0,BH39,MAX(0,$F$12+BH39-J38-BI39))</f>
        <v/>
      </c>
      <c r="BL39">
        <f>IF(K38&lt;=0,0,K38*$E$13/12)</f>
        <v/>
      </c>
      <c r="BM39">
        <f>IF(K38&lt;=0,0,MIN(K38+BL39,$F$13+BK39))</f>
        <v/>
      </c>
      <c r="BN39">
        <f>IF(K38&lt;=0,BK39,MAX(0,$F$13+BK39-K38-BL39))</f>
        <v/>
      </c>
      <c r="BO39">
        <f>IF(L38&lt;=0,0,L38*$E$14/12)</f>
        <v/>
      </c>
      <c r="BP39">
        <f>IF(L38&lt;=0,0,MIN(L38+BO39,$F$14+BN39))</f>
        <v/>
      </c>
      <c r="BQ39">
        <f>IF(L38&lt;=0,BN39,MAX(0,$F$14+BN39-L38-BO39))</f>
        <v/>
      </c>
      <c r="BR39">
        <f>IF(M38&lt;=0,0,M38*$E$15/12)</f>
        <v/>
      </c>
      <c r="BS39">
        <f>IF(M38&lt;=0,0,MIN(M38+BR39,$F$15+BQ39))</f>
        <v/>
      </c>
      <c r="BT39">
        <f>IF(M38&lt;=0,BQ39,MAX(0,$F$15+BQ39-M38-BR39))</f>
        <v/>
      </c>
      <c r="BU39">
        <f>IF(N38&lt;=0,0,N38*$E$16/12)</f>
        <v/>
      </c>
      <c r="BV39">
        <f>IF(N38&lt;=0,0,MIN(N38+BU39,$F$16+BT39))</f>
        <v/>
      </c>
      <c r="BW39">
        <f>IF(N38&lt;=0,BT39,MAX(0,$F$16+BT39-N38-BU39))</f>
        <v/>
      </c>
      <c r="BX39">
        <f>IF(O38&lt;=0,0,O38*$E$17/12)</f>
        <v/>
      </c>
      <c r="BY39">
        <f>IF(O38&lt;=0,0,MIN(O38+BX39,$F$17+BW39))</f>
        <v/>
      </c>
      <c r="BZ39">
        <f>IF(O38&lt;=0,BW39,MAX(0,$F$17+BW39-O38-BX39))</f>
        <v/>
      </c>
      <c r="CA39">
        <f>IF(P38&lt;=0,0,P38*$E$18/12)</f>
        <v/>
      </c>
      <c r="CB39">
        <f>IF(P38&lt;=0,0,MIN(P38+CA39,$F$18+BZ39))</f>
        <v/>
      </c>
      <c r="CC39">
        <f>IF(P38&lt;=0,BZ39,MAX(0,$F$18+BZ39-P38-CA39))</f>
        <v/>
      </c>
      <c r="CD39">
        <f>IF(Q38&lt;=0,0,Q38*$E$19/12)</f>
        <v/>
      </c>
      <c r="CE39">
        <f>IF(Q38&lt;=0,0,MIN(Q38+CD39,$F$19+CC39))</f>
        <v/>
      </c>
      <c r="CF39">
        <f>IF(Q38&lt;=0,CC39,MAX(0,$F$19+CC39-Q38-CD39))</f>
        <v/>
      </c>
      <c r="CG39">
        <f>IF(R38&lt;=0,0,R38*$E$20/12)</f>
        <v/>
      </c>
      <c r="CH39">
        <f>IF(R38&lt;=0,0,MIN(R38+CG39,$F$20+CF39))</f>
        <v/>
      </c>
      <c r="CI39">
        <f>IF(R38&lt;=0,CF39,MAX(0,$F$20+CF39-R38-CG39))</f>
        <v/>
      </c>
      <c r="CJ39">
        <f>IF(S38&lt;=0,0,S38*$E$21/12)</f>
        <v/>
      </c>
      <c r="CK39">
        <f>IF(S38&lt;=0,0,MIN(S38+CJ39,$F$21+CI39))</f>
        <v/>
      </c>
      <c r="CL39">
        <f>IF(S38&lt;=0,CI39,MAX(0,$F$21+CI39-S38-CJ39))</f>
        <v/>
      </c>
      <c r="CM39">
        <f>IF(T38&lt;=0,0,T38*$E$22/12)</f>
        <v/>
      </c>
      <c r="CN39">
        <f>IF(T38&lt;=0,0,MIN(T38+CM39,$F$22+CL39))</f>
        <v/>
      </c>
      <c r="CO39">
        <f>IF(T38&lt;=0,CL39,MAX(0,$F$22+CL39-T38-CM39))</f>
        <v/>
      </c>
      <c r="CP39">
        <f>IF(U38&lt;=0,0,U38*$E$23/12)</f>
        <v/>
      </c>
      <c r="CQ39">
        <f>IF(U38&lt;=0,0,MIN(U38+CP39,$F$23+CO39))</f>
        <v/>
      </c>
      <c r="CR39">
        <f>IF(U38&lt;=0,CO39,MAX(0,$F$23+CO39-U38-CP39))</f>
        <v/>
      </c>
      <c r="CS39">
        <f>IF(V38&lt;=0,0,V38*$E$24/12)</f>
        <v/>
      </c>
      <c r="CT39">
        <f>IF(V38&lt;=0,0,MIN(V38+CS39,$F$24+CR39))</f>
        <v/>
      </c>
      <c r="CU39">
        <f>IF(V38&lt;=0,CR39,MAX(0,$F$24+CR39-V38-CS39))</f>
        <v/>
      </c>
    </row>
    <row r="40">
      <c r="B40" s="39" t="n">
        <v>14</v>
      </c>
      <c r="C40" s="13">
        <f>IF(C39&lt;=0,0,MAX(0,C39+AN40-AO40))</f>
        <v/>
      </c>
      <c r="D40" s="13">
        <f>IF(D39&lt;=0,0,MAX(0,D39+AQ40-AR40))</f>
        <v/>
      </c>
      <c r="E40" s="13">
        <f>IF(E39&lt;=0,0,MAX(0,E39+AT40-AU40))</f>
        <v/>
      </c>
      <c r="F40" s="13">
        <f>IF(F39&lt;=0,0,MAX(0,F39+AW40-AX40))</f>
        <v/>
      </c>
      <c r="G40" s="13">
        <f>IF(G39&lt;=0,0,MAX(0,G39+AZ40-BA40))</f>
        <v/>
      </c>
      <c r="H40" s="13">
        <f>IF(H39&lt;=0,0,MAX(0,H39+BC40-BD40))</f>
        <v/>
      </c>
      <c r="I40" s="13">
        <f>IF(I39&lt;=0,0,MAX(0,I39+BF40-BG40))</f>
        <v/>
      </c>
      <c r="J40" s="13">
        <f>IF(J39&lt;=0,0,MAX(0,J39+BI40-BJ40))</f>
        <v/>
      </c>
      <c r="K40" s="13">
        <f>IF(K39&lt;=0,0,MAX(0,K39+BL40-BM40))</f>
        <v/>
      </c>
      <c r="L40" s="13">
        <f>IF(L39&lt;=0,0,MAX(0,L39+BO40-BP40))</f>
        <v/>
      </c>
      <c r="M40" s="13">
        <f>IF(M39&lt;=0,0,MAX(0,M39+BR40-BS40))</f>
        <v/>
      </c>
      <c r="N40" s="13">
        <f>IF(N39&lt;=0,0,MAX(0,N39+BU40-BV40))</f>
        <v/>
      </c>
      <c r="O40" s="13">
        <f>IF(O39&lt;=0,0,MAX(0,O39+BX40-BY40))</f>
        <v/>
      </c>
      <c r="P40" s="13">
        <f>IF(P39&lt;=0,0,MAX(0,P39+CA40-CB40))</f>
        <v/>
      </c>
      <c r="Q40" s="13">
        <f>IF(Q39&lt;=0,0,MAX(0,Q39+CD40-CE40))</f>
        <v/>
      </c>
      <c r="R40" s="13">
        <f>IF(R39&lt;=0,0,MAX(0,R39+CG40-CH40))</f>
        <v/>
      </c>
      <c r="S40" s="13">
        <f>IF(S39&lt;=0,0,MAX(0,S39+CJ40-CK40))</f>
        <v/>
      </c>
      <c r="T40" s="13">
        <f>IF(T39&lt;=0,0,MAX(0,T39+CM40-CN40))</f>
        <v/>
      </c>
      <c r="U40" s="13">
        <f>IF(U39&lt;=0,0,MAX(0,U39+CP40-CQ40))</f>
        <v/>
      </c>
      <c r="V40" s="13">
        <f>IF(V39&lt;=0,0,MAX(0,V39+CS40-CT40))</f>
        <v/>
      </c>
      <c r="W40" s="13">
        <f>AO40+AR40+AU40+AX40+BA40+BD40+BG40+BJ40+BM40+BP40+BS40+BV40+BY40+CB40+CE40+CH40+CK40+CN40+CQ40+CT40</f>
        <v/>
      </c>
      <c r="X40" s="13">
        <f>AN40+AQ40+AT40+AW40+AZ40+BC40+BF40+BI40+BL40+BO40+BR40+BU40+BX40+CA40+CD40+CG40+CJ40+CM40+CP40+CS40</f>
        <v/>
      </c>
      <c r="Y40" s="27">
        <f>C40+D40+E40+F40+G40+H40+I40+J40+K40+L40+M40+N40+O40+P40+Q40+R40+S40+T40+U40+V40</f>
        <v/>
      </c>
      <c r="AN40">
        <f>IF(C39&lt;=0,0,C39*$E$5/12)</f>
        <v/>
      </c>
      <c r="AO40">
        <f>IF(C39&lt;=0,0,MIN(C39+AN40,$F$5+(Dashboard!$C$11+IF(C39&lt;=0,$F$5,0)+IF(D39&lt;=0,$F$6,0)+IF(E39&lt;=0,$F$7,0)+IF(F39&lt;=0,$F$8,0)+IF(G39&lt;=0,$F$9,0)+IF(H39&lt;=0,$F$10,0)+IF(I39&lt;=0,$F$11,0)+IF(J39&lt;=0,$F$12,0)+IF(K39&lt;=0,$F$13,0)+IF(L39&lt;=0,$F$14,0)+IF(M39&lt;=0,$F$15,0)+IF(N39&lt;=0,$F$16,0)+IF(O39&lt;=0,$F$17,0)+IF(P39&lt;=0,$F$18,0)+IF(Q39&lt;=0,$F$19,0)+IF(R39&lt;=0,$F$20,0)+IF(S39&lt;=0,$F$21,0)+IF(T39&lt;=0,$F$22,0)+IF(U39&lt;=0,$F$23,0)+IF(V39&lt;=0,$F$24,0))))</f>
        <v/>
      </c>
      <c r="AP40">
        <f>IF(C39&lt;=0,(Dashboard!$C$11+IF(C39&lt;=0,$F$5,0)+IF(D39&lt;=0,$F$6,0)+IF(E39&lt;=0,$F$7,0)+IF(F39&lt;=0,$F$8,0)+IF(G39&lt;=0,$F$9,0)+IF(H39&lt;=0,$F$10,0)+IF(I39&lt;=0,$F$11,0)+IF(J39&lt;=0,$F$12,0)+IF(K39&lt;=0,$F$13,0)+IF(L39&lt;=0,$F$14,0)+IF(M39&lt;=0,$F$15,0)+IF(N39&lt;=0,$F$16,0)+IF(O39&lt;=0,$F$17,0)+IF(P39&lt;=0,$F$18,0)+IF(Q39&lt;=0,$F$19,0)+IF(R39&lt;=0,$F$20,0)+IF(S39&lt;=0,$F$21,0)+IF(T39&lt;=0,$F$22,0)+IF(U39&lt;=0,$F$23,0)+IF(V39&lt;=0,$F$24,0)),MAX(0,$F$5+(Dashboard!$C$11+IF(C39&lt;=0,$F$5,0)+IF(D39&lt;=0,$F$6,0)+IF(E39&lt;=0,$F$7,0)+IF(F39&lt;=0,$F$8,0)+IF(G39&lt;=0,$F$9,0)+IF(H39&lt;=0,$F$10,0)+IF(I39&lt;=0,$F$11,0)+IF(J39&lt;=0,$F$12,0)+IF(K39&lt;=0,$F$13,0)+IF(L39&lt;=0,$F$14,0)+IF(M39&lt;=0,$F$15,0)+IF(N39&lt;=0,$F$16,0)+IF(O39&lt;=0,$F$17,0)+IF(P39&lt;=0,$F$18,0)+IF(Q39&lt;=0,$F$19,0)+IF(R39&lt;=0,$F$20,0)+IF(S39&lt;=0,$F$21,0)+IF(T39&lt;=0,$F$22,0)+IF(U39&lt;=0,$F$23,0)+IF(V39&lt;=0,$F$24,0))-C39-AN40))</f>
        <v/>
      </c>
      <c r="AQ40">
        <f>IF(D39&lt;=0,0,D39*$E$6/12)</f>
        <v/>
      </c>
      <c r="AR40">
        <f>IF(D39&lt;=0,0,MIN(D39+AQ40,$F$6+AP40))</f>
        <v/>
      </c>
      <c r="AS40">
        <f>IF(D39&lt;=0,AP40,MAX(0,$F$6+AP40-D39-AQ40))</f>
        <v/>
      </c>
      <c r="AT40">
        <f>IF(E39&lt;=0,0,E39*$E$7/12)</f>
        <v/>
      </c>
      <c r="AU40">
        <f>IF(E39&lt;=0,0,MIN(E39+AT40,$F$7+AS40))</f>
        <v/>
      </c>
      <c r="AV40">
        <f>IF(E39&lt;=0,AS40,MAX(0,$F$7+AS40-E39-AT40))</f>
        <v/>
      </c>
      <c r="AW40">
        <f>IF(F39&lt;=0,0,F39*$E$8/12)</f>
        <v/>
      </c>
      <c r="AX40">
        <f>IF(F39&lt;=0,0,MIN(F39+AW40,$F$8+AV40))</f>
        <v/>
      </c>
      <c r="AY40">
        <f>IF(F39&lt;=0,AV40,MAX(0,$F$8+AV40-F39-AW40))</f>
        <v/>
      </c>
      <c r="AZ40">
        <f>IF(G39&lt;=0,0,G39*$E$9/12)</f>
        <v/>
      </c>
      <c r="BA40">
        <f>IF(G39&lt;=0,0,MIN(G39+AZ40,$F$9+AY40))</f>
        <v/>
      </c>
      <c r="BB40">
        <f>IF(G39&lt;=0,AY40,MAX(0,$F$9+AY40-G39-AZ40))</f>
        <v/>
      </c>
      <c r="BC40">
        <f>IF(H39&lt;=0,0,H39*$E$10/12)</f>
        <v/>
      </c>
      <c r="BD40">
        <f>IF(H39&lt;=0,0,MIN(H39+BC40,$F$10+BB40))</f>
        <v/>
      </c>
      <c r="BE40">
        <f>IF(H39&lt;=0,BB40,MAX(0,$F$10+BB40-H39-BC40))</f>
        <v/>
      </c>
      <c r="BF40">
        <f>IF(I39&lt;=0,0,I39*$E$11/12)</f>
        <v/>
      </c>
      <c r="BG40">
        <f>IF(I39&lt;=0,0,MIN(I39+BF40,$F$11+BE40))</f>
        <v/>
      </c>
      <c r="BH40">
        <f>IF(I39&lt;=0,BE40,MAX(0,$F$11+BE40-I39-BF40))</f>
        <v/>
      </c>
      <c r="BI40">
        <f>IF(J39&lt;=0,0,J39*$E$12/12)</f>
        <v/>
      </c>
      <c r="BJ40">
        <f>IF(J39&lt;=0,0,MIN(J39+BI40,$F$12+BH40))</f>
        <v/>
      </c>
      <c r="BK40">
        <f>IF(J39&lt;=0,BH40,MAX(0,$F$12+BH40-J39-BI40))</f>
        <v/>
      </c>
      <c r="BL40">
        <f>IF(K39&lt;=0,0,K39*$E$13/12)</f>
        <v/>
      </c>
      <c r="BM40">
        <f>IF(K39&lt;=0,0,MIN(K39+BL40,$F$13+BK40))</f>
        <v/>
      </c>
      <c r="BN40">
        <f>IF(K39&lt;=0,BK40,MAX(0,$F$13+BK40-K39-BL40))</f>
        <v/>
      </c>
      <c r="BO40">
        <f>IF(L39&lt;=0,0,L39*$E$14/12)</f>
        <v/>
      </c>
      <c r="BP40">
        <f>IF(L39&lt;=0,0,MIN(L39+BO40,$F$14+BN40))</f>
        <v/>
      </c>
      <c r="BQ40">
        <f>IF(L39&lt;=0,BN40,MAX(0,$F$14+BN40-L39-BO40))</f>
        <v/>
      </c>
      <c r="BR40">
        <f>IF(M39&lt;=0,0,M39*$E$15/12)</f>
        <v/>
      </c>
      <c r="BS40">
        <f>IF(M39&lt;=0,0,MIN(M39+BR40,$F$15+BQ40))</f>
        <v/>
      </c>
      <c r="BT40">
        <f>IF(M39&lt;=0,BQ40,MAX(0,$F$15+BQ40-M39-BR40))</f>
        <v/>
      </c>
      <c r="BU40">
        <f>IF(N39&lt;=0,0,N39*$E$16/12)</f>
        <v/>
      </c>
      <c r="BV40">
        <f>IF(N39&lt;=0,0,MIN(N39+BU40,$F$16+BT40))</f>
        <v/>
      </c>
      <c r="BW40">
        <f>IF(N39&lt;=0,BT40,MAX(0,$F$16+BT40-N39-BU40))</f>
        <v/>
      </c>
      <c r="BX40">
        <f>IF(O39&lt;=0,0,O39*$E$17/12)</f>
        <v/>
      </c>
      <c r="BY40">
        <f>IF(O39&lt;=0,0,MIN(O39+BX40,$F$17+BW40))</f>
        <v/>
      </c>
      <c r="BZ40">
        <f>IF(O39&lt;=0,BW40,MAX(0,$F$17+BW40-O39-BX40))</f>
        <v/>
      </c>
      <c r="CA40">
        <f>IF(P39&lt;=0,0,P39*$E$18/12)</f>
        <v/>
      </c>
      <c r="CB40">
        <f>IF(P39&lt;=0,0,MIN(P39+CA40,$F$18+BZ40))</f>
        <v/>
      </c>
      <c r="CC40">
        <f>IF(P39&lt;=0,BZ40,MAX(0,$F$18+BZ40-P39-CA40))</f>
        <v/>
      </c>
      <c r="CD40">
        <f>IF(Q39&lt;=0,0,Q39*$E$19/12)</f>
        <v/>
      </c>
      <c r="CE40">
        <f>IF(Q39&lt;=0,0,MIN(Q39+CD40,$F$19+CC40))</f>
        <v/>
      </c>
      <c r="CF40">
        <f>IF(Q39&lt;=0,CC40,MAX(0,$F$19+CC40-Q39-CD40))</f>
        <v/>
      </c>
      <c r="CG40">
        <f>IF(R39&lt;=0,0,R39*$E$20/12)</f>
        <v/>
      </c>
      <c r="CH40">
        <f>IF(R39&lt;=0,0,MIN(R39+CG40,$F$20+CF40))</f>
        <v/>
      </c>
      <c r="CI40">
        <f>IF(R39&lt;=0,CF40,MAX(0,$F$20+CF40-R39-CG40))</f>
        <v/>
      </c>
      <c r="CJ40">
        <f>IF(S39&lt;=0,0,S39*$E$21/12)</f>
        <v/>
      </c>
      <c r="CK40">
        <f>IF(S39&lt;=0,0,MIN(S39+CJ40,$F$21+CI40))</f>
        <v/>
      </c>
      <c r="CL40">
        <f>IF(S39&lt;=0,CI40,MAX(0,$F$21+CI40-S39-CJ40))</f>
        <v/>
      </c>
      <c r="CM40">
        <f>IF(T39&lt;=0,0,T39*$E$22/12)</f>
        <v/>
      </c>
      <c r="CN40">
        <f>IF(T39&lt;=0,0,MIN(T39+CM40,$F$22+CL40))</f>
        <v/>
      </c>
      <c r="CO40">
        <f>IF(T39&lt;=0,CL40,MAX(0,$F$22+CL40-T39-CM40))</f>
        <v/>
      </c>
      <c r="CP40">
        <f>IF(U39&lt;=0,0,U39*$E$23/12)</f>
        <v/>
      </c>
      <c r="CQ40">
        <f>IF(U39&lt;=0,0,MIN(U39+CP40,$F$23+CO40))</f>
        <v/>
      </c>
      <c r="CR40">
        <f>IF(U39&lt;=0,CO40,MAX(0,$F$23+CO40-U39-CP40))</f>
        <v/>
      </c>
      <c r="CS40">
        <f>IF(V39&lt;=0,0,V39*$E$24/12)</f>
        <v/>
      </c>
      <c r="CT40">
        <f>IF(V39&lt;=0,0,MIN(V39+CS40,$F$24+CR40))</f>
        <v/>
      </c>
      <c r="CU40">
        <f>IF(V39&lt;=0,CR40,MAX(0,$F$24+CR40-V39-CS40))</f>
        <v/>
      </c>
    </row>
    <row r="41">
      <c r="B41" s="39" t="n">
        <v>15</v>
      </c>
      <c r="C41" s="13">
        <f>IF(C40&lt;=0,0,MAX(0,C40+AN41-AO41))</f>
        <v/>
      </c>
      <c r="D41" s="13">
        <f>IF(D40&lt;=0,0,MAX(0,D40+AQ41-AR41))</f>
        <v/>
      </c>
      <c r="E41" s="13">
        <f>IF(E40&lt;=0,0,MAX(0,E40+AT41-AU41))</f>
        <v/>
      </c>
      <c r="F41" s="13">
        <f>IF(F40&lt;=0,0,MAX(0,F40+AW41-AX41))</f>
        <v/>
      </c>
      <c r="G41" s="13">
        <f>IF(G40&lt;=0,0,MAX(0,G40+AZ41-BA41))</f>
        <v/>
      </c>
      <c r="H41" s="13">
        <f>IF(H40&lt;=0,0,MAX(0,H40+BC41-BD41))</f>
        <v/>
      </c>
      <c r="I41" s="13">
        <f>IF(I40&lt;=0,0,MAX(0,I40+BF41-BG41))</f>
        <v/>
      </c>
      <c r="J41" s="13">
        <f>IF(J40&lt;=0,0,MAX(0,J40+BI41-BJ41))</f>
        <v/>
      </c>
      <c r="K41" s="13">
        <f>IF(K40&lt;=0,0,MAX(0,K40+BL41-BM41))</f>
        <v/>
      </c>
      <c r="L41" s="13">
        <f>IF(L40&lt;=0,0,MAX(0,L40+BO41-BP41))</f>
        <v/>
      </c>
      <c r="M41" s="13">
        <f>IF(M40&lt;=0,0,MAX(0,M40+BR41-BS41))</f>
        <v/>
      </c>
      <c r="N41" s="13">
        <f>IF(N40&lt;=0,0,MAX(0,N40+BU41-BV41))</f>
        <v/>
      </c>
      <c r="O41" s="13">
        <f>IF(O40&lt;=0,0,MAX(0,O40+BX41-BY41))</f>
        <v/>
      </c>
      <c r="P41" s="13">
        <f>IF(P40&lt;=0,0,MAX(0,P40+CA41-CB41))</f>
        <v/>
      </c>
      <c r="Q41" s="13">
        <f>IF(Q40&lt;=0,0,MAX(0,Q40+CD41-CE41))</f>
        <v/>
      </c>
      <c r="R41" s="13">
        <f>IF(R40&lt;=0,0,MAX(0,R40+CG41-CH41))</f>
        <v/>
      </c>
      <c r="S41" s="13">
        <f>IF(S40&lt;=0,0,MAX(0,S40+CJ41-CK41))</f>
        <v/>
      </c>
      <c r="T41" s="13">
        <f>IF(T40&lt;=0,0,MAX(0,T40+CM41-CN41))</f>
        <v/>
      </c>
      <c r="U41" s="13">
        <f>IF(U40&lt;=0,0,MAX(0,U40+CP41-CQ41))</f>
        <v/>
      </c>
      <c r="V41" s="13">
        <f>IF(V40&lt;=0,0,MAX(0,V40+CS41-CT41))</f>
        <v/>
      </c>
      <c r="W41" s="13">
        <f>AO41+AR41+AU41+AX41+BA41+BD41+BG41+BJ41+BM41+BP41+BS41+BV41+BY41+CB41+CE41+CH41+CK41+CN41+CQ41+CT41</f>
        <v/>
      </c>
      <c r="X41" s="13">
        <f>AN41+AQ41+AT41+AW41+AZ41+BC41+BF41+BI41+BL41+BO41+BR41+BU41+BX41+CA41+CD41+CG41+CJ41+CM41+CP41+CS41</f>
        <v/>
      </c>
      <c r="Y41" s="27">
        <f>C41+D41+E41+F41+G41+H41+I41+J41+K41+L41+M41+N41+O41+P41+Q41+R41+S41+T41+U41+V41</f>
        <v/>
      </c>
      <c r="AN41">
        <f>IF(C40&lt;=0,0,C40*$E$5/12)</f>
        <v/>
      </c>
      <c r="AO41">
        <f>IF(C40&lt;=0,0,MIN(C40+AN41,$F$5+(Dashboard!$C$11+IF(C40&lt;=0,$F$5,0)+IF(D40&lt;=0,$F$6,0)+IF(E40&lt;=0,$F$7,0)+IF(F40&lt;=0,$F$8,0)+IF(G40&lt;=0,$F$9,0)+IF(H40&lt;=0,$F$10,0)+IF(I40&lt;=0,$F$11,0)+IF(J40&lt;=0,$F$12,0)+IF(K40&lt;=0,$F$13,0)+IF(L40&lt;=0,$F$14,0)+IF(M40&lt;=0,$F$15,0)+IF(N40&lt;=0,$F$16,0)+IF(O40&lt;=0,$F$17,0)+IF(P40&lt;=0,$F$18,0)+IF(Q40&lt;=0,$F$19,0)+IF(R40&lt;=0,$F$20,0)+IF(S40&lt;=0,$F$21,0)+IF(T40&lt;=0,$F$22,0)+IF(U40&lt;=0,$F$23,0)+IF(V40&lt;=0,$F$24,0))))</f>
        <v/>
      </c>
      <c r="AP41">
        <f>IF(C40&lt;=0,(Dashboard!$C$11+IF(C40&lt;=0,$F$5,0)+IF(D40&lt;=0,$F$6,0)+IF(E40&lt;=0,$F$7,0)+IF(F40&lt;=0,$F$8,0)+IF(G40&lt;=0,$F$9,0)+IF(H40&lt;=0,$F$10,0)+IF(I40&lt;=0,$F$11,0)+IF(J40&lt;=0,$F$12,0)+IF(K40&lt;=0,$F$13,0)+IF(L40&lt;=0,$F$14,0)+IF(M40&lt;=0,$F$15,0)+IF(N40&lt;=0,$F$16,0)+IF(O40&lt;=0,$F$17,0)+IF(P40&lt;=0,$F$18,0)+IF(Q40&lt;=0,$F$19,0)+IF(R40&lt;=0,$F$20,0)+IF(S40&lt;=0,$F$21,0)+IF(T40&lt;=0,$F$22,0)+IF(U40&lt;=0,$F$23,0)+IF(V40&lt;=0,$F$24,0)),MAX(0,$F$5+(Dashboard!$C$11+IF(C40&lt;=0,$F$5,0)+IF(D40&lt;=0,$F$6,0)+IF(E40&lt;=0,$F$7,0)+IF(F40&lt;=0,$F$8,0)+IF(G40&lt;=0,$F$9,0)+IF(H40&lt;=0,$F$10,0)+IF(I40&lt;=0,$F$11,0)+IF(J40&lt;=0,$F$12,0)+IF(K40&lt;=0,$F$13,0)+IF(L40&lt;=0,$F$14,0)+IF(M40&lt;=0,$F$15,0)+IF(N40&lt;=0,$F$16,0)+IF(O40&lt;=0,$F$17,0)+IF(P40&lt;=0,$F$18,0)+IF(Q40&lt;=0,$F$19,0)+IF(R40&lt;=0,$F$20,0)+IF(S40&lt;=0,$F$21,0)+IF(T40&lt;=0,$F$22,0)+IF(U40&lt;=0,$F$23,0)+IF(V40&lt;=0,$F$24,0))-C40-AN41))</f>
        <v/>
      </c>
      <c r="AQ41">
        <f>IF(D40&lt;=0,0,D40*$E$6/12)</f>
        <v/>
      </c>
      <c r="AR41">
        <f>IF(D40&lt;=0,0,MIN(D40+AQ41,$F$6+AP41))</f>
        <v/>
      </c>
      <c r="AS41">
        <f>IF(D40&lt;=0,AP41,MAX(0,$F$6+AP41-D40-AQ41))</f>
        <v/>
      </c>
      <c r="AT41">
        <f>IF(E40&lt;=0,0,E40*$E$7/12)</f>
        <v/>
      </c>
      <c r="AU41">
        <f>IF(E40&lt;=0,0,MIN(E40+AT41,$F$7+AS41))</f>
        <v/>
      </c>
      <c r="AV41">
        <f>IF(E40&lt;=0,AS41,MAX(0,$F$7+AS41-E40-AT41))</f>
        <v/>
      </c>
      <c r="AW41">
        <f>IF(F40&lt;=0,0,F40*$E$8/12)</f>
        <v/>
      </c>
      <c r="AX41">
        <f>IF(F40&lt;=0,0,MIN(F40+AW41,$F$8+AV41))</f>
        <v/>
      </c>
      <c r="AY41">
        <f>IF(F40&lt;=0,AV41,MAX(0,$F$8+AV41-F40-AW41))</f>
        <v/>
      </c>
      <c r="AZ41">
        <f>IF(G40&lt;=0,0,G40*$E$9/12)</f>
        <v/>
      </c>
      <c r="BA41">
        <f>IF(G40&lt;=0,0,MIN(G40+AZ41,$F$9+AY41))</f>
        <v/>
      </c>
      <c r="BB41">
        <f>IF(G40&lt;=0,AY41,MAX(0,$F$9+AY41-G40-AZ41))</f>
        <v/>
      </c>
      <c r="BC41">
        <f>IF(H40&lt;=0,0,H40*$E$10/12)</f>
        <v/>
      </c>
      <c r="BD41">
        <f>IF(H40&lt;=0,0,MIN(H40+BC41,$F$10+BB41))</f>
        <v/>
      </c>
      <c r="BE41">
        <f>IF(H40&lt;=0,BB41,MAX(0,$F$10+BB41-H40-BC41))</f>
        <v/>
      </c>
      <c r="BF41">
        <f>IF(I40&lt;=0,0,I40*$E$11/12)</f>
        <v/>
      </c>
      <c r="BG41">
        <f>IF(I40&lt;=0,0,MIN(I40+BF41,$F$11+BE41))</f>
        <v/>
      </c>
      <c r="BH41">
        <f>IF(I40&lt;=0,BE41,MAX(0,$F$11+BE41-I40-BF41))</f>
        <v/>
      </c>
      <c r="BI41">
        <f>IF(J40&lt;=0,0,J40*$E$12/12)</f>
        <v/>
      </c>
      <c r="BJ41">
        <f>IF(J40&lt;=0,0,MIN(J40+BI41,$F$12+BH41))</f>
        <v/>
      </c>
      <c r="BK41">
        <f>IF(J40&lt;=0,BH41,MAX(0,$F$12+BH41-J40-BI41))</f>
        <v/>
      </c>
      <c r="BL41">
        <f>IF(K40&lt;=0,0,K40*$E$13/12)</f>
        <v/>
      </c>
      <c r="BM41">
        <f>IF(K40&lt;=0,0,MIN(K40+BL41,$F$13+BK41))</f>
        <v/>
      </c>
      <c r="BN41">
        <f>IF(K40&lt;=0,BK41,MAX(0,$F$13+BK41-K40-BL41))</f>
        <v/>
      </c>
      <c r="BO41">
        <f>IF(L40&lt;=0,0,L40*$E$14/12)</f>
        <v/>
      </c>
      <c r="BP41">
        <f>IF(L40&lt;=0,0,MIN(L40+BO41,$F$14+BN41))</f>
        <v/>
      </c>
      <c r="BQ41">
        <f>IF(L40&lt;=0,BN41,MAX(0,$F$14+BN41-L40-BO41))</f>
        <v/>
      </c>
      <c r="BR41">
        <f>IF(M40&lt;=0,0,M40*$E$15/12)</f>
        <v/>
      </c>
      <c r="BS41">
        <f>IF(M40&lt;=0,0,MIN(M40+BR41,$F$15+BQ41))</f>
        <v/>
      </c>
      <c r="BT41">
        <f>IF(M40&lt;=0,BQ41,MAX(0,$F$15+BQ41-M40-BR41))</f>
        <v/>
      </c>
      <c r="BU41">
        <f>IF(N40&lt;=0,0,N40*$E$16/12)</f>
        <v/>
      </c>
      <c r="BV41">
        <f>IF(N40&lt;=0,0,MIN(N40+BU41,$F$16+BT41))</f>
        <v/>
      </c>
      <c r="BW41">
        <f>IF(N40&lt;=0,BT41,MAX(0,$F$16+BT41-N40-BU41))</f>
        <v/>
      </c>
      <c r="BX41">
        <f>IF(O40&lt;=0,0,O40*$E$17/12)</f>
        <v/>
      </c>
      <c r="BY41">
        <f>IF(O40&lt;=0,0,MIN(O40+BX41,$F$17+BW41))</f>
        <v/>
      </c>
      <c r="BZ41">
        <f>IF(O40&lt;=0,BW41,MAX(0,$F$17+BW41-O40-BX41))</f>
        <v/>
      </c>
      <c r="CA41">
        <f>IF(P40&lt;=0,0,P40*$E$18/12)</f>
        <v/>
      </c>
      <c r="CB41">
        <f>IF(P40&lt;=0,0,MIN(P40+CA41,$F$18+BZ41))</f>
        <v/>
      </c>
      <c r="CC41">
        <f>IF(P40&lt;=0,BZ41,MAX(0,$F$18+BZ41-P40-CA41))</f>
        <v/>
      </c>
      <c r="CD41">
        <f>IF(Q40&lt;=0,0,Q40*$E$19/12)</f>
        <v/>
      </c>
      <c r="CE41">
        <f>IF(Q40&lt;=0,0,MIN(Q40+CD41,$F$19+CC41))</f>
        <v/>
      </c>
      <c r="CF41">
        <f>IF(Q40&lt;=0,CC41,MAX(0,$F$19+CC41-Q40-CD41))</f>
        <v/>
      </c>
      <c r="CG41">
        <f>IF(R40&lt;=0,0,R40*$E$20/12)</f>
        <v/>
      </c>
      <c r="CH41">
        <f>IF(R40&lt;=0,0,MIN(R40+CG41,$F$20+CF41))</f>
        <v/>
      </c>
      <c r="CI41">
        <f>IF(R40&lt;=0,CF41,MAX(0,$F$20+CF41-R40-CG41))</f>
        <v/>
      </c>
      <c r="CJ41">
        <f>IF(S40&lt;=0,0,S40*$E$21/12)</f>
        <v/>
      </c>
      <c r="CK41">
        <f>IF(S40&lt;=0,0,MIN(S40+CJ41,$F$21+CI41))</f>
        <v/>
      </c>
      <c r="CL41">
        <f>IF(S40&lt;=0,CI41,MAX(0,$F$21+CI41-S40-CJ41))</f>
        <v/>
      </c>
      <c r="CM41">
        <f>IF(T40&lt;=0,0,T40*$E$22/12)</f>
        <v/>
      </c>
      <c r="CN41">
        <f>IF(T40&lt;=0,0,MIN(T40+CM41,$F$22+CL41))</f>
        <v/>
      </c>
      <c r="CO41">
        <f>IF(T40&lt;=0,CL41,MAX(0,$F$22+CL41-T40-CM41))</f>
        <v/>
      </c>
      <c r="CP41">
        <f>IF(U40&lt;=0,0,U40*$E$23/12)</f>
        <v/>
      </c>
      <c r="CQ41">
        <f>IF(U40&lt;=0,0,MIN(U40+CP41,$F$23+CO41))</f>
        <v/>
      </c>
      <c r="CR41">
        <f>IF(U40&lt;=0,CO41,MAX(0,$F$23+CO41-U40-CP41))</f>
        <v/>
      </c>
      <c r="CS41">
        <f>IF(V40&lt;=0,0,V40*$E$24/12)</f>
        <v/>
      </c>
      <c r="CT41">
        <f>IF(V40&lt;=0,0,MIN(V40+CS41,$F$24+CR41))</f>
        <v/>
      </c>
      <c r="CU41">
        <f>IF(V40&lt;=0,CR41,MAX(0,$F$24+CR41-V40-CS41))</f>
        <v/>
      </c>
    </row>
    <row r="42">
      <c r="B42" s="39" t="n">
        <v>16</v>
      </c>
      <c r="C42" s="13">
        <f>IF(C41&lt;=0,0,MAX(0,C41+AN42-AO42))</f>
        <v/>
      </c>
      <c r="D42" s="13">
        <f>IF(D41&lt;=0,0,MAX(0,D41+AQ42-AR42))</f>
        <v/>
      </c>
      <c r="E42" s="13">
        <f>IF(E41&lt;=0,0,MAX(0,E41+AT42-AU42))</f>
        <v/>
      </c>
      <c r="F42" s="13">
        <f>IF(F41&lt;=0,0,MAX(0,F41+AW42-AX42))</f>
        <v/>
      </c>
      <c r="G42" s="13">
        <f>IF(G41&lt;=0,0,MAX(0,G41+AZ42-BA42))</f>
        <v/>
      </c>
      <c r="H42" s="13">
        <f>IF(H41&lt;=0,0,MAX(0,H41+BC42-BD42))</f>
        <v/>
      </c>
      <c r="I42" s="13">
        <f>IF(I41&lt;=0,0,MAX(0,I41+BF42-BG42))</f>
        <v/>
      </c>
      <c r="J42" s="13">
        <f>IF(J41&lt;=0,0,MAX(0,J41+BI42-BJ42))</f>
        <v/>
      </c>
      <c r="K42" s="13">
        <f>IF(K41&lt;=0,0,MAX(0,K41+BL42-BM42))</f>
        <v/>
      </c>
      <c r="L42" s="13">
        <f>IF(L41&lt;=0,0,MAX(0,L41+BO42-BP42))</f>
        <v/>
      </c>
      <c r="M42" s="13">
        <f>IF(M41&lt;=0,0,MAX(0,M41+BR42-BS42))</f>
        <v/>
      </c>
      <c r="N42" s="13">
        <f>IF(N41&lt;=0,0,MAX(0,N41+BU42-BV42))</f>
        <v/>
      </c>
      <c r="O42" s="13">
        <f>IF(O41&lt;=0,0,MAX(0,O41+BX42-BY42))</f>
        <v/>
      </c>
      <c r="P42" s="13">
        <f>IF(P41&lt;=0,0,MAX(0,P41+CA42-CB42))</f>
        <v/>
      </c>
      <c r="Q42" s="13">
        <f>IF(Q41&lt;=0,0,MAX(0,Q41+CD42-CE42))</f>
        <v/>
      </c>
      <c r="R42" s="13">
        <f>IF(R41&lt;=0,0,MAX(0,R41+CG42-CH42))</f>
        <v/>
      </c>
      <c r="S42" s="13">
        <f>IF(S41&lt;=0,0,MAX(0,S41+CJ42-CK42))</f>
        <v/>
      </c>
      <c r="T42" s="13">
        <f>IF(T41&lt;=0,0,MAX(0,T41+CM42-CN42))</f>
        <v/>
      </c>
      <c r="U42" s="13">
        <f>IF(U41&lt;=0,0,MAX(0,U41+CP42-CQ42))</f>
        <v/>
      </c>
      <c r="V42" s="13">
        <f>IF(V41&lt;=0,0,MAX(0,V41+CS42-CT42))</f>
        <v/>
      </c>
      <c r="W42" s="13">
        <f>AO42+AR42+AU42+AX42+BA42+BD42+BG42+BJ42+BM42+BP42+BS42+BV42+BY42+CB42+CE42+CH42+CK42+CN42+CQ42+CT42</f>
        <v/>
      </c>
      <c r="X42" s="13">
        <f>AN42+AQ42+AT42+AW42+AZ42+BC42+BF42+BI42+BL42+BO42+BR42+BU42+BX42+CA42+CD42+CG42+CJ42+CM42+CP42+CS42</f>
        <v/>
      </c>
      <c r="Y42" s="27">
        <f>C42+D42+E42+F42+G42+H42+I42+J42+K42+L42+M42+N42+O42+P42+Q42+R42+S42+T42+U42+V42</f>
        <v/>
      </c>
      <c r="AN42">
        <f>IF(C41&lt;=0,0,C41*$E$5/12)</f>
        <v/>
      </c>
      <c r="AO42">
        <f>IF(C41&lt;=0,0,MIN(C41+AN42,$F$5+(Dashboard!$C$11+IF(C41&lt;=0,$F$5,0)+IF(D41&lt;=0,$F$6,0)+IF(E41&lt;=0,$F$7,0)+IF(F41&lt;=0,$F$8,0)+IF(G41&lt;=0,$F$9,0)+IF(H41&lt;=0,$F$10,0)+IF(I41&lt;=0,$F$11,0)+IF(J41&lt;=0,$F$12,0)+IF(K41&lt;=0,$F$13,0)+IF(L41&lt;=0,$F$14,0)+IF(M41&lt;=0,$F$15,0)+IF(N41&lt;=0,$F$16,0)+IF(O41&lt;=0,$F$17,0)+IF(P41&lt;=0,$F$18,0)+IF(Q41&lt;=0,$F$19,0)+IF(R41&lt;=0,$F$20,0)+IF(S41&lt;=0,$F$21,0)+IF(T41&lt;=0,$F$22,0)+IF(U41&lt;=0,$F$23,0)+IF(V41&lt;=0,$F$24,0))))</f>
        <v/>
      </c>
      <c r="AP42">
        <f>IF(C41&lt;=0,(Dashboard!$C$11+IF(C41&lt;=0,$F$5,0)+IF(D41&lt;=0,$F$6,0)+IF(E41&lt;=0,$F$7,0)+IF(F41&lt;=0,$F$8,0)+IF(G41&lt;=0,$F$9,0)+IF(H41&lt;=0,$F$10,0)+IF(I41&lt;=0,$F$11,0)+IF(J41&lt;=0,$F$12,0)+IF(K41&lt;=0,$F$13,0)+IF(L41&lt;=0,$F$14,0)+IF(M41&lt;=0,$F$15,0)+IF(N41&lt;=0,$F$16,0)+IF(O41&lt;=0,$F$17,0)+IF(P41&lt;=0,$F$18,0)+IF(Q41&lt;=0,$F$19,0)+IF(R41&lt;=0,$F$20,0)+IF(S41&lt;=0,$F$21,0)+IF(T41&lt;=0,$F$22,0)+IF(U41&lt;=0,$F$23,0)+IF(V41&lt;=0,$F$24,0)),MAX(0,$F$5+(Dashboard!$C$11+IF(C41&lt;=0,$F$5,0)+IF(D41&lt;=0,$F$6,0)+IF(E41&lt;=0,$F$7,0)+IF(F41&lt;=0,$F$8,0)+IF(G41&lt;=0,$F$9,0)+IF(H41&lt;=0,$F$10,0)+IF(I41&lt;=0,$F$11,0)+IF(J41&lt;=0,$F$12,0)+IF(K41&lt;=0,$F$13,0)+IF(L41&lt;=0,$F$14,0)+IF(M41&lt;=0,$F$15,0)+IF(N41&lt;=0,$F$16,0)+IF(O41&lt;=0,$F$17,0)+IF(P41&lt;=0,$F$18,0)+IF(Q41&lt;=0,$F$19,0)+IF(R41&lt;=0,$F$20,0)+IF(S41&lt;=0,$F$21,0)+IF(T41&lt;=0,$F$22,0)+IF(U41&lt;=0,$F$23,0)+IF(V41&lt;=0,$F$24,0))-C41-AN42))</f>
        <v/>
      </c>
      <c r="AQ42">
        <f>IF(D41&lt;=0,0,D41*$E$6/12)</f>
        <v/>
      </c>
      <c r="AR42">
        <f>IF(D41&lt;=0,0,MIN(D41+AQ42,$F$6+AP42))</f>
        <v/>
      </c>
      <c r="AS42">
        <f>IF(D41&lt;=0,AP42,MAX(0,$F$6+AP42-D41-AQ42))</f>
        <v/>
      </c>
      <c r="AT42">
        <f>IF(E41&lt;=0,0,E41*$E$7/12)</f>
        <v/>
      </c>
      <c r="AU42">
        <f>IF(E41&lt;=0,0,MIN(E41+AT42,$F$7+AS42))</f>
        <v/>
      </c>
      <c r="AV42">
        <f>IF(E41&lt;=0,AS42,MAX(0,$F$7+AS42-E41-AT42))</f>
        <v/>
      </c>
      <c r="AW42">
        <f>IF(F41&lt;=0,0,F41*$E$8/12)</f>
        <v/>
      </c>
      <c r="AX42">
        <f>IF(F41&lt;=0,0,MIN(F41+AW42,$F$8+AV42))</f>
        <v/>
      </c>
      <c r="AY42">
        <f>IF(F41&lt;=0,AV42,MAX(0,$F$8+AV42-F41-AW42))</f>
        <v/>
      </c>
      <c r="AZ42">
        <f>IF(G41&lt;=0,0,G41*$E$9/12)</f>
        <v/>
      </c>
      <c r="BA42">
        <f>IF(G41&lt;=0,0,MIN(G41+AZ42,$F$9+AY42))</f>
        <v/>
      </c>
      <c r="BB42">
        <f>IF(G41&lt;=0,AY42,MAX(0,$F$9+AY42-G41-AZ42))</f>
        <v/>
      </c>
      <c r="BC42">
        <f>IF(H41&lt;=0,0,H41*$E$10/12)</f>
        <v/>
      </c>
      <c r="BD42">
        <f>IF(H41&lt;=0,0,MIN(H41+BC42,$F$10+BB42))</f>
        <v/>
      </c>
      <c r="BE42">
        <f>IF(H41&lt;=0,BB42,MAX(0,$F$10+BB42-H41-BC42))</f>
        <v/>
      </c>
      <c r="BF42">
        <f>IF(I41&lt;=0,0,I41*$E$11/12)</f>
        <v/>
      </c>
      <c r="BG42">
        <f>IF(I41&lt;=0,0,MIN(I41+BF42,$F$11+BE42))</f>
        <v/>
      </c>
      <c r="BH42">
        <f>IF(I41&lt;=0,BE42,MAX(0,$F$11+BE42-I41-BF42))</f>
        <v/>
      </c>
      <c r="BI42">
        <f>IF(J41&lt;=0,0,J41*$E$12/12)</f>
        <v/>
      </c>
      <c r="BJ42">
        <f>IF(J41&lt;=0,0,MIN(J41+BI42,$F$12+BH42))</f>
        <v/>
      </c>
      <c r="BK42">
        <f>IF(J41&lt;=0,BH42,MAX(0,$F$12+BH42-J41-BI42))</f>
        <v/>
      </c>
      <c r="BL42">
        <f>IF(K41&lt;=0,0,K41*$E$13/12)</f>
        <v/>
      </c>
      <c r="BM42">
        <f>IF(K41&lt;=0,0,MIN(K41+BL42,$F$13+BK42))</f>
        <v/>
      </c>
      <c r="BN42">
        <f>IF(K41&lt;=0,BK42,MAX(0,$F$13+BK42-K41-BL42))</f>
        <v/>
      </c>
      <c r="BO42">
        <f>IF(L41&lt;=0,0,L41*$E$14/12)</f>
        <v/>
      </c>
      <c r="BP42">
        <f>IF(L41&lt;=0,0,MIN(L41+BO42,$F$14+BN42))</f>
        <v/>
      </c>
      <c r="BQ42">
        <f>IF(L41&lt;=0,BN42,MAX(0,$F$14+BN42-L41-BO42))</f>
        <v/>
      </c>
      <c r="BR42">
        <f>IF(M41&lt;=0,0,M41*$E$15/12)</f>
        <v/>
      </c>
      <c r="BS42">
        <f>IF(M41&lt;=0,0,MIN(M41+BR42,$F$15+BQ42))</f>
        <v/>
      </c>
      <c r="BT42">
        <f>IF(M41&lt;=0,BQ42,MAX(0,$F$15+BQ42-M41-BR42))</f>
        <v/>
      </c>
      <c r="BU42">
        <f>IF(N41&lt;=0,0,N41*$E$16/12)</f>
        <v/>
      </c>
      <c r="BV42">
        <f>IF(N41&lt;=0,0,MIN(N41+BU42,$F$16+BT42))</f>
        <v/>
      </c>
      <c r="BW42">
        <f>IF(N41&lt;=0,BT42,MAX(0,$F$16+BT42-N41-BU42))</f>
        <v/>
      </c>
      <c r="BX42">
        <f>IF(O41&lt;=0,0,O41*$E$17/12)</f>
        <v/>
      </c>
      <c r="BY42">
        <f>IF(O41&lt;=0,0,MIN(O41+BX42,$F$17+BW42))</f>
        <v/>
      </c>
      <c r="BZ42">
        <f>IF(O41&lt;=0,BW42,MAX(0,$F$17+BW42-O41-BX42))</f>
        <v/>
      </c>
      <c r="CA42">
        <f>IF(P41&lt;=0,0,P41*$E$18/12)</f>
        <v/>
      </c>
      <c r="CB42">
        <f>IF(P41&lt;=0,0,MIN(P41+CA42,$F$18+BZ42))</f>
        <v/>
      </c>
      <c r="CC42">
        <f>IF(P41&lt;=0,BZ42,MAX(0,$F$18+BZ42-P41-CA42))</f>
        <v/>
      </c>
      <c r="CD42">
        <f>IF(Q41&lt;=0,0,Q41*$E$19/12)</f>
        <v/>
      </c>
      <c r="CE42">
        <f>IF(Q41&lt;=0,0,MIN(Q41+CD42,$F$19+CC42))</f>
        <v/>
      </c>
      <c r="CF42">
        <f>IF(Q41&lt;=0,CC42,MAX(0,$F$19+CC42-Q41-CD42))</f>
        <v/>
      </c>
      <c r="CG42">
        <f>IF(R41&lt;=0,0,R41*$E$20/12)</f>
        <v/>
      </c>
      <c r="CH42">
        <f>IF(R41&lt;=0,0,MIN(R41+CG42,$F$20+CF42))</f>
        <v/>
      </c>
      <c r="CI42">
        <f>IF(R41&lt;=0,CF42,MAX(0,$F$20+CF42-R41-CG42))</f>
        <v/>
      </c>
      <c r="CJ42">
        <f>IF(S41&lt;=0,0,S41*$E$21/12)</f>
        <v/>
      </c>
      <c r="CK42">
        <f>IF(S41&lt;=0,0,MIN(S41+CJ42,$F$21+CI42))</f>
        <v/>
      </c>
      <c r="CL42">
        <f>IF(S41&lt;=0,CI42,MAX(0,$F$21+CI42-S41-CJ42))</f>
        <v/>
      </c>
      <c r="CM42">
        <f>IF(T41&lt;=0,0,T41*$E$22/12)</f>
        <v/>
      </c>
      <c r="CN42">
        <f>IF(T41&lt;=0,0,MIN(T41+CM42,$F$22+CL42))</f>
        <v/>
      </c>
      <c r="CO42">
        <f>IF(T41&lt;=0,CL42,MAX(0,$F$22+CL42-T41-CM42))</f>
        <v/>
      </c>
      <c r="CP42">
        <f>IF(U41&lt;=0,0,U41*$E$23/12)</f>
        <v/>
      </c>
      <c r="CQ42">
        <f>IF(U41&lt;=0,0,MIN(U41+CP42,$F$23+CO42))</f>
        <v/>
      </c>
      <c r="CR42">
        <f>IF(U41&lt;=0,CO42,MAX(0,$F$23+CO42-U41-CP42))</f>
        <v/>
      </c>
      <c r="CS42">
        <f>IF(V41&lt;=0,0,V41*$E$24/12)</f>
        <v/>
      </c>
      <c r="CT42">
        <f>IF(V41&lt;=0,0,MIN(V41+CS42,$F$24+CR42))</f>
        <v/>
      </c>
      <c r="CU42">
        <f>IF(V41&lt;=0,CR42,MAX(0,$F$24+CR42-V41-CS42))</f>
        <v/>
      </c>
    </row>
    <row r="43">
      <c r="B43" s="39" t="n">
        <v>17</v>
      </c>
      <c r="C43" s="13">
        <f>IF(C42&lt;=0,0,MAX(0,C42+AN43-AO43))</f>
        <v/>
      </c>
      <c r="D43" s="13">
        <f>IF(D42&lt;=0,0,MAX(0,D42+AQ43-AR43))</f>
        <v/>
      </c>
      <c r="E43" s="13">
        <f>IF(E42&lt;=0,0,MAX(0,E42+AT43-AU43))</f>
        <v/>
      </c>
      <c r="F43" s="13">
        <f>IF(F42&lt;=0,0,MAX(0,F42+AW43-AX43))</f>
        <v/>
      </c>
      <c r="G43" s="13">
        <f>IF(G42&lt;=0,0,MAX(0,G42+AZ43-BA43))</f>
        <v/>
      </c>
      <c r="H43" s="13">
        <f>IF(H42&lt;=0,0,MAX(0,H42+BC43-BD43))</f>
        <v/>
      </c>
      <c r="I43" s="13">
        <f>IF(I42&lt;=0,0,MAX(0,I42+BF43-BG43))</f>
        <v/>
      </c>
      <c r="J43" s="13">
        <f>IF(J42&lt;=0,0,MAX(0,J42+BI43-BJ43))</f>
        <v/>
      </c>
      <c r="K43" s="13">
        <f>IF(K42&lt;=0,0,MAX(0,K42+BL43-BM43))</f>
        <v/>
      </c>
      <c r="L43" s="13">
        <f>IF(L42&lt;=0,0,MAX(0,L42+BO43-BP43))</f>
        <v/>
      </c>
      <c r="M43" s="13">
        <f>IF(M42&lt;=0,0,MAX(0,M42+BR43-BS43))</f>
        <v/>
      </c>
      <c r="N43" s="13">
        <f>IF(N42&lt;=0,0,MAX(0,N42+BU43-BV43))</f>
        <v/>
      </c>
      <c r="O43" s="13">
        <f>IF(O42&lt;=0,0,MAX(0,O42+BX43-BY43))</f>
        <v/>
      </c>
      <c r="P43" s="13">
        <f>IF(P42&lt;=0,0,MAX(0,P42+CA43-CB43))</f>
        <v/>
      </c>
      <c r="Q43" s="13">
        <f>IF(Q42&lt;=0,0,MAX(0,Q42+CD43-CE43))</f>
        <v/>
      </c>
      <c r="R43" s="13">
        <f>IF(R42&lt;=0,0,MAX(0,R42+CG43-CH43))</f>
        <v/>
      </c>
      <c r="S43" s="13">
        <f>IF(S42&lt;=0,0,MAX(0,S42+CJ43-CK43))</f>
        <v/>
      </c>
      <c r="T43" s="13">
        <f>IF(T42&lt;=0,0,MAX(0,T42+CM43-CN43))</f>
        <v/>
      </c>
      <c r="U43" s="13">
        <f>IF(U42&lt;=0,0,MAX(0,U42+CP43-CQ43))</f>
        <v/>
      </c>
      <c r="V43" s="13">
        <f>IF(V42&lt;=0,0,MAX(0,V42+CS43-CT43))</f>
        <v/>
      </c>
      <c r="W43" s="13">
        <f>AO43+AR43+AU43+AX43+BA43+BD43+BG43+BJ43+BM43+BP43+BS43+BV43+BY43+CB43+CE43+CH43+CK43+CN43+CQ43+CT43</f>
        <v/>
      </c>
      <c r="X43" s="13">
        <f>AN43+AQ43+AT43+AW43+AZ43+BC43+BF43+BI43+BL43+BO43+BR43+BU43+BX43+CA43+CD43+CG43+CJ43+CM43+CP43+CS43</f>
        <v/>
      </c>
      <c r="Y43" s="27">
        <f>C43+D43+E43+F43+G43+H43+I43+J43+K43+L43+M43+N43+O43+P43+Q43+R43+S43+T43+U43+V43</f>
        <v/>
      </c>
      <c r="AN43">
        <f>IF(C42&lt;=0,0,C42*$E$5/12)</f>
        <v/>
      </c>
      <c r="AO43">
        <f>IF(C42&lt;=0,0,MIN(C42+AN43,$F$5+(Dashboard!$C$11+IF(C42&lt;=0,$F$5,0)+IF(D42&lt;=0,$F$6,0)+IF(E42&lt;=0,$F$7,0)+IF(F42&lt;=0,$F$8,0)+IF(G42&lt;=0,$F$9,0)+IF(H42&lt;=0,$F$10,0)+IF(I42&lt;=0,$F$11,0)+IF(J42&lt;=0,$F$12,0)+IF(K42&lt;=0,$F$13,0)+IF(L42&lt;=0,$F$14,0)+IF(M42&lt;=0,$F$15,0)+IF(N42&lt;=0,$F$16,0)+IF(O42&lt;=0,$F$17,0)+IF(P42&lt;=0,$F$18,0)+IF(Q42&lt;=0,$F$19,0)+IF(R42&lt;=0,$F$20,0)+IF(S42&lt;=0,$F$21,0)+IF(T42&lt;=0,$F$22,0)+IF(U42&lt;=0,$F$23,0)+IF(V42&lt;=0,$F$24,0))))</f>
        <v/>
      </c>
      <c r="AP43">
        <f>IF(C42&lt;=0,(Dashboard!$C$11+IF(C42&lt;=0,$F$5,0)+IF(D42&lt;=0,$F$6,0)+IF(E42&lt;=0,$F$7,0)+IF(F42&lt;=0,$F$8,0)+IF(G42&lt;=0,$F$9,0)+IF(H42&lt;=0,$F$10,0)+IF(I42&lt;=0,$F$11,0)+IF(J42&lt;=0,$F$12,0)+IF(K42&lt;=0,$F$13,0)+IF(L42&lt;=0,$F$14,0)+IF(M42&lt;=0,$F$15,0)+IF(N42&lt;=0,$F$16,0)+IF(O42&lt;=0,$F$17,0)+IF(P42&lt;=0,$F$18,0)+IF(Q42&lt;=0,$F$19,0)+IF(R42&lt;=0,$F$20,0)+IF(S42&lt;=0,$F$21,0)+IF(T42&lt;=0,$F$22,0)+IF(U42&lt;=0,$F$23,0)+IF(V42&lt;=0,$F$24,0)),MAX(0,$F$5+(Dashboard!$C$11+IF(C42&lt;=0,$F$5,0)+IF(D42&lt;=0,$F$6,0)+IF(E42&lt;=0,$F$7,0)+IF(F42&lt;=0,$F$8,0)+IF(G42&lt;=0,$F$9,0)+IF(H42&lt;=0,$F$10,0)+IF(I42&lt;=0,$F$11,0)+IF(J42&lt;=0,$F$12,0)+IF(K42&lt;=0,$F$13,0)+IF(L42&lt;=0,$F$14,0)+IF(M42&lt;=0,$F$15,0)+IF(N42&lt;=0,$F$16,0)+IF(O42&lt;=0,$F$17,0)+IF(P42&lt;=0,$F$18,0)+IF(Q42&lt;=0,$F$19,0)+IF(R42&lt;=0,$F$20,0)+IF(S42&lt;=0,$F$21,0)+IF(T42&lt;=0,$F$22,0)+IF(U42&lt;=0,$F$23,0)+IF(V42&lt;=0,$F$24,0))-C42-AN43))</f>
        <v/>
      </c>
      <c r="AQ43">
        <f>IF(D42&lt;=0,0,D42*$E$6/12)</f>
        <v/>
      </c>
      <c r="AR43">
        <f>IF(D42&lt;=0,0,MIN(D42+AQ43,$F$6+AP43))</f>
        <v/>
      </c>
      <c r="AS43">
        <f>IF(D42&lt;=0,AP43,MAX(0,$F$6+AP43-D42-AQ43))</f>
        <v/>
      </c>
      <c r="AT43">
        <f>IF(E42&lt;=0,0,E42*$E$7/12)</f>
        <v/>
      </c>
      <c r="AU43">
        <f>IF(E42&lt;=0,0,MIN(E42+AT43,$F$7+AS43))</f>
        <v/>
      </c>
      <c r="AV43">
        <f>IF(E42&lt;=0,AS43,MAX(0,$F$7+AS43-E42-AT43))</f>
        <v/>
      </c>
      <c r="AW43">
        <f>IF(F42&lt;=0,0,F42*$E$8/12)</f>
        <v/>
      </c>
      <c r="AX43">
        <f>IF(F42&lt;=0,0,MIN(F42+AW43,$F$8+AV43))</f>
        <v/>
      </c>
      <c r="AY43">
        <f>IF(F42&lt;=0,AV43,MAX(0,$F$8+AV43-F42-AW43))</f>
        <v/>
      </c>
      <c r="AZ43">
        <f>IF(G42&lt;=0,0,G42*$E$9/12)</f>
        <v/>
      </c>
      <c r="BA43">
        <f>IF(G42&lt;=0,0,MIN(G42+AZ43,$F$9+AY43))</f>
        <v/>
      </c>
      <c r="BB43">
        <f>IF(G42&lt;=0,AY43,MAX(0,$F$9+AY43-G42-AZ43))</f>
        <v/>
      </c>
      <c r="BC43">
        <f>IF(H42&lt;=0,0,H42*$E$10/12)</f>
        <v/>
      </c>
      <c r="BD43">
        <f>IF(H42&lt;=0,0,MIN(H42+BC43,$F$10+BB43))</f>
        <v/>
      </c>
      <c r="BE43">
        <f>IF(H42&lt;=0,BB43,MAX(0,$F$10+BB43-H42-BC43))</f>
        <v/>
      </c>
      <c r="BF43">
        <f>IF(I42&lt;=0,0,I42*$E$11/12)</f>
        <v/>
      </c>
      <c r="BG43">
        <f>IF(I42&lt;=0,0,MIN(I42+BF43,$F$11+BE43))</f>
        <v/>
      </c>
      <c r="BH43">
        <f>IF(I42&lt;=0,BE43,MAX(0,$F$11+BE43-I42-BF43))</f>
        <v/>
      </c>
      <c r="BI43">
        <f>IF(J42&lt;=0,0,J42*$E$12/12)</f>
        <v/>
      </c>
      <c r="BJ43">
        <f>IF(J42&lt;=0,0,MIN(J42+BI43,$F$12+BH43))</f>
        <v/>
      </c>
      <c r="BK43">
        <f>IF(J42&lt;=0,BH43,MAX(0,$F$12+BH43-J42-BI43))</f>
        <v/>
      </c>
      <c r="BL43">
        <f>IF(K42&lt;=0,0,K42*$E$13/12)</f>
        <v/>
      </c>
      <c r="BM43">
        <f>IF(K42&lt;=0,0,MIN(K42+BL43,$F$13+BK43))</f>
        <v/>
      </c>
      <c r="BN43">
        <f>IF(K42&lt;=0,BK43,MAX(0,$F$13+BK43-K42-BL43))</f>
        <v/>
      </c>
      <c r="BO43">
        <f>IF(L42&lt;=0,0,L42*$E$14/12)</f>
        <v/>
      </c>
      <c r="BP43">
        <f>IF(L42&lt;=0,0,MIN(L42+BO43,$F$14+BN43))</f>
        <v/>
      </c>
      <c r="BQ43">
        <f>IF(L42&lt;=0,BN43,MAX(0,$F$14+BN43-L42-BO43))</f>
        <v/>
      </c>
      <c r="BR43">
        <f>IF(M42&lt;=0,0,M42*$E$15/12)</f>
        <v/>
      </c>
      <c r="BS43">
        <f>IF(M42&lt;=0,0,MIN(M42+BR43,$F$15+BQ43))</f>
        <v/>
      </c>
      <c r="BT43">
        <f>IF(M42&lt;=0,BQ43,MAX(0,$F$15+BQ43-M42-BR43))</f>
        <v/>
      </c>
      <c r="BU43">
        <f>IF(N42&lt;=0,0,N42*$E$16/12)</f>
        <v/>
      </c>
      <c r="BV43">
        <f>IF(N42&lt;=0,0,MIN(N42+BU43,$F$16+BT43))</f>
        <v/>
      </c>
      <c r="BW43">
        <f>IF(N42&lt;=0,BT43,MAX(0,$F$16+BT43-N42-BU43))</f>
        <v/>
      </c>
      <c r="BX43">
        <f>IF(O42&lt;=0,0,O42*$E$17/12)</f>
        <v/>
      </c>
      <c r="BY43">
        <f>IF(O42&lt;=0,0,MIN(O42+BX43,$F$17+BW43))</f>
        <v/>
      </c>
      <c r="BZ43">
        <f>IF(O42&lt;=0,BW43,MAX(0,$F$17+BW43-O42-BX43))</f>
        <v/>
      </c>
      <c r="CA43">
        <f>IF(P42&lt;=0,0,P42*$E$18/12)</f>
        <v/>
      </c>
      <c r="CB43">
        <f>IF(P42&lt;=0,0,MIN(P42+CA43,$F$18+BZ43))</f>
        <v/>
      </c>
      <c r="CC43">
        <f>IF(P42&lt;=0,BZ43,MAX(0,$F$18+BZ43-P42-CA43))</f>
        <v/>
      </c>
      <c r="CD43">
        <f>IF(Q42&lt;=0,0,Q42*$E$19/12)</f>
        <v/>
      </c>
      <c r="CE43">
        <f>IF(Q42&lt;=0,0,MIN(Q42+CD43,$F$19+CC43))</f>
        <v/>
      </c>
      <c r="CF43">
        <f>IF(Q42&lt;=0,CC43,MAX(0,$F$19+CC43-Q42-CD43))</f>
        <v/>
      </c>
      <c r="CG43">
        <f>IF(R42&lt;=0,0,R42*$E$20/12)</f>
        <v/>
      </c>
      <c r="CH43">
        <f>IF(R42&lt;=0,0,MIN(R42+CG43,$F$20+CF43))</f>
        <v/>
      </c>
      <c r="CI43">
        <f>IF(R42&lt;=0,CF43,MAX(0,$F$20+CF43-R42-CG43))</f>
        <v/>
      </c>
      <c r="CJ43">
        <f>IF(S42&lt;=0,0,S42*$E$21/12)</f>
        <v/>
      </c>
      <c r="CK43">
        <f>IF(S42&lt;=0,0,MIN(S42+CJ43,$F$21+CI43))</f>
        <v/>
      </c>
      <c r="CL43">
        <f>IF(S42&lt;=0,CI43,MAX(0,$F$21+CI43-S42-CJ43))</f>
        <v/>
      </c>
      <c r="CM43">
        <f>IF(T42&lt;=0,0,T42*$E$22/12)</f>
        <v/>
      </c>
      <c r="CN43">
        <f>IF(T42&lt;=0,0,MIN(T42+CM43,$F$22+CL43))</f>
        <v/>
      </c>
      <c r="CO43">
        <f>IF(T42&lt;=0,CL43,MAX(0,$F$22+CL43-T42-CM43))</f>
        <v/>
      </c>
      <c r="CP43">
        <f>IF(U42&lt;=0,0,U42*$E$23/12)</f>
        <v/>
      </c>
      <c r="CQ43">
        <f>IF(U42&lt;=0,0,MIN(U42+CP43,$F$23+CO43))</f>
        <v/>
      </c>
      <c r="CR43">
        <f>IF(U42&lt;=0,CO43,MAX(0,$F$23+CO43-U42-CP43))</f>
        <v/>
      </c>
      <c r="CS43">
        <f>IF(V42&lt;=0,0,V42*$E$24/12)</f>
        <v/>
      </c>
      <c r="CT43">
        <f>IF(V42&lt;=0,0,MIN(V42+CS43,$F$24+CR43))</f>
        <v/>
      </c>
      <c r="CU43">
        <f>IF(V42&lt;=0,CR43,MAX(0,$F$24+CR43-V42-CS43))</f>
        <v/>
      </c>
    </row>
    <row r="44">
      <c r="B44" s="39" t="n">
        <v>18</v>
      </c>
      <c r="C44" s="13">
        <f>IF(C43&lt;=0,0,MAX(0,C43+AN44-AO44))</f>
        <v/>
      </c>
      <c r="D44" s="13">
        <f>IF(D43&lt;=0,0,MAX(0,D43+AQ44-AR44))</f>
        <v/>
      </c>
      <c r="E44" s="13">
        <f>IF(E43&lt;=0,0,MAX(0,E43+AT44-AU44))</f>
        <v/>
      </c>
      <c r="F44" s="13">
        <f>IF(F43&lt;=0,0,MAX(0,F43+AW44-AX44))</f>
        <v/>
      </c>
      <c r="G44" s="13">
        <f>IF(G43&lt;=0,0,MAX(0,G43+AZ44-BA44))</f>
        <v/>
      </c>
      <c r="H44" s="13">
        <f>IF(H43&lt;=0,0,MAX(0,H43+BC44-BD44))</f>
        <v/>
      </c>
      <c r="I44" s="13">
        <f>IF(I43&lt;=0,0,MAX(0,I43+BF44-BG44))</f>
        <v/>
      </c>
      <c r="J44" s="13">
        <f>IF(J43&lt;=0,0,MAX(0,J43+BI44-BJ44))</f>
        <v/>
      </c>
      <c r="K44" s="13">
        <f>IF(K43&lt;=0,0,MAX(0,K43+BL44-BM44))</f>
        <v/>
      </c>
      <c r="L44" s="13">
        <f>IF(L43&lt;=0,0,MAX(0,L43+BO44-BP44))</f>
        <v/>
      </c>
      <c r="M44" s="13">
        <f>IF(M43&lt;=0,0,MAX(0,M43+BR44-BS44))</f>
        <v/>
      </c>
      <c r="N44" s="13">
        <f>IF(N43&lt;=0,0,MAX(0,N43+BU44-BV44))</f>
        <v/>
      </c>
      <c r="O44" s="13">
        <f>IF(O43&lt;=0,0,MAX(0,O43+BX44-BY44))</f>
        <v/>
      </c>
      <c r="P44" s="13">
        <f>IF(P43&lt;=0,0,MAX(0,P43+CA44-CB44))</f>
        <v/>
      </c>
      <c r="Q44" s="13">
        <f>IF(Q43&lt;=0,0,MAX(0,Q43+CD44-CE44))</f>
        <v/>
      </c>
      <c r="R44" s="13">
        <f>IF(R43&lt;=0,0,MAX(0,R43+CG44-CH44))</f>
        <v/>
      </c>
      <c r="S44" s="13">
        <f>IF(S43&lt;=0,0,MAX(0,S43+CJ44-CK44))</f>
        <v/>
      </c>
      <c r="T44" s="13">
        <f>IF(T43&lt;=0,0,MAX(0,T43+CM44-CN44))</f>
        <v/>
      </c>
      <c r="U44" s="13">
        <f>IF(U43&lt;=0,0,MAX(0,U43+CP44-CQ44))</f>
        <v/>
      </c>
      <c r="V44" s="13">
        <f>IF(V43&lt;=0,0,MAX(0,V43+CS44-CT44))</f>
        <v/>
      </c>
      <c r="W44" s="13">
        <f>AO44+AR44+AU44+AX44+BA44+BD44+BG44+BJ44+BM44+BP44+BS44+BV44+BY44+CB44+CE44+CH44+CK44+CN44+CQ44+CT44</f>
        <v/>
      </c>
      <c r="X44" s="13">
        <f>AN44+AQ44+AT44+AW44+AZ44+BC44+BF44+BI44+BL44+BO44+BR44+BU44+BX44+CA44+CD44+CG44+CJ44+CM44+CP44+CS44</f>
        <v/>
      </c>
      <c r="Y44" s="27">
        <f>C44+D44+E44+F44+G44+H44+I44+J44+K44+L44+M44+N44+O44+P44+Q44+R44+S44+T44+U44+V44</f>
        <v/>
      </c>
      <c r="AN44">
        <f>IF(C43&lt;=0,0,C43*$E$5/12)</f>
        <v/>
      </c>
      <c r="AO44">
        <f>IF(C43&lt;=0,0,MIN(C43+AN44,$F$5+(Dashboard!$C$11+IF(C43&lt;=0,$F$5,0)+IF(D43&lt;=0,$F$6,0)+IF(E43&lt;=0,$F$7,0)+IF(F43&lt;=0,$F$8,0)+IF(G43&lt;=0,$F$9,0)+IF(H43&lt;=0,$F$10,0)+IF(I43&lt;=0,$F$11,0)+IF(J43&lt;=0,$F$12,0)+IF(K43&lt;=0,$F$13,0)+IF(L43&lt;=0,$F$14,0)+IF(M43&lt;=0,$F$15,0)+IF(N43&lt;=0,$F$16,0)+IF(O43&lt;=0,$F$17,0)+IF(P43&lt;=0,$F$18,0)+IF(Q43&lt;=0,$F$19,0)+IF(R43&lt;=0,$F$20,0)+IF(S43&lt;=0,$F$21,0)+IF(T43&lt;=0,$F$22,0)+IF(U43&lt;=0,$F$23,0)+IF(V43&lt;=0,$F$24,0))))</f>
        <v/>
      </c>
      <c r="AP44">
        <f>IF(C43&lt;=0,(Dashboard!$C$11+IF(C43&lt;=0,$F$5,0)+IF(D43&lt;=0,$F$6,0)+IF(E43&lt;=0,$F$7,0)+IF(F43&lt;=0,$F$8,0)+IF(G43&lt;=0,$F$9,0)+IF(H43&lt;=0,$F$10,0)+IF(I43&lt;=0,$F$11,0)+IF(J43&lt;=0,$F$12,0)+IF(K43&lt;=0,$F$13,0)+IF(L43&lt;=0,$F$14,0)+IF(M43&lt;=0,$F$15,0)+IF(N43&lt;=0,$F$16,0)+IF(O43&lt;=0,$F$17,0)+IF(P43&lt;=0,$F$18,0)+IF(Q43&lt;=0,$F$19,0)+IF(R43&lt;=0,$F$20,0)+IF(S43&lt;=0,$F$21,0)+IF(T43&lt;=0,$F$22,0)+IF(U43&lt;=0,$F$23,0)+IF(V43&lt;=0,$F$24,0)),MAX(0,$F$5+(Dashboard!$C$11+IF(C43&lt;=0,$F$5,0)+IF(D43&lt;=0,$F$6,0)+IF(E43&lt;=0,$F$7,0)+IF(F43&lt;=0,$F$8,0)+IF(G43&lt;=0,$F$9,0)+IF(H43&lt;=0,$F$10,0)+IF(I43&lt;=0,$F$11,0)+IF(J43&lt;=0,$F$12,0)+IF(K43&lt;=0,$F$13,0)+IF(L43&lt;=0,$F$14,0)+IF(M43&lt;=0,$F$15,0)+IF(N43&lt;=0,$F$16,0)+IF(O43&lt;=0,$F$17,0)+IF(P43&lt;=0,$F$18,0)+IF(Q43&lt;=0,$F$19,0)+IF(R43&lt;=0,$F$20,0)+IF(S43&lt;=0,$F$21,0)+IF(T43&lt;=0,$F$22,0)+IF(U43&lt;=0,$F$23,0)+IF(V43&lt;=0,$F$24,0))-C43-AN44))</f>
        <v/>
      </c>
      <c r="AQ44">
        <f>IF(D43&lt;=0,0,D43*$E$6/12)</f>
        <v/>
      </c>
      <c r="AR44">
        <f>IF(D43&lt;=0,0,MIN(D43+AQ44,$F$6+AP44))</f>
        <v/>
      </c>
      <c r="AS44">
        <f>IF(D43&lt;=0,AP44,MAX(0,$F$6+AP44-D43-AQ44))</f>
        <v/>
      </c>
      <c r="AT44">
        <f>IF(E43&lt;=0,0,E43*$E$7/12)</f>
        <v/>
      </c>
      <c r="AU44">
        <f>IF(E43&lt;=0,0,MIN(E43+AT44,$F$7+AS44))</f>
        <v/>
      </c>
      <c r="AV44">
        <f>IF(E43&lt;=0,AS44,MAX(0,$F$7+AS44-E43-AT44))</f>
        <v/>
      </c>
      <c r="AW44">
        <f>IF(F43&lt;=0,0,F43*$E$8/12)</f>
        <v/>
      </c>
      <c r="AX44">
        <f>IF(F43&lt;=0,0,MIN(F43+AW44,$F$8+AV44))</f>
        <v/>
      </c>
      <c r="AY44">
        <f>IF(F43&lt;=0,AV44,MAX(0,$F$8+AV44-F43-AW44))</f>
        <v/>
      </c>
      <c r="AZ44">
        <f>IF(G43&lt;=0,0,G43*$E$9/12)</f>
        <v/>
      </c>
      <c r="BA44">
        <f>IF(G43&lt;=0,0,MIN(G43+AZ44,$F$9+AY44))</f>
        <v/>
      </c>
      <c r="BB44">
        <f>IF(G43&lt;=0,AY44,MAX(0,$F$9+AY44-G43-AZ44))</f>
        <v/>
      </c>
      <c r="BC44">
        <f>IF(H43&lt;=0,0,H43*$E$10/12)</f>
        <v/>
      </c>
      <c r="BD44">
        <f>IF(H43&lt;=0,0,MIN(H43+BC44,$F$10+BB44))</f>
        <v/>
      </c>
      <c r="BE44">
        <f>IF(H43&lt;=0,BB44,MAX(0,$F$10+BB44-H43-BC44))</f>
        <v/>
      </c>
      <c r="BF44">
        <f>IF(I43&lt;=0,0,I43*$E$11/12)</f>
        <v/>
      </c>
      <c r="BG44">
        <f>IF(I43&lt;=0,0,MIN(I43+BF44,$F$11+BE44))</f>
        <v/>
      </c>
      <c r="BH44">
        <f>IF(I43&lt;=0,BE44,MAX(0,$F$11+BE44-I43-BF44))</f>
        <v/>
      </c>
      <c r="BI44">
        <f>IF(J43&lt;=0,0,J43*$E$12/12)</f>
        <v/>
      </c>
      <c r="BJ44">
        <f>IF(J43&lt;=0,0,MIN(J43+BI44,$F$12+BH44))</f>
        <v/>
      </c>
      <c r="BK44">
        <f>IF(J43&lt;=0,BH44,MAX(0,$F$12+BH44-J43-BI44))</f>
        <v/>
      </c>
      <c r="BL44">
        <f>IF(K43&lt;=0,0,K43*$E$13/12)</f>
        <v/>
      </c>
      <c r="BM44">
        <f>IF(K43&lt;=0,0,MIN(K43+BL44,$F$13+BK44))</f>
        <v/>
      </c>
      <c r="BN44">
        <f>IF(K43&lt;=0,BK44,MAX(0,$F$13+BK44-K43-BL44))</f>
        <v/>
      </c>
      <c r="BO44">
        <f>IF(L43&lt;=0,0,L43*$E$14/12)</f>
        <v/>
      </c>
      <c r="BP44">
        <f>IF(L43&lt;=0,0,MIN(L43+BO44,$F$14+BN44))</f>
        <v/>
      </c>
      <c r="BQ44">
        <f>IF(L43&lt;=0,BN44,MAX(0,$F$14+BN44-L43-BO44))</f>
        <v/>
      </c>
      <c r="BR44">
        <f>IF(M43&lt;=0,0,M43*$E$15/12)</f>
        <v/>
      </c>
      <c r="BS44">
        <f>IF(M43&lt;=0,0,MIN(M43+BR44,$F$15+BQ44))</f>
        <v/>
      </c>
      <c r="BT44">
        <f>IF(M43&lt;=0,BQ44,MAX(0,$F$15+BQ44-M43-BR44))</f>
        <v/>
      </c>
      <c r="BU44">
        <f>IF(N43&lt;=0,0,N43*$E$16/12)</f>
        <v/>
      </c>
      <c r="BV44">
        <f>IF(N43&lt;=0,0,MIN(N43+BU44,$F$16+BT44))</f>
        <v/>
      </c>
      <c r="BW44">
        <f>IF(N43&lt;=0,BT44,MAX(0,$F$16+BT44-N43-BU44))</f>
        <v/>
      </c>
      <c r="BX44">
        <f>IF(O43&lt;=0,0,O43*$E$17/12)</f>
        <v/>
      </c>
      <c r="BY44">
        <f>IF(O43&lt;=0,0,MIN(O43+BX44,$F$17+BW44))</f>
        <v/>
      </c>
      <c r="BZ44">
        <f>IF(O43&lt;=0,BW44,MAX(0,$F$17+BW44-O43-BX44))</f>
        <v/>
      </c>
      <c r="CA44">
        <f>IF(P43&lt;=0,0,P43*$E$18/12)</f>
        <v/>
      </c>
      <c r="CB44">
        <f>IF(P43&lt;=0,0,MIN(P43+CA44,$F$18+BZ44))</f>
        <v/>
      </c>
      <c r="CC44">
        <f>IF(P43&lt;=0,BZ44,MAX(0,$F$18+BZ44-P43-CA44))</f>
        <v/>
      </c>
      <c r="CD44">
        <f>IF(Q43&lt;=0,0,Q43*$E$19/12)</f>
        <v/>
      </c>
      <c r="CE44">
        <f>IF(Q43&lt;=0,0,MIN(Q43+CD44,$F$19+CC44))</f>
        <v/>
      </c>
      <c r="CF44">
        <f>IF(Q43&lt;=0,CC44,MAX(0,$F$19+CC44-Q43-CD44))</f>
        <v/>
      </c>
      <c r="CG44">
        <f>IF(R43&lt;=0,0,R43*$E$20/12)</f>
        <v/>
      </c>
      <c r="CH44">
        <f>IF(R43&lt;=0,0,MIN(R43+CG44,$F$20+CF44))</f>
        <v/>
      </c>
      <c r="CI44">
        <f>IF(R43&lt;=0,CF44,MAX(0,$F$20+CF44-R43-CG44))</f>
        <v/>
      </c>
      <c r="CJ44">
        <f>IF(S43&lt;=0,0,S43*$E$21/12)</f>
        <v/>
      </c>
      <c r="CK44">
        <f>IF(S43&lt;=0,0,MIN(S43+CJ44,$F$21+CI44))</f>
        <v/>
      </c>
      <c r="CL44">
        <f>IF(S43&lt;=0,CI44,MAX(0,$F$21+CI44-S43-CJ44))</f>
        <v/>
      </c>
      <c r="CM44">
        <f>IF(T43&lt;=0,0,T43*$E$22/12)</f>
        <v/>
      </c>
      <c r="CN44">
        <f>IF(T43&lt;=0,0,MIN(T43+CM44,$F$22+CL44))</f>
        <v/>
      </c>
      <c r="CO44">
        <f>IF(T43&lt;=0,CL44,MAX(0,$F$22+CL44-T43-CM44))</f>
        <v/>
      </c>
      <c r="CP44">
        <f>IF(U43&lt;=0,0,U43*$E$23/12)</f>
        <v/>
      </c>
      <c r="CQ44">
        <f>IF(U43&lt;=0,0,MIN(U43+CP44,$F$23+CO44))</f>
        <v/>
      </c>
      <c r="CR44">
        <f>IF(U43&lt;=0,CO44,MAX(0,$F$23+CO44-U43-CP44))</f>
        <v/>
      </c>
      <c r="CS44">
        <f>IF(V43&lt;=0,0,V43*$E$24/12)</f>
        <v/>
      </c>
      <c r="CT44">
        <f>IF(V43&lt;=0,0,MIN(V43+CS44,$F$24+CR44))</f>
        <v/>
      </c>
      <c r="CU44">
        <f>IF(V43&lt;=0,CR44,MAX(0,$F$24+CR44-V43-CS44))</f>
        <v/>
      </c>
    </row>
    <row r="45">
      <c r="B45" s="39" t="n">
        <v>19</v>
      </c>
      <c r="C45" s="13">
        <f>IF(C44&lt;=0,0,MAX(0,C44+AN45-AO45))</f>
        <v/>
      </c>
      <c r="D45" s="13">
        <f>IF(D44&lt;=0,0,MAX(0,D44+AQ45-AR45))</f>
        <v/>
      </c>
      <c r="E45" s="13">
        <f>IF(E44&lt;=0,0,MAX(0,E44+AT45-AU45))</f>
        <v/>
      </c>
      <c r="F45" s="13">
        <f>IF(F44&lt;=0,0,MAX(0,F44+AW45-AX45))</f>
        <v/>
      </c>
      <c r="G45" s="13">
        <f>IF(G44&lt;=0,0,MAX(0,G44+AZ45-BA45))</f>
        <v/>
      </c>
      <c r="H45" s="13">
        <f>IF(H44&lt;=0,0,MAX(0,H44+BC45-BD45))</f>
        <v/>
      </c>
      <c r="I45" s="13">
        <f>IF(I44&lt;=0,0,MAX(0,I44+BF45-BG45))</f>
        <v/>
      </c>
      <c r="J45" s="13">
        <f>IF(J44&lt;=0,0,MAX(0,J44+BI45-BJ45))</f>
        <v/>
      </c>
      <c r="K45" s="13">
        <f>IF(K44&lt;=0,0,MAX(0,K44+BL45-BM45))</f>
        <v/>
      </c>
      <c r="L45" s="13">
        <f>IF(L44&lt;=0,0,MAX(0,L44+BO45-BP45))</f>
        <v/>
      </c>
      <c r="M45" s="13">
        <f>IF(M44&lt;=0,0,MAX(0,M44+BR45-BS45))</f>
        <v/>
      </c>
      <c r="N45" s="13">
        <f>IF(N44&lt;=0,0,MAX(0,N44+BU45-BV45))</f>
        <v/>
      </c>
      <c r="O45" s="13">
        <f>IF(O44&lt;=0,0,MAX(0,O44+BX45-BY45))</f>
        <v/>
      </c>
      <c r="P45" s="13">
        <f>IF(P44&lt;=0,0,MAX(0,P44+CA45-CB45))</f>
        <v/>
      </c>
      <c r="Q45" s="13">
        <f>IF(Q44&lt;=0,0,MAX(0,Q44+CD45-CE45))</f>
        <v/>
      </c>
      <c r="R45" s="13">
        <f>IF(R44&lt;=0,0,MAX(0,R44+CG45-CH45))</f>
        <v/>
      </c>
      <c r="S45" s="13">
        <f>IF(S44&lt;=0,0,MAX(0,S44+CJ45-CK45))</f>
        <v/>
      </c>
      <c r="T45" s="13">
        <f>IF(T44&lt;=0,0,MAX(0,T44+CM45-CN45))</f>
        <v/>
      </c>
      <c r="U45" s="13">
        <f>IF(U44&lt;=0,0,MAX(0,U44+CP45-CQ45))</f>
        <v/>
      </c>
      <c r="V45" s="13">
        <f>IF(V44&lt;=0,0,MAX(0,V44+CS45-CT45))</f>
        <v/>
      </c>
      <c r="W45" s="13">
        <f>AO45+AR45+AU45+AX45+BA45+BD45+BG45+BJ45+BM45+BP45+BS45+BV45+BY45+CB45+CE45+CH45+CK45+CN45+CQ45+CT45</f>
        <v/>
      </c>
      <c r="X45" s="13">
        <f>AN45+AQ45+AT45+AW45+AZ45+BC45+BF45+BI45+BL45+BO45+BR45+BU45+BX45+CA45+CD45+CG45+CJ45+CM45+CP45+CS45</f>
        <v/>
      </c>
      <c r="Y45" s="27">
        <f>C45+D45+E45+F45+G45+H45+I45+J45+K45+L45+M45+N45+O45+P45+Q45+R45+S45+T45+U45+V45</f>
        <v/>
      </c>
      <c r="AN45">
        <f>IF(C44&lt;=0,0,C44*$E$5/12)</f>
        <v/>
      </c>
      <c r="AO45">
        <f>IF(C44&lt;=0,0,MIN(C44+AN45,$F$5+(Dashboard!$C$11+IF(C44&lt;=0,$F$5,0)+IF(D44&lt;=0,$F$6,0)+IF(E44&lt;=0,$F$7,0)+IF(F44&lt;=0,$F$8,0)+IF(G44&lt;=0,$F$9,0)+IF(H44&lt;=0,$F$10,0)+IF(I44&lt;=0,$F$11,0)+IF(J44&lt;=0,$F$12,0)+IF(K44&lt;=0,$F$13,0)+IF(L44&lt;=0,$F$14,0)+IF(M44&lt;=0,$F$15,0)+IF(N44&lt;=0,$F$16,0)+IF(O44&lt;=0,$F$17,0)+IF(P44&lt;=0,$F$18,0)+IF(Q44&lt;=0,$F$19,0)+IF(R44&lt;=0,$F$20,0)+IF(S44&lt;=0,$F$21,0)+IF(T44&lt;=0,$F$22,0)+IF(U44&lt;=0,$F$23,0)+IF(V44&lt;=0,$F$24,0))))</f>
        <v/>
      </c>
      <c r="AP45">
        <f>IF(C44&lt;=0,(Dashboard!$C$11+IF(C44&lt;=0,$F$5,0)+IF(D44&lt;=0,$F$6,0)+IF(E44&lt;=0,$F$7,0)+IF(F44&lt;=0,$F$8,0)+IF(G44&lt;=0,$F$9,0)+IF(H44&lt;=0,$F$10,0)+IF(I44&lt;=0,$F$11,0)+IF(J44&lt;=0,$F$12,0)+IF(K44&lt;=0,$F$13,0)+IF(L44&lt;=0,$F$14,0)+IF(M44&lt;=0,$F$15,0)+IF(N44&lt;=0,$F$16,0)+IF(O44&lt;=0,$F$17,0)+IF(P44&lt;=0,$F$18,0)+IF(Q44&lt;=0,$F$19,0)+IF(R44&lt;=0,$F$20,0)+IF(S44&lt;=0,$F$21,0)+IF(T44&lt;=0,$F$22,0)+IF(U44&lt;=0,$F$23,0)+IF(V44&lt;=0,$F$24,0)),MAX(0,$F$5+(Dashboard!$C$11+IF(C44&lt;=0,$F$5,0)+IF(D44&lt;=0,$F$6,0)+IF(E44&lt;=0,$F$7,0)+IF(F44&lt;=0,$F$8,0)+IF(G44&lt;=0,$F$9,0)+IF(H44&lt;=0,$F$10,0)+IF(I44&lt;=0,$F$11,0)+IF(J44&lt;=0,$F$12,0)+IF(K44&lt;=0,$F$13,0)+IF(L44&lt;=0,$F$14,0)+IF(M44&lt;=0,$F$15,0)+IF(N44&lt;=0,$F$16,0)+IF(O44&lt;=0,$F$17,0)+IF(P44&lt;=0,$F$18,0)+IF(Q44&lt;=0,$F$19,0)+IF(R44&lt;=0,$F$20,0)+IF(S44&lt;=0,$F$21,0)+IF(T44&lt;=0,$F$22,0)+IF(U44&lt;=0,$F$23,0)+IF(V44&lt;=0,$F$24,0))-C44-AN45))</f>
        <v/>
      </c>
      <c r="AQ45">
        <f>IF(D44&lt;=0,0,D44*$E$6/12)</f>
        <v/>
      </c>
      <c r="AR45">
        <f>IF(D44&lt;=0,0,MIN(D44+AQ45,$F$6+AP45))</f>
        <v/>
      </c>
      <c r="AS45">
        <f>IF(D44&lt;=0,AP45,MAX(0,$F$6+AP45-D44-AQ45))</f>
        <v/>
      </c>
      <c r="AT45">
        <f>IF(E44&lt;=0,0,E44*$E$7/12)</f>
        <v/>
      </c>
      <c r="AU45">
        <f>IF(E44&lt;=0,0,MIN(E44+AT45,$F$7+AS45))</f>
        <v/>
      </c>
      <c r="AV45">
        <f>IF(E44&lt;=0,AS45,MAX(0,$F$7+AS45-E44-AT45))</f>
        <v/>
      </c>
      <c r="AW45">
        <f>IF(F44&lt;=0,0,F44*$E$8/12)</f>
        <v/>
      </c>
      <c r="AX45">
        <f>IF(F44&lt;=0,0,MIN(F44+AW45,$F$8+AV45))</f>
        <v/>
      </c>
      <c r="AY45">
        <f>IF(F44&lt;=0,AV45,MAX(0,$F$8+AV45-F44-AW45))</f>
        <v/>
      </c>
      <c r="AZ45">
        <f>IF(G44&lt;=0,0,G44*$E$9/12)</f>
        <v/>
      </c>
      <c r="BA45">
        <f>IF(G44&lt;=0,0,MIN(G44+AZ45,$F$9+AY45))</f>
        <v/>
      </c>
      <c r="BB45">
        <f>IF(G44&lt;=0,AY45,MAX(0,$F$9+AY45-G44-AZ45))</f>
        <v/>
      </c>
      <c r="BC45">
        <f>IF(H44&lt;=0,0,H44*$E$10/12)</f>
        <v/>
      </c>
      <c r="BD45">
        <f>IF(H44&lt;=0,0,MIN(H44+BC45,$F$10+BB45))</f>
        <v/>
      </c>
      <c r="BE45">
        <f>IF(H44&lt;=0,BB45,MAX(0,$F$10+BB45-H44-BC45))</f>
        <v/>
      </c>
      <c r="BF45">
        <f>IF(I44&lt;=0,0,I44*$E$11/12)</f>
        <v/>
      </c>
      <c r="BG45">
        <f>IF(I44&lt;=0,0,MIN(I44+BF45,$F$11+BE45))</f>
        <v/>
      </c>
      <c r="BH45">
        <f>IF(I44&lt;=0,BE45,MAX(0,$F$11+BE45-I44-BF45))</f>
        <v/>
      </c>
      <c r="BI45">
        <f>IF(J44&lt;=0,0,J44*$E$12/12)</f>
        <v/>
      </c>
      <c r="BJ45">
        <f>IF(J44&lt;=0,0,MIN(J44+BI45,$F$12+BH45))</f>
        <v/>
      </c>
      <c r="BK45">
        <f>IF(J44&lt;=0,BH45,MAX(0,$F$12+BH45-J44-BI45))</f>
        <v/>
      </c>
      <c r="BL45">
        <f>IF(K44&lt;=0,0,K44*$E$13/12)</f>
        <v/>
      </c>
      <c r="BM45">
        <f>IF(K44&lt;=0,0,MIN(K44+BL45,$F$13+BK45))</f>
        <v/>
      </c>
      <c r="BN45">
        <f>IF(K44&lt;=0,BK45,MAX(0,$F$13+BK45-K44-BL45))</f>
        <v/>
      </c>
      <c r="BO45">
        <f>IF(L44&lt;=0,0,L44*$E$14/12)</f>
        <v/>
      </c>
      <c r="BP45">
        <f>IF(L44&lt;=0,0,MIN(L44+BO45,$F$14+BN45))</f>
        <v/>
      </c>
      <c r="BQ45">
        <f>IF(L44&lt;=0,BN45,MAX(0,$F$14+BN45-L44-BO45))</f>
        <v/>
      </c>
      <c r="BR45">
        <f>IF(M44&lt;=0,0,M44*$E$15/12)</f>
        <v/>
      </c>
      <c r="BS45">
        <f>IF(M44&lt;=0,0,MIN(M44+BR45,$F$15+BQ45))</f>
        <v/>
      </c>
      <c r="BT45">
        <f>IF(M44&lt;=0,BQ45,MAX(0,$F$15+BQ45-M44-BR45))</f>
        <v/>
      </c>
      <c r="BU45">
        <f>IF(N44&lt;=0,0,N44*$E$16/12)</f>
        <v/>
      </c>
      <c r="BV45">
        <f>IF(N44&lt;=0,0,MIN(N44+BU45,$F$16+BT45))</f>
        <v/>
      </c>
      <c r="BW45">
        <f>IF(N44&lt;=0,BT45,MAX(0,$F$16+BT45-N44-BU45))</f>
        <v/>
      </c>
      <c r="BX45">
        <f>IF(O44&lt;=0,0,O44*$E$17/12)</f>
        <v/>
      </c>
      <c r="BY45">
        <f>IF(O44&lt;=0,0,MIN(O44+BX45,$F$17+BW45))</f>
        <v/>
      </c>
      <c r="BZ45">
        <f>IF(O44&lt;=0,BW45,MAX(0,$F$17+BW45-O44-BX45))</f>
        <v/>
      </c>
      <c r="CA45">
        <f>IF(P44&lt;=0,0,P44*$E$18/12)</f>
        <v/>
      </c>
      <c r="CB45">
        <f>IF(P44&lt;=0,0,MIN(P44+CA45,$F$18+BZ45))</f>
        <v/>
      </c>
      <c r="CC45">
        <f>IF(P44&lt;=0,BZ45,MAX(0,$F$18+BZ45-P44-CA45))</f>
        <v/>
      </c>
      <c r="CD45">
        <f>IF(Q44&lt;=0,0,Q44*$E$19/12)</f>
        <v/>
      </c>
      <c r="CE45">
        <f>IF(Q44&lt;=0,0,MIN(Q44+CD45,$F$19+CC45))</f>
        <v/>
      </c>
      <c r="CF45">
        <f>IF(Q44&lt;=0,CC45,MAX(0,$F$19+CC45-Q44-CD45))</f>
        <v/>
      </c>
      <c r="CG45">
        <f>IF(R44&lt;=0,0,R44*$E$20/12)</f>
        <v/>
      </c>
      <c r="CH45">
        <f>IF(R44&lt;=0,0,MIN(R44+CG45,$F$20+CF45))</f>
        <v/>
      </c>
      <c r="CI45">
        <f>IF(R44&lt;=0,CF45,MAX(0,$F$20+CF45-R44-CG45))</f>
        <v/>
      </c>
      <c r="CJ45">
        <f>IF(S44&lt;=0,0,S44*$E$21/12)</f>
        <v/>
      </c>
      <c r="CK45">
        <f>IF(S44&lt;=0,0,MIN(S44+CJ45,$F$21+CI45))</f>
        <v/>
      </c>
      <c r="CL45">
        <f>IF(S44&lt;=0,CI45,MAX(0,$F$21+CI45-S44-CJ45))</f>
        <v/>
      </c>
      <c r="CM45">
        <f>IF(T44&lt;=0,0,T44*$E$22/12)</f>
        <v/>
      </c>
      <c r="CN45">
        <f>IF(T44&lt;=0,0,MIN(T44+CM45,$F$22+CL45))</f>
        <v/>
      </c>
      <c r="CO45">
        <f>IF(T44&lt;=0,CL45,MAX(0,$F$22+CL45-T44-CM45))</f>
        <v/>
      </c>
      <c r="CP45">
        <f>IF(U44&lt;=0,0,U44*$E$23/12)</f>
        <v/>
      </c>
      <c r="CQ45">
        <f>IF(U44&lt;=0,0,MIN(U44+CP45,$F$23+CO45))</f>
        <v/>
      </c>
      <c r="CR45">
        <f>IF(U44&lt;=0,CO45,MAX(0,$F$23+CO45-U44-CP45))</f>
        <v/>
      </c>
      <c r="CS45">
        <f>IF(V44&lt;=0,0,V44*$E$24/12)</f>
        <v/>
      </c>
      <c r="CT45">
        <f>IF(V44&lt;=0,0,MIN(V44+CS45,$F$24+CR45))</f>
        <v/>
      </c>
      <c r="CU45">
        <f>IF(V44&lt;=0,CR45,MAX(0,$F$24+CR45-V44-CS45))</f>
        <v/>
      </c>
    </row>
    <row r="46">
      <c r="B46" s="39" t="n">
        <v>20</v>
      </c>
      <c r="C46" s="13">
        <f>IF(C45&lt;=0,0,MAX(0,C45+AN46-AO46))</f>
        <v/>
      </c>
      <c r="D46" s="13">
        <f>IF(D45&lt;=0,0,MAX(0,D45+AQ46-AR46))</f>
        <v/>
      </c>
      <c r="E46" s="13">
        <f>IF(E45&lt;=0,0,MAX(0,E45+AT46-AU46))</f>
        <v/>
      </c>
      <c r="F46" s="13">
        <f>IF(F45&lt;=0,0,MAX(0,F45+AW46-AX46))</f>
        <v/>
      </c>
      <c r="G46" s="13">
        <f>IF(G45&lt;=0,0,MAX(0,G45+AZ46-BA46))</f>
        <v/>
      </c>
      <c r="H46" s="13">
        <f>IF(H45&lt;=0,0,MAX(0,H45+BC46-BD46))</f>
        <v/>
      </c>
      <c r="I46" s="13">
        <f>IF(I45&lt;=0,0,MAX(0,I45+BF46-BG46))</f>
        <v/>
      </c>
      <c r="J46" s="13">
        <f>IF(J45&lt;=0,0,MAX(0,J45+BI46-BJ46))</f>
        <v/>
      </c>
      <c r="K46" s="13">
        <f>IF(K45&lt;=0,0,MAX(0,K45+BL46-BM46))</f>
        <v/>
      </c>
      <c r="L46" s="13">
        <f>IF(L45&lt;=0,0,MAX(0,L45+BO46-BP46))</f>
        <v/>
      </c>
      <c r="M46" s="13">
        <f>IF(M45&lt;=0,0,MAX(0,M45+BR46-BS46))</f>
        <v/>
      </c>
      <c r="N46" s="13">
        <f>IF(N45&lt;=0,0,MAX(0,N45+BU46-BV46))</f>
        <v/>
      </c>
      <c r="O46" s="13">
        <f>IF(O45&lt;=0,0,MAX(0,O45+BX46-BY46))</f>
        <v/>
      </c>
      <c r="P46" s="13">
        <f>IF(P45&lt;=0,0,MAX(0,P45+CA46-CB46))</f>
        <v/>
      </c>
      <c r="Q46" s="13">
        <f>IF(Q45&lt;=0,0,MAX(0,Q45+CD46-CE46))</f>
        <v/>
      </c>
      <c r="R46" s="13">
        <f>IF(R45&lt;=0,0,MAX(0,R45+CG46-CH46))</f>
        <v/>
      </c>
      <c r="S46" s="13">
        <f>IF(S45&lt;=0,0,MAX(0,S45+CJ46-CK46))</f>
        <v/>
      </c>
      <c r="T46" s="13">
        <f>IF(T45&lt;=0,0,MAX(0,T45+CM46-CN46))</f>
        <v/>
      </c>
      <c r="U46" s="13">
        <f>IF(U45&lt;=0,0,MAX(0,U45+CP46-CQ46))</f>
        <v/>
      </c>
      <c r="V46" s="13">
        <f>IF(V45&lt;=0,0,MAX(0,V45+CS46-CT46))</f>
        <v/>
      </c>
      <c r="W46" s="13">
        <f>AO46+AR46+AU46+AX46+BA46+BD46+BG46+BJ46+BM46+BP46+BS46+BV46+BY46+CB46+CE46+CH46+CK46+CN46+CQ46+CT46</f>
        <v/>
      </c>
      <c r="X46" s="13">
        <f>AN46+AQ46+AT46+AW46+AZ46+BC46+BF46+BI46+BL46+BO46+BR46+BU46+BX46+CA46+CD46+CG46+CJ46+CM46+CP46+CS46</f>
        <v/>
      </c>
      <c r="Y46" s="27">
        <f>C46+D46+E46+F46+G46+H46+I46+J46+K46+L46+M46+N46+O46+P46+Q46+R46+S46+T46+U46+V46</f>
        <v/>
      </c>
      <c r="AN46">
        <f>IF(C45&lt;=0,0,C45*$E$5/12)</f>
        <v/>
      </c>
      <c r="AO46">
        <f>IF(C45&lt;=0,0,MIN(C45+AN46,$F$5+(Dashboard!$C$11+IF(C45&lt;=0,$F$5,0)+IF(D45&lt;=0,$F$6,0)+IF(E45&lt;=0,$F$7,0)+IF(F45&lt;=0,$F$8,0)+IF(G45&lt;=0,$F$9,0)+IF(H45&lt;=0,$F$10,0)+IF(I45&lt;=0,$F$11,0)+IF(J45&lt;=0,$F$12,0)+IF(K45&lt;=0,$F$13,0)+IF(L45&lt;=0,$F$14,0)+IF(M45&lt;=0,$F$15,0)+IF(N45&lt;=0,$F$16,0)+IF(O45&lt;=0,$F$17,0)+IF(P45&lt;=0,$F$18,0)+IF(Q45&lt;=0,$F$19,0)+IF(R45&lt;=0,$F$20,0)+IF(S45&lt;=0,$F$21,0)+IF(T45&lt;=0,$F$22,0)+IF(U45&lt;=0,$F$23,0)+IF(V45&lt;=0,$F$24,0))))</f>
        <v/>
      </c>
      <c r="AP46">
        <f>IF(C45&lt;=0,(Dashboard!$C$11+IF(C45&lt;=0,$F$5,0)+IF(D45&lt;=0,$F$6,0)+IF(E45&lt;=0,$F$7,0)+IF(F45&lt;=0,$F$8,0)+IF(G45&lt;=0,$F$9,0)+IF(H45&lt;=0,$F$10,0)+IF(I45&lt;=0,$F$11,0)+IF(J45&lt;=0,$F$12,0)+IF(K45&lt;=0,$F$13,0)+IF(L45&lt;=0,$F$14,0)+IF(M45&lt;=0,$F$15,0)+IF(N45&lt;=0,$F$16,0)+IF(O45&lt;=0,$F$17,0)+IF(P45&lt;=0,$F$18,0)+IF(Q45&lt;=0,$F$19,0)+IF(R45&lt;=0,$F$20,0)+IF(S45&lt;=0,$F$21,0)+IF(T45&lt;=0,$F$22,0)+IF(U45&lt;=0,$F$23,0)+IF(V45&lt;=0,$F$24,0)),MAX(0,$F$5+(Dashboard!$C$11+IF(C45&lt;=0,$F$5,0)+IF(D45&lt;=0,$F$6,0)+IF(E45&lt;=0,$F$7,0)+IF(F45&lt;=0,$F$8,0)+IF(G45&lt;=0,$F$9,0)+IF(H45&lt;=0,$F$10,0)+IF(I45&lt;=0,$F$11,0)+IF(J45&lt;=0,$F$12,0)+IF(K45&lt;=0,$F$13,0)+IF(L45&lt;=0,$F$14,0)+IF(M45&lt;=0,$F$15,0)+IF(N45&lt;=0,$F$16,0)+IF(O45&lt;=0,$F$17,0)+IF(P45&lt;=0,$F$18,0)+IF(Q45&lt;=0,$F$19,0)+IF(R45&lt;=0,$F$20,0)+IF(S45&lt;=0,$F$21,0)+IF(T45&lt;=0,$F$22,0)+IF(U45&lt;=0,$F$23,0)+IF(V45&lt;=0,$F$24,0))-C45-AN46))</f>
        <v/>
      </c>
      <c r="AQ46">
        <f>IF(D45&lt;=0,0,D45*$E$6/12)</f>
        <v/>
      </c>
      <c r="AR46">
        <f>IF(D45&lt;=0,0,MIN(D45+AQ46,$F$6+AP46))</f>
        <v/>
      </c>
      <c r="AS46">
        <f>IF(D45&lt;=0,AP46,MAX(0,$F$6+AP46-D45-AQ46))</f>
        <v/>
      </c>
      <c r="AT46">
        <f>IF(E45&lt;=0,0,E45*$E$7/12)</f>
        <v/>
      </c>
      <c r="AU46">
        <f>IF(E45&lt;=0,0,MIN(E45+AT46,$F$7+AS46))</f>
        <v/>
      </c>
      <c r="AV46">
        <f>IF(E45&lt;=0,AS46,MAX(0,$F$7+AS46-E45-AT46))</f>
        <v/>
      </c>
      <c r="AW46">
        <f>IF(F45&lt;=0,0,F45*$E$8/12)</f>
        <v/>
      </c>
      <c r="AX46">
        <f>IF(F45&lt;=0,0,MIN(F45+AW46,$F$8+AV46))</f>
        <v/>
      </c>
      <c r="AY46">
        <f>IF(F45&lt;=0,AV46,MAX(0,$F$8+AV46-F45-AW46))</f>
        <v/>
      </c>
      <c r="AZ46">
        <f>IF(G45&lt;=0,0,G45*$E$9/12)</f>
        <v/>
      </c>
      <c r="BA46">
        <f>IF(G45&lt;=0,0,MIN(G45+AZ46,$F$9+AY46))</f>
        <v/>
      </c>
      <c r="BB46">
        <f>IF(G45&lt;=0,AY46,MAX(0,$F$9+AY46-G45-AZ46))</f>
        <v/>
      </c>
      <c r="BC46">
        <f>IF(H45&lt;=0,0,H45*$E$10/12)</f>
        <v/>
      </c>
      <c r="BD46">
        <f>IF(H45&lt;=0,0,MIN(H45+BC46,$F$10+BB46))</f>
        <v/>
      </c>
      <c r="BE46">
        <f>IF(H45&lt;=0,BB46,MAX(0,$F$10+BB46-H45-BC46))</f>
        <v/>
      </c>
      <c r="BF46">
        <f>IF(I45&lt;=0,0,I45*$E$11/12)</f>
        <v/>
      </c>
      <c r="BG46">
        <f>IF(I45&lt;=0,0,MIN(I45+BF46,$F$11+BE46))</f>
        <v/>
      </c>
      <c r="BH46">
        <f>IF(I45&lt;=0,BE46,MAX(0,$F$11+BE46-I45-BF46))</f>
        <v/>
      </c>
      <c r="BI46">
        <f>IF(J45&lt;=0,0,J45*$E$12/12)</f>
        <v/>
      </c>
      <c r="BJ46">
        <f>IF(J45&lt;=0,0,MIN(J45+BI46,$F$12+BH46))</f>
        <v/>
      </c>
      <c r="BK46">
        <f>IF(J45&lt;=0,BH46,MAX(0,$F$12+BH46-J45-BI46))</f>
        <v/>
      </c>
      <c r="BL46">
        <f>IF(K45&lt;=0,0,K45*$E$13/12)</f>
        <v/>
      </c>
      <c r="BM46">
        <f>IF(K45&lt;=0,0,MIN(K45+BL46,$F$13+BK46))</f>
        <v/>
      </c>
      <c r="BN46">
        <f>IF(K45&lt;=0,BK46,MAX(0,$F$13+BK46-K45-BL46))</f>
        <v/>
      </c>
      <c r="BO46">
        <f>IF(L45&lt;=0,0,L45*$E$14/12)</f>
        <v/>
      </c>
      <c r="BP46">
        <f>IF(L45&lt;=0,0,MIN(L45+BO46,$F$14+BN46))</f>
        <v/>
      </c>
      <c r="BQ46">
        <f>IF(L45&lt;=0,BN46,MAX(0,$F$14+BN46-L45-BO46))</f>
        <v/>
      </c>
      <c r="BR46">
        <f>IF(M45&lt;=0,0,M45*$E$15/12)</f>
        <v/>
      </c>
      <c r="BS46">
        <f>IF(M45&lt;=0,0,MIN(M45+BR46,$F$15+BQ46))</f>
        <v/>
      </c>
      <c r="BT46">
        <f>IF(M45&lt;=0,BQ46,MAX(0,$F$15+BQ46-M45-BR46))</f>
        <v/>
      </c>
      <c r="BU46">
        <f>IF(N45&lt;=0,0,N45*$E$16/12)</f>
        <v/>
      </c>
      <c r="BV46">
        <f>IF(N45&lt;=0,0,MIN(N45+BU46,$F$16+BT46))</f>
        <v/>
      </c>
      <c r="BW46">
        <f>IF(N45&lt;=0,BT46,MAX(0,$F$16+BT46-N45-BU46))</f>
        <v/>
      </c>
      <c r="BX46">
        <f>IF(O45&lt;=0,0,O45*$E$17/12)</f>
        <v/>
      </c>
      <c r="BY46">
        <f>IF(O45&lt;=0,0,MIN(O45+BX46,$F$17+BW46))</f>
        <v/>
      </c>
      <c r="BZ46">
        <f>IF(O45&lt;=0,BW46,MAX(0,$F$17+BW46-O45-BX46))</f>
        <v/>
      </c>
      <c r="CA46">
        <f>IF(P45&lt;=0,0,P45*$E$18/12)</f>
        <v/>
      </c>
      <c r="CB46">
        <f>IF(P45&lt;=0,0,MIN(P45+CA46,$F$18+BZ46))</f>
        <v/>
      </c>
      <c r="CC46">
        <f>IF(P45&lt;=0,BZ46,MAX(0,$F$18+BZ46-P45-CA46))</f>
        <v/>
      </c>
      <c r="CD46">
        <f>IF(Q45&lt;=0,0,Q45*$E$19/12)</f>
        <v/>
      </c>
      <c r="CE46">
        <f>IF(Q45&lt;=0,0,MIN(Q45+CD46,$F$19+CC46))</f>
        <v/>
      </c>
      <c r="CF46">
        <f>IF(Q45&lt;=0,CC46,MAX(0,$F$19+CC46-Q45-CD46))</f>
        <v/>
      </c>
      <c r="CG46">
        <f>IF(R45&lt;=0,0,R45*$E$20/12)</f>
        <v/>
      </c>
      <c r="CH46">
        <f>IF(R45&lt;=0,0,MIN(R45+CG46,$F$20+CF46))</f>
        <v/>
      </c>
      <c r="CI46">
        <f>IF(R45&lt;=0,CF46,MAX(0,$F$20+CF46-R45-CG46))</f>
        <v/>
      </c>
      <c r="CJ46">
        <f>IF(S45&lt;=0,0,S45*$E$21/12)</f>
        <v/>
      </c>
      <c r="CK46">
        <f>IF(S45&lt;=0,0,MIN(S45+CJ46,$F$21+CI46))</f>
        <v/>
      </c>
      <c r="CL46">
        <f>IF(S45&lt;=0,CI46,MAX(0,$F$21+CI46-S45-CJ46))</f>
        <v/>
      </c>
      <c r="CM46">
        <f>IF(T45&lt;=0,0,T45*$E$22/12)</f>
        <v/>
      </c>
      <c r="CN46">
        <f>IF(T45&lt;=0,0,MIN(T45+CM46,$F$22+CL46))</f>
        <v/>
      </c>
      <c r="CO46">
        <f>IF(T45&lt;=0,CL46,MAX(0,$F$22+CL46-T45-CM46))</f>
        <v/>
      </c>
      <c r="CP46">
        <f>IF(U45&lt;=0,0,U45*$E$23/12)</f>
        <v/>
      </c>
      <c r="CQ46">
        <f>IF(U45&lt;=0,0,MIN(U45+CP46,$F$23+CO46))</f>
        <v/>
      </c>
      <c r="CR46">
        <f>IF(U45&lt;=0,CO46,MAX(0,$F$23+CO46-U45-CP46))</f>
        <v/>
      </c>
      <c r="CS46">
        <f>IF(V45&lt;=0,0,V45*$E$24/12)</f>
        <v/>
      </c>
      <c r="CT46">
        <f>IF(V45&lt;=0,0,MIN(V45+CS46,$F$24+CR46))</f>
        <v/>
      </c>
      <c r="CU46">
        <f>IF(V45&lt;=0,CR46,MAX(0,$F$24+CR46-V45-CS46))</f>
        <v/>
      </c>
    </row>
    <row r="47">
      <c r="B47" s="39" t="n">
        <v>21</v>
      </c>
      <c r="C47" s="13">
        <f>IF(C46&lt;=0,0,MAX(0,C46+AN47-AO47))</f>
        <v/>
      </c>
      <c r="D47" s="13">
        <f>IF(D46&lt;=0,0,MAX(0,D46+AQ47-AR47))</f>
        <v/>
      </c>
      <c r="E47" s="13">
        <f>IF(E46&lt;=0,0,MAX(0,E46+AT47-AU47))</f>
        <v/>
      </c>
      <c r="F47" s="13">
        <f>IF(F46&lt;=0,0,MAX(0,F46+AW47-AX47))</f>
        <v/>
      </c>
      <c r="G47" s="13">
        <f>IF(G46&lt;=0,0,MAX(0,G46+AZ47-BA47))</f>
        <v/>
      </c>
      <c r="H47" s="13">
        <f>IF(H46&lt;=0,0,MAX(0,H46+BC47-BD47))</f>
        <v/>
      </c>
      <c r="I47" s="13">
        <f>IF(I46&lt;=0,0,MAX(0,I46+BF47-BG47))</f>
        <v/>
      </c>
      <c r="J47" s="13">
        <f>IF(J46&lt;=0,0,MAX(0,J46+BI47-BJ47))</f>
        <v/>
      </c>
      <c r="K47" s="13">
        <f>IF(K46&lt;=0,0,MAX(0,K46+BL47-BM47))</f>
        <v/>
      </c>
      <c r="L47" s="13">
        <f>IF(L46&lt;=0,0,MAX(0,L46+BO47-BP47))</f>
        <v/>
      </c>
      <c r="M47" s="13">
        <f>IF(M46&lt;=0,0,MAX(0,M46+BR47-BS47))</f>
        <v/>
      </c>
      <c r="N47" s="13">
        <f>IF(N46&lt;=0,0,MAX(0,N46+BU47-BV47))</f>
        <v/>
      </c>
      <c r="O47" s="13">
        <f>IF(O46&lt;=0,0,MAX(0,O46+BX47-BY47))</f>
        <v/>
      </c>
      <c r="P47" s="13">
        <f>IF(P46&lt;=0,0,MAX(0,P46+CA47-CB47))</f>
        <v/>
      </c>
      <c r="Q47" s="13">
        <f>IF(Q46&lt;=0,0,MAX(0,Q46+CD47-CE47))</f>
        <v/>
      </c>
      <c r="R47" s="13">
        <f>IF(R46&lt;=0,0,MAX(0,R46+CG47-CH47))</f>
        <v/>
      </c>
      <c r="S47" s="13">
        <f>IF(S46&lt;=0,0,MAX(0,S46+CJ47-CK47))</f>
        <v/>
      </c>
      <c r="T47" s="13">
        <f>IF(T46&lt;=0,0,MAX(0,T46+CM47-CN47))</f>
        <v/>
      </c>
      <c r="U47" s="13">
        <f>IF(U46&lt;=0,0,MAX(0,U46+CP47-CQ47))</f>
        <v/>
      </c>
      <c r="V47" s="13">
        <f>IF(V46&lt;=0,0,MAX(0,V46+CS47-CT47))</f>
        <v/>
      </c>
      <c r="W47" s="13">
        <f>AO47+AR47+AU47+AX47+BA47+BD47+BG47+BJ47+BM47+BP47+BS47+BV47+BY47+CB47+CE47+CH47+CK47+CN47+CQ47+CT47</f>
        <v/>
      </c>
      <c r="X47" s="13">
        <f>AN47+AQ47+AT47+AW47+AZ47+BC47+BF47+BI47+BL47+BO47+BR47+BU47+BX47+CA47+CD47+CG47+CJ47+CM47+CP47+CS47</f>
        <v/>
      </c>
      <c r="Y47" s="27">
        <f>C47+D47+E47+F47+G47+H47+I47+J47+K47+L47+M47+N47+O47+P47+Q47+R47+S47+T47+U47+V47</f>
        <v/>
      </c>
      <c r="AN47">
        <f>IF(C46&lt;=0,0,C46*$E$5/12)</f>
        <v/>
      </c>
      <c r="AO47">
        <f>IF(C46&lt;=0,0,MIN(C46+AN47,$F$5+(Dashboard!$C$11+IF(C46&lt;=0,$F$5,0)+IF(D46&lt;=0,$F$6,0)+IF(E46&lt;=0,$F$7,0)+IF(F46&lt;=0,$F$8,0)+IF(G46&lt;=0,$F$9,0)+IF(H46&lt;=0,$F$10,0)+IF(I46&lt;=0,$F$11,0)+IF(J46&lt;=0,$F$12,0)+IF(K46&lt;=0,$F$13,0)+IF(L46&lt;=0,$F$14,0)+IF(M46&lt;=0,$F$15,0)+IF(N46&lt;=0,$F$16,0)+IF(O46&lt;=0,$F$17,0)+IF(P46&lt;=0,$F$18,0)+IF(Q46&lt;=0,$F$19,0)+IF(R46&lt;=0,$F$20,0)+IF(S46&lt;=0,$F$21,0)+IF(T46&lt;=0,$F$22,0)+IF(U46&lt;=0,$F$23,0)+IF(V46&lt;=0,$F$24,0))))</f>
        <v/>
      </c>
      <c r="AP47">
        <f>IF(C46&lt;=0,(Dashboard!$C$11+IF(C46&lt;=0,$F$5,0)+IF(D46&lt;=0,$F$6,0)+IF(E46&lt;=0,$F$7,0)+IF(F46&lt;=0,$F$8,0)+IF(G46&lt;=0,$F$9,0)+IF(H46&lt;=0,$F$10,0)+IF(I46&lt;=0,$F$11,0)+IF(J46&lt;=0,$F$12,0)+IF(K46&lt;=0,$F$13,0)+IF(L46&lt;=0,$F$14,0)+IF(M46&lt;=0,$F$15,0)+IF(N46&lt;=0,$F$16,0)+IF(O46&lt;=0,$F$17,0)+IF(P46&lt;=0,$F$18,0)+IF(Q46&lt;=0,$F$19,0)+IF(R46&lt;=0,$F$20,0)+IF(S46&lt;=0,$F$21,0)+IF(T46&lt;=0,$F$22,0)+IF(U46&lt;=0,$F$23,0)+IF(V46&lt;=0,$F$24,0)),MAX(0,$F$5+(Dashboard!$C$11+IF(C46&lt;=0,$F$5,0)+IF(D46&lt;=0,$F$6,0)+IF(E46&lt;=0,$F$7,0)+IF(F46&lt;=0,$F$8,0)+IF(G46&lt;=0,$F$9,0)+IF(H46&lt;=0,$F$10,0)+IF(I46&lt;=0,$F$11,0)+IF(J46&lt;=0,$F$12,0)+IF(K46&lt;=0,$F$13,0)+IF(L46&lt;=0,$F$14,0)+IF(M46&lt;=0,$F$15,0)+IF(N46&lt;=0,$F$16,0)+IF(O46&lt;=0,$F$17,0)+IF(P46&lt;=0,$F$18,0)+IF(Q46&lt;=0,$F$19,0)+IF(R46&lt;=0,$F$20,0)+IF(S46&lt;=0,$F$21,0)+IF(T46&lt;=0,$F$22,0)+IF(U46&lt;=0,$F$23,0)+IF(V46&lt;=0,$F$24,0))-C46-AN47))</f>
        <v/>
      </c>
      <c r="AQ47">
        <f>IF(D46&lt;=0,0,D46*$E$6/12)</f>
        <v/>
      </c>
      <c r="AR47">
        <f>IF(D46&lt;=0,0,MIN(D46+AQ47,$F$6+AP47))</f>
        <v/>
      </c>
      <c r="AS47">
        <f>IF(D46&lt;=0,AP47,MAX(0,$F$6+AP47-D46-AQ47))</f>
        <v/>
      </c>
      <c r="AT47">
        <f>IF(E46&lt;=0,0,E46*$E$7/12)</f>
        <v/>
      </c>
      <c r="AU47">
        <f>IF(E46&lt;=0,0,MIN(E46+AT47,$F$7+AS47))</f>
        <v/>
      </c>
      <c r="AV47">
        <f>IF(E46&lt;=0,AS47,MAX(0,$F$7+AS47-E46-AT47))</f>
        <v/>
      </c>
      <c r="AW47">
        <f>IF(F46&lt;=0,0,F46*$E$8/12)</f>
        <v/>
      </c>
      <c r="AX47">
        <f>IF(F46&lt;=0,0,MIN(F46+AW47,$F$8+AV47))</f>
        <v/>
      </c>
      <c r="AY47">
        <f>IF(F46&lt;=0,AV47,MAX(0,$F$8+AV47-F46-AW47))</f>
        <v/>
      </c>
      <c r="AZ47">
        <f>IF(G46&lt;=0,0,G46*$E$9/12)</f>
        <v/>
      </c>
      <c r="BA47">
        <f>IF(G46&lt;=0,0,MIN(G46+AZ47,$F$9+AY47))</f>
        <v/>
      </c>
      <c r="BB47">
        <f>IF(G46&lt;=0,AY47,MAX(0,$F$9+AY47-G46-AZ47))</f>
        <v/>
      </c>
      <c r="BC47">
        <f>IF(H46&lt;=0,0,H46*$E$10/12)</f>
        <v/>
      </c>
      <c r="BD47">
        <f>IF(H46&lt;=0,0,MIN(H46+BC47,$F$10+BB47))</f>
        <v/>
      </c>
      <c r="BE47">
        <f>IF(H46&lt;=0,BB47,MAX(0,$F$10+BB47-H46-BC47))</f>
        <v/>
      </c>
      <c r="BF47">
        <f>IF(I46&lt;=0,0,I46*$E$11/12)</f>
        <v/>
      </c>
      <c r="BG47">
        <f>IF(I46&lt;=0,0,MIN(I46+BF47,$F$11+BE47))</f>
        <v/>
      </c>
      <c r="BH47">
        <f>IF(I46&lt;=0,BE47,MAX(0,$F$11+BE47-I46-BF47))</f>
        <v/>
      </c>
      <c r="BI47">
        <f>IF(J46&lt;=0,0,J46*$E$12/12)</f>
        <v/>
      </c>
      <c r="BJ47">
        <f>IF(J46&lt;=0,0,MIN(J46+BI47,$F$12+BH47))</f>
        <v/>
      </c>
      <c r="BK47">
        <f>IF(J46&lt;=0,BH47,MAX(0,$F$12+BH47-J46-BI47))</f>
        <v/>
      </c>
      <c r="BL47">
        <f>IF(K46&lt;=0,0,K46*$E$13/12)</f>
        <v/>
      </c>
      <c r="BM47">
        <f>IF(K46&lt;=0,0,MIN(K46+BL47,$F$13+BK47))</f>
        <v/>
      </c>
      <c r="BN47">
        <f>IF(K46&lt;=0,BK47,MAX(0,$F$13+BK47-K46-BL47))</f>
        <v/>
      </c>
      <c r="BO47">
        <f>IF(L46&lt;=0,0,L46*$E$14/12)</f>
        <v/>
      </c>
      <c r="BP47">
        <f>IF(L46&lt;=0,0,MIN(L46+BO47,$F$14+BN47))</f>
        <v/>
      </c>
      <c r="BQ47">
        <f>IF(L46&lt;=0,BN47,MAX(0,$F$14+BN47-L46-BO47))</f>
        <v/>
      </c>
      <c r="BR47">
        <f>IF(M46&lt;=0,0,M46*$E$15/12)</f>
        <v/>
      </c>
      <c r="BS47">
        <f>IF(M46&lt;=0,0,MIN(M46+BR47,$F$15+BQ47))</f>
        <v/>
      </c>
      <c r="BT47">
        <f>IF(M46&lt;=0,BQ47,MAX(0,$F$15+BQ47-M46-BR47))</f>
        <v/>
      </c>
      <c r="BU47">
        <f>IF(N46&lt;=0,0,N46*$E$16/12)</f>
        <v/>
      </c>
      <c r="BV47">
        <f>IF(N46&lt;=0,0,MIN(N46+BU47,$F$16+BT47))</f>
        <v/>
      </c>
      <c r="BW47">
        <f>IF(N46&lt;=0,BT47,MAX(0,$F$16+BT47-N46-BU47))</f>
        <v/>
      </c>
      <c r="BX47">
        <f>IF(O46&lt;=0,0,O46*$E$17/12)</f>
        <v/>
      </c>
      <c r="BY47">
        <f>IF(O46&lt;=0,0,MIN(O46+BX47,$F$17+BW47))</f>
        <v/>
      </c>
      <c r="BZ47">
        <f>IF(O46&lt;=0,BW47,MAX(0,$F$17+BW47-O46-BX47))</f>
        <v/>
      </c>
      <c r="CA47">
        <f>IF(P46&lt;=0,0,P46*$E$18/12)</f>
        <v/>
      </c>
      <c r="CB47">
        <f>IF(P46&lt;=0,0,MIN(P46+CA47,$F$18+BZ47))</f>
        <v/>
      </c>
      <c r="CC47">
        <f>IF(P46&lt;=0,BZ47,MAX(0,$F$18+BZ47-P46-CA47))</f>
        <v/>
      </c>
      <c r="CD47">
        <f>IF(Q46&lt;=0,0,Q46*$E$19/12)</f>
        <v/>
      </c>
      <c r="CE47">
        <f>IF(Q46&lt;=0,0,MIN(Q46+CD47,$F$19+CC47))</f>
        <v/>
      </c>
      <c r="CF47">
        <f>IF(Q46&lt;=0,CC47,MAX(0,$F$19+CC47-Q46-CD47))</f>
        <v/>
      </c>
      <c r="CG47">
        <f>IF(R46&lt;=0,0,R46*$E$20/12)</f>
        <v/>
      </c>
      <c r="CH47">
        <f>IF(R46&lt;=0,0,MIN(R46+CG47,$F$20+CF47))</f>
        <v/>
      </c>
      <c r="CI47">
        <f>IF(R46&lt;=0,CF47,MAX(0,$F$20+CF47-R46-CG47))</f>
        <v/>
      </c>
      <c r="CJ47">
        <f>IF(S46&lt;=0,0,S46*$E$21/12)</f>
        <v/>
      </c>
      <c r="CK47">
        <f>IF(S46&lt;=0,0,MIN(S46+CJ47,$F$21+CI47))</f>
        <v/>
      </c>
      <c r="CL47">
        <f>IF(S46&lt;=0,CI47,MAX(0,$F$21+CI47-S46-CJ47))</f>
        <v/>
      </c>
      <c r="CM47">
        <f>IF(T46&lt;=0,0,T46*$E$22/12)</f>
        <v/>
      </c>
      <c r="CN47">
        <f>IF(T46&lt;=0,0,MIN(T46+CM47,$F$22+CL47))</f>
        <v/>
      </c>
      <c r="CO47">
        <f>IF(T46&lt;=0,CL47,MAX(0,$F$22+CL47-T46-CM47))</f>
        <v/>
      </c>
      <c r="CP47">
        <f>IF(U46&lt;=0,0,U46*$E$23/12)</f>
        <v/>
      </c>
      <c r="CQ47">
        <f>IF(U46&lt;=0,0,MIN(U46+CP47,$F$23+CO47))</f>
        <v/>
      </c>
      <c r="CR47">
        <f>IF(U46&lt;=0,CO47,MAX(0,$F$23+CO47-U46-CP47))</f>
        <v/>
      </c>
      <c r="CS47">
        <f>IF(V46&lt;=0,0,V46*$E$24/12)</f>
        <v/>
      </c>
      <c r="CT47">
        <f>IF(V46&lt;=0,0,MIN(V46+CS47,$F$24+CR47))</f>
        <v/>
      </c>
      <c r="CU47">
        <f>IF(V46&lt;=0,CR47,MAX(0,$F$24+CR47-V46-CS47))</f>
        <v/>
      </c>
    </row>
    <row r="48">
      <c r="B48" s="39" t="n">
        <v>22</v>
      </c>
      <c r="C48" s="13">
        <f>IF(C47&lt;=0,0,MAX(0,C47+AN48-AO48))</f>
        <v/>
      </c>
      <c r="D48" s="13">
        <f>IF(D47&lt;=0,0,MAX(0,D47+AQ48-AR48))</f>
        <v/>
      </c>
      <c r="E48" s="13">
        <f>IF(E47&lt;=0,0,MAX(0,E47+AT48-AU48))</f>
        <v/>
      </c>
      <c r="F48" s="13">
        <f>IF(F47&lt;=0,0,MAX(0,F47+AW48-AX48))</f>
        <v/>
      </c>
      <c r="G48" s="13">
        <f>IF(G47&lt;=0,0,MAX(0,G47+AZ48-BA48))</f>
        <v/>
      </c>
      <c r="H48" s="13">
        <f>IF(H47&lt;=0,0,MAX(0,H47+BC48-BD48))</f>
        <v/>
      </c>
      <c r="I48" s="13">
        <f>IF(I47&lt;=0,0,MAX(0,I47+BF48-BG48))</f>
        <v/>
      </c>
      <c r="J48" s="13">
        <f>IF(J47&lt;=0,0,MAX(0,J47+BI48-BJ48))</f>
        <v/>
      </c>
      <c r="K48" s="13">
        <f>IF(K47&lt;=0,0,MAX(0,K47+BL48-BM48))</f>
        <v/>
      </c>
      <c r="L48" s="13">
        <f>IF(L47&lt;=0,0,MAX(0,L47+BO48-BP48))</f>
        <v/>
      </c>
      <c r="M48" s="13">
        <f>IF(M47&lt;=0,0,MAX(0,M47+BR48-BS48))</f>
        <v/>
      </c>
      <c r="N48" s="13">
        <f>IF(N47&lt;=0,0,MAX(0,N47+BU48-BV48))</f>
        <v/>
      </c>
      <c r="O48" s="13">
        <f>IF(O47&lt;=0,0,MAX(0,O47+BX48-BY48))</f>
        <v/>
      </c>
      <c r="P48" s="13">
        <f>IF(P47&lt;=0,0,MAX(0,P47+CA48-CB48))</f>
        <v/>
      </c>
      <c r="Q48" s="13">
        <f>IF(Q47&lt;=0,0,MAX(0,Q47+CD48-CE48))</f>
        <v/>
      </c>
      <c r="R48" s="13">
        <f>IF(R47&lt;=0,0,MAX(0,R47+CG48-CH48))</f>
        <v/>
      </c>
      <c r="S48" s="13">
        <f>IF(S47&lt;=0,0,MAX(0,S47+CJ48-CK48))</f>
        <v/>
      </c>
      <c r="T48" s="13">
        <f>IF(T47&lt;=0,0,MAX(0,T47+CM48-CN48))</f>
        <v/>
      </c>
      <c r="U48" s="13">
        <f>IF(U47&lt;=0,0,MAX(0,U47+CP48-CQ48))</f>
        <v/>
      </c>
      <c r="V48" s="13">
        <f>IF(V47&lt;=0,0,MAX(0,V47+CS48-CT48))</f>
        <v/>
      </c>
      <c r="W48" s="13">
        <f>AO48+AR48+AU48+AX48+BA48+BD48+BG48+BJ48+BM48+BP48+BS48+BV48+BY48+CB48+CE48+CH48+CK48+CN48+CQ48+CT48</f>
        <v/>
      </c>
      <c r="X48" s="13">
        <f>AN48+AQ48+AT48+AW48+AZ48+BC48+BF48+BI48+BL48+BO48+BR48+BU48+BX48+CA48+CD48+CG48+CJ48+CM48+CP48+CS48</f>
        <v/>
      </c>
      <c r="Y48" s="27">
        <f>C48+D48+E48+F48+G48+H48+I48+J48+K48+L48+M48+N48+O48+P48+Q48+R48+S48+T48+U48+V48</f>
        <v/>
      </c>
      <c r="AN48">
        <f>IF(C47&lt;=0,0,C47*$E$5/12)</f>
        <v/>
      </c>
      <c r="AO48">
        <f>IF(C47&lt;=0,0,MIN(C47+AN48,$F$5+(Dashboard!$C$11+IF(C47&lt;=0,$F$5,0)+IF(D47&lt;=0,$F$6,0)+IF(E47&lt;=0,$F$7,0)+IF(F47&lt;=0,$F$8,0)+IF(G47&lt;=0,$F$9,0)+IF(H47&lt;=0,$F$10,0)+IF(I47&lt;=0,$F$11,0)+IF(J47&lt;=0,$F$12,0)+IF(K47&lt;=0,$F$13,0)+IF(L47&lt;=0,$F$14,0)+IF(M47&lt;=0,$F$15,0)+IF(N47&lt;=0,$F$16,0)+IF(O47&lt;=0,$F$17,0)+IF(P47&lt;=0,$F$18,0)+IF(Q47&lt;=0,$F$19,0)+IF(R47&lt;=0,$F$20,0)+IF(S47&lt;=0,$F$21,0)+IF(T47&lt;=0,$F$22,0)+IF(U47&lt;=0,$F$23,0)+IF(V47&lt;=0,$F$24,0))))</f>
        <v/>
      </c>
      <c r="AP48">
        <f>IF(C47&lt;=0,(Dashboard!$C$11+IF(C47&lt;=0,$F$5,0)+IF(D47&lt;=0,$F$6,0)+IF(E47&lt;=0,$F$7,0)+IF(F47&lt;=0,$F$8,0)+IF(G47&lt;=0,$F$9,0)+IF(H47&lt;=0,$F$10,0)+IF(I47&lt;=0,$F$11,0)+IF(J47&lt;=0,$F$12,0)+IF(K47&lt;=0,$F$13,0)+IF(L47&lt;=0,$F$14,0)+IF(M47&lt;=0,$F$15,0)+IF(N47&lt;=0,$F$16,0)+IF(O47&lt;=0,$F$17,0)+IF(P47&lt;=0,$F$18,0)+IF(Q47&lt;=0,$F$19,0)+IF(R47&lt;=0,$F$20,0)+IF(S47&lt;=0,$F$21,0)+IF(T47&lt;=0,$F$22,0)+IF(U47&lt;=0,$F$23,0)+IF(V47&lt;=0,$F$24,0)),MAX(0,$F$5+(Dashboard!$C$11+IF(C47&lt;=0,$F$5,0)+IF(D47&lt;=0,$F$6,0)+IF(E47&lt;=0,$F$7,0)+IF(F47&lt;=0,$F$8,0)+IF(G47&lt;=0,$F$9,0)+IF(H47&lt;=0,$F$10,0)+IF(I47&lt;=0,$F$11,0)+IF(J47&lt;=0,$F$12,0)+IF(K47&lt;=0,$F$13,0)+IF(L47&lt;=0,$F$14,0)+IF(M47&lt;=0,$F$15,0)+IF(N47&lt;=0,$F$16,0)+IF(O47&lt;=0,$F$17,0)+IF(P47&lt;=0,$F$18,0)+IF(Q47&lt;=0,$F$19,0)+IF(R47&lt;=0,$F$20,0)+IF(S47&lt;=0,$F$21,0)+IF(T47&lt;=0,$F$22,0)+IF(U47&lt;=0,$F$23,0)+IF(V47&lt;=0,$F$24,0))-C47-AN48))</f>
        <v/>
      </c>
      <c r="AQ48">
        <f>IF(D47&lt;=0,0,D47*$E$6/12)</f>
        <v/>
      </c>
      <c r="AR48">
        <f>IF(D47&lt;=0,0,MIN(D47+AQ48,$F$6+AP48))</f>
        <v/>
      </c>
      <c r="AS48">
        <f>IF(D47&lt;=0,AP48,MAX(0,$F$6+AP48-D47-AQ48))</f>
        <v/>
      </c>
      <c r="AT48">
        <f>IF(E47&lt;=0,0,E47*$E$7/12)</f>
        <v/>
      </c>
      <c r="AU48">
        <f>IF(E47&lt;=0,0,MIN(E47+AT48,$F$7+AS48))</f>
        <v/>
      </c>
      <c r="AV48">
        <f>IF(E47&lt;=0,AS48,MAX(0,$F$7+AS48-E47-AT48))</f>
        <v/>
      </c>
      <c r="AW48">
        <f>IF(F47&lt;=0,0,F47*$E$8/12)</f>
        <v/>
      </c>
      <c r="AX48">
        <f>IF(F47&lt;=0,0,MIN(F47+AW48,$F$8+AV48))</f>
        <v/>
      </c>
      <c r="AY48">
        <f>IF(F47&lt;=0,AV48,MAX(0,$F$8+AV48-F47-AW48))</f>
        <v/>
      </c>
      <c r="AZ48">
        <f>IF(G47&lt;=0,0,G47*$E$9/12)</f>
        <v/>
      </c>
      <c r="BA48">
        <f>IF(G47&lt;=0,0,MIN(G47+AZ48,$F$9+AY48))</f>
        <v/>
      </c>
      <c r="BB48">
        <f>IF(G47&lt;=0,AY48,MAX(0,$F$9+AY48-G47-AZ48))</f>
        <v/>
      </c>
      <c r="BC48">
        <f>IF(H47&lt;=0,0,H47*$E$10/12)</f>
        <v/>
      </c>
      <c r="BD48">
        <f>IF(H47&lt;=0,0,MIN(H47+BC48,$F$10+BB48))</f>
        <v/>
      </c>
      <c r="BE48">
        <f>IF(H47&lt;=0,BB48,MAX(0,$F$10+BB48-H47-BC48))</f>
        <v/>
      </c>
      <c r="BF48">
        <f>IF(I47&lt;=0,0,I47*$E$11/12)</f>
        <v/>
      </c>
      <c r="BG48">
        <f>IF(I47&lt;=0,0,MIN(I47+BF48,$F$11+BE48))</f>
        <v/>
      </c>
      <c r="BH48">
        <f>IF(I47&lt;=0,BE48,MAX(0,$F$11+BE48-I47-BF48))</f>
        <v/>
      </c>
      <c r="BI48">
        <f>IF(J47&lt;=0,0,J47*$E$12/12)</f>
        <v/>
      </c>
      <c r="BJ48">
        <f>IF(J47&lt;=0,0,MIN(J47+BI48,$F$12+BH48))</f>
        <v/>
      </c>
      <c r="BK48">
        <f>IF(J47&lt;=0,BH48,MAX(0,$F$12+BH48-J47-BI48))</f>
        <v/>
      </c>
      <c r="BL48">
        <f>IF(K47&lt;=0,0,K47*$E$13/12)</f>
        <v/>
      </c>
      <c r="BM48">
        <f>IF(K47&lt;=0,0,MIN(K47+BL48,$F$13+BK48))</f>
        <v/>
      </c>
      <c r="BN48">
        <f>IF(K47&lt;=0,BK48,MAX(0,$F$13+BK48-K47-BL48))</f>
        <v/>
      </c>
      <c r="BO48">
        <f>IF(L47&lt;=0,0,L47*$E$14/12)</f>
        <v/>
      </c>
      <c r="BP48">
        <f>IF(L47&lt;=0,0,MIN(L47+BO48,$F$14+BN48))</f>
        <v/>
      </c>
      <c r="BQ48">
        <f>IF(L47&lt;=0,BN48,MAX(0,$F$14+BN48-L47-BO48))</f>
        <v/>
      </c>
      <c r="BR48">
        <f>IF(M47&lt;=0,0,M47*$E$15/12)</f>
        <v/>
      </c>
      <c r="BS48">
        <f>IF(M47&lt;=0,0,MIN(M47+BR48,$F$15+BQ48))</f>
        <v/>
      </c>
      <c r="BT48">
        <f>IF(M47&lt;=0,BQ48,MAX(0,$F$15+BQ48-M47-BR48))</f>
        <v/>
      </c>
      <c r="BU48">
        <f>IF(N47&lt;=0,0,N47*$E$16/12)</f>
        <v/>
      </c>
      <c r="BV48">
        <f>IF(N47&lt;=0,0,MIN(N47+BU48,$F$16+BT48))</f>
        <v/>
      </c>
      <c r="BW48">
        <f>IF(N47&lt;=0,BT48,MAX(0,$F$16+BT48-N47-BU48))</f>
        <v/>
      </c>
      <c r="BX48">
        <f>IF(O47&lt;=0,0,O47*$E$17/12)</f>
        <v/>
      </c>
      <c r="BY48">
        <f>IF(O47&lt;=0,0,MIN(O47+BX48,$F$17+BW48))</f>
        <v/>
      </c>
      <c r="BZ48">
        <f>IF(O47&lt;=0,BW48,MAX(0,$F$17+BW48-O47-BX48))</f>
        <v/>
      </c>
      <c r="CA48">
        <f>IF(P47&lt;=0,0,P47*$E$18/12)</f>
        <v/>
      </c>
      <c r="CB48">
        <f>IF(P47&lt;=0,0,MIN(P47+CA48,$F$18+BZ48))</f>
        <v/>
      </c>
      <c r="CC48">
        <f>IF(P47&lt;=0,BZ48,MAX(0,$F$18+BZ48-P47-CA48))</f>
        <v/>
      </c>
      <c r="CD48">
        <f>IF(Q47&lt;=0,0,Q47*$E$19/12)</f>
        <v/>
      </c>
      <c r="CE48">
        <f>IF(Q47&lt;=0,0,MIN(Q47+CD48,$F$19+CC48))</f>
        <v/>
      </c>
      <c r="CF48">
        <f>IF(Q47&lt;=0,CC48,MAX(0,$F$19+CC48-Q47-CD48))</f>
        <v/>
      </c>
      <c r="CG48">
        <f>IF(R47&lt;=0,0,R47*$E$20/12)</f>
        <v/>
      </c>
      <c r="CH48">
        <f>IF(R47&lt;=0,0,MIN(R47+CG48,$F$20+CF48))</f>
        <v/>
      </c>
      <c r="CI48">
        <f>IF(R47&lt;=0,CF48,MAX(0,$F$20+CF48-R47-CG48))</f>
        <v/>
      </c>
      <c r="CJ48">
        <f>IF(S47&lt;=0,0,S47*$E$21/12)</f>
        <v/>
      </c>
      <c r="CK48">
        <f>IF(S47&lt;=0,0,MIN(S47+CJ48,$F$21+CI48))</f>
        <v/>
      </c>
      <c r="CL48">
        <f>IF(S47&lt;=0,CI48,MAX(0,$F$21+CI48-S47-CJ48))</f>
        <v/>
      </c>
      <c r="CM48">
        <f>IF(T47&lt;=0,0,T47*$E$22/12)</f>
        <v/>
      </c>
      <c r="CN48">
        <f>IF(T47&lt;=0,0,MIN(T47+CM48,$F$22+CL48))</f>
        <v/>
      </c>
      <c r="CO48">
        <f>IF(T47&lt;=0,CL48,MAX(0,$F$22+CL48-T47-CM48))</f>
        <v/>
      </c>
      <c r="CP48">
        <f>IF(U47&lt;=0,0,U47*$E$23/12)</f>
        <v/>
      </c>
      <c r="CQ48">
        <f>IF(U47&lt;=0,0,MIN(U47+CP48,$F$23+CO48))</f>
        <v/>
      </c>
      <c r="CR48">
        <f>IF(U47&lt;=0,CO48,MAX(0,$F$23+CO48-U47-CP48))</f>
        <v/>
      </c>
      <c r="CS48">
        <f>IF(V47&lt;=0,0,V47*$E$24/12)</f>
        <v/>
      </c>
      <c r="CT48">
        <f>IF(V47&lt;=0,0,MIN(V47+CS48,$F$24+CR48))</f>
        <v/>
      </c>
      <c r="CU48">
        <f>IF(V47&lt;=0,CR48,MAX(0,$F$24+CR48-V47-CS48))</f>
        <v/>
      </c>
    </row>
    <row r="49">
      <c r="B49" s="39" t="n">
        <v>23</v>
      </c>
      <c r="C49" s="13">
        <f>IF(C48&lt;=0,0,MAX(0,C48+AN49-AO49))</f>
        <v/>
      </c>
      <c r="D49" s="13">
        <f>IF(D48&lt;=0,0,MAX(0,D48+AQ49-AR49))</f>
        <v/>
      </c>
      <c r="E49" s="13">
        <f>IF(E48&lt;=0,0,MAX(0,E48+AT49-AU49))</f>
        <v/>
      </c>
      <c r="F49" s="13">
        <f>IF(F48&lt;=0,0,MAX(0,F48+AW49-AX49))</f>
        <v/>
      </c>
      <c r="G49" s="13">
        <f>IF(G48&lt;=0,0,MAX(0,G48+AZ49-BA49))</f>
        <v/>
      </c>
      <c r="H49" s="13">
        <f>IF(H48&lt;=0,0,MAX(0,H48+BC49-BD49))</f>
        <v/>
      </c>
      <c r="I49" s="13">
        <f>IF(I48&lt;=0,0,MAX(0,I48+BF49-BG49))</f>
        <v/>
      </c>
      <c r="J49" s="13">
        <f>IF(J48&lt;=0,0,MAX(0,J48+BI49-BJ49))</f>
        <v/>
      </c>
      <c r="K49" s="13">
        <f>IF(K48&lt;=0,0,MAX(0,K48+BL49-BM49))</f>
        <v/>
      </c>
      <c r="L49" s="13">
        <f>IF(L48&lt;=0,0,MAX(0,L48+BO49-BP49))</f>
        <v/>
      </c>
      <c r="M49" s="13">
        <f>IF(M48&lt;=0,0,MAX(0,M48+BR49-BS49))</f>
        <v/>
      </c>
      <c r="N49" s="13">
        <f>IF(N48&lt;=0,0,MAX(0,N48+BU49-BV49))</f>
        <v/>
      </c>
      <c r="O49" s="13">
        <f>IF(O48&lt;=0,0,MAX(0,O48+BX49-BY49))</f>
        <v/>
      </c>
      <c r="P49" s="13">
        <f>IF(P48&lt;=0,0,MAX(0,P48+CA49-CB49))</f>
        <v/>
      </c>
      <c r="Q49" s="13">
        <f>IF(Q48&lt;=0,0,MAX(0,Q48+CD49-CE49))</f>
        <v/>
      </c>
      <c r="R49" s="13">
        <f>IF(R48&lt;=0,0,MAX(0,R48+CG49-CH49))</f>
        <v/>
      </c>
      <c r="S49" s="13">
        <f>IF(S48&lt;=0,0,MAX(0,S48+CJ49-CK49))</f>
        <v/>
      </c>
      <c r="T49" s="13">
        <f>IF(T48&lt;=0,0,MAX(0,T48+CM49-CN49))</f>
        <v/>
      </c>
      <c r="U49" s="13">
        <f>IF(U48&lt;=0,0,MAX(0,U48+CP49-CQ49))</f>
        <v/>
      </c>
      <c r="V49" s="13">
        <f>IF(V48&lt;=0,0,MAX(0,V48+CS49-CT49))</f>
        <v/>
      </c>
      <c r="W49" s="13">
        <f>AO49+AR49+AU49+AX49+BA49+BD49+BG49+BJ49+BM49+BP49+BS49+BV49+BY49+CB49+CE49+CH49+CK49+CN49+CQ49+CT49</f>
        <v/>
      </c>
      <c r="X49" s="13">
        <f>AN49+AQ49+AT49+AW49+AZ49+BC49+BF49+BI49+BL49+BO49+BR49+BU49+BX49+CA49+CD49+CG49+CJ49+CM49+CP49+CS49</f>
        <v/>
      </c>
      <c r="Y49" s="27">
        <f>C49+D49+E49+F49+G49+H49+I49+J49+K49+L49+M49+N49+O49+P49+Q49+R49+S49+T49+U49+V49</f>
        <v/>
      </c>
      <c r="AN49">
        <f>IF(C48&lt;=0,0,C48*$E$5/12)</f>
        <v/>
      </c>
      <c r="AO49">
        <f>IF(C48&lt;=0,0,MIN(C48+AN49,$F$5+(Dashboard!$C$11+IF(C48&lt;=0,$F$5,0)+IF(D48&lt;=0,$F$6,0)+IF(E48&lt;=0,$F$7,0)+IF(F48&lt;=0,$F$8,0)+IF(G48&lt;=0,$F$9,0)+IF(H48&lt;=0,$F$10,0)+IF(I48&lt;=0,$F$11,0)+IF(J48&lt;=0,$F$12,0)+IF(K48&lt;=0,$F$13,0)+IF(L48&lt;=0,$F$14,0)+IF(M48&lt;=0,$F$15,0)+IF(N48&lt;=0,$F$16,0)+IF(O48&lt;=0,$F$17,0)+IF(P48&lt;=0,$F$18,0)+IF(Q48&lt;=0,$F$19,0)+IF(R48&lt;=0,$F$20,0)+IF(S48&lt;=0,$F$21,0)+IF(T48&lt;=0,$F$22,0)+IF(U48&lt;=0,$F$23,0)+IF(V48&lt;=0,$F$24,0))))</f>
        <v/>
      </c>
      <c r="AP49">
        <f>IF(C48&lt;=0,(Dashboard!$C$11+IF(C48&lt;=0,$F$5,0)+IF(D48&lt;=0,$F$6,0)+IF(E48&lt;=0,$F$7,0)+IF(F48&lt;=0,$F$8,0)+IF(G48&lt;=0,$F$9,0)+IF(H48&lt;=0,$F$10,0)+IF(I48&lt;=0,$F$11,0)+IF(J48&lt;=0,$F$12,0)+IF(K48&lt;=0,$F$13,0)+IF(L48&lt;=0,$F$14,0)+IF(M48&lt;=0,$F$15,0)+IF(N48&lt;=0,$F$16,0)+IF(O48&lt;=0,$F$17,0)+IF(P48&lt;=0,$F$18,0)+IF(Q48&lt;=0,$F$19,0)+IF(R48&lt;=0,$F$20,0)+IF(S48&lt;=0,$F$21,0)+IF(T48&lt;=0,$F$22,0)+IF(U48&lt;=0,$F$23,0)+IF(V48&lt;=0,$F$24,0)),MAX(0,$F$5+(Dashboard!$C$11+IF(C48&lt;=0,$F$5,0)+IF(D48&lt;=0,$F$6,0)+IF(E48&lt;=0,$F$7,0)+IF(F48&lt;=0,$F$8,0)+IF(G48&lt;=0,$F$9,0)+IF(H48&lt;=0,$F$10,0)+IF(I48&lt;=0,$F$11,0)+IF(J48&lt;=0,$F$12,0)+IF(K48&lt;=0,$F$13,0)+IF(L48&lt;=0,$F$14,0)+IF(M48&lt;=0,$F$15,0)+IF(N48&lt;=0,$F$16,0)+IF(O48&lt;=0,$F$17,0)+IF(P48&lt;=0,$F$18,0)+IF(Q48&lt;=0,$F$19,0)+IF(R48&lt;=0,$F$20,0)+IF(S48&lt;=0,$F$21,0)+IF(T48&lt;=0,$F$22,0)+IF(U48&lt;=0,$F$23,0)+IF(V48&lt;=0,$F$24,0))-C48-AN49))</f>
        <v/>
      </c>
      <c r="AQ49">
        <f>IF(D48&lt;=0,0,D48*$E$6/12)</f>
        <v/>
      </c>
      <c r="AR49">
        <f>IF(D48&lt;=0,0,MIN(D48+AQ49,$F$6+AP49))</f>
        <v/>
      </c>
      <c r="AS49">
        <f>IF(D48&lt;=0,AP49,MAX(0,$F$6+AP49-D48-AQ49))</f>
        <v/>
      </c>
      <c r="AT49">
        <f>IF(E48&lt;=0,0,E48*$E$7/12)</f>
        <v/>
      </c>
      <c r="AU49">
        <f>IF(E48&lt;=0,0,MIN(E48+AT49,$F$7+AS49))</f>
        <v/>
      </c>
      <c r="AV49">
        <f>IF(E48&lt;=0,AS49,MAX(0,$F$7+AS49-E48-AT49))</f>
        <v/>
      </c>
      <c r="AW49">
        <f>IF(F48&lt;=0,0,F48*$E$8/12)</f>
        <v/>
      </c>
      <c r="AX49">
        <f>IF(F48&lt;=0,0,MIN(F48+AW49,$F$8+AV49))</f>
        <v/>
      </c>
      <c r="AY49">
        <f>IF(F48&lt;=0,AV49,MAX(0,$F$8+AV49-F48-AW49))</f>
        <v/>
      </c>
      <c r="AZ49">
        <f>IF(G48&lt;=0,0,G48*$E$9/12)</f>
        <v/>
      </c>
      <c r="BA49">
        <f>IF(G48&lt;=0,0,MIN(G48+AZ49,$F$9+AY49))</f>
        <v/>
      </c>
      <c r="BB49">
        <f>IF(G48&lt;=0,AY49,MAX(0,$F$9+AY49-G48-AZ49))</f>
        <v/>
      </c>
      <c r="BC49">
        <f>IF(H48&lt;=0,0,H48*$E$10/12)</f>
        <v/>
      </c>
      <c r="BD49">
        <f>IF(H48&lt;=0,0,MIN(H48+BC49,$F$10+BB49))</f>
        <v/>
      </c>
      <c r="BE49">
        <f>IF(H48&lt;=0,BB49,MAX(0,$F$10+BB49-H48-BC49))</f>
        <v/>
      </c>
      <c r="BF49">
        <f>IF(I48&lt;=0,0,I48*$E$11/12)</f>
        <v/>
      </c>
      <c r="BG49">
        <f>IF(I48&lt;=0,0,MIN(I48+BF49,$F$11+BE49))</f>
        <v/>
      </c>
      <c r="BH49">
        <f>IF(I48&lt;=0,BE49,MAX(0,$F$11+BE49-I48-BF49))</f>
        <v/>
      </c>
      <c r="BI49">
        <f>IF(J48&lt;=0,0,J48*$E$12/12)</f>
        <v/>
      </c>
      <c r="BJ49">
        <f>IF(J48&lt;=0,0,MIN(J48+BI49,$F$12+BH49))</f>
        <v/>
      </c>
      <c r="BK49">
        <f>IF(J48&lt;=0,BH49,MAX(0,$F$12+BH49-J48-BI49))</f>
        <v/>
      </c>
      <c r="BL49">
        <f>IF(K48&lt;=0,0,K48*$E$13/12)</f>
        <v/>
      </c>
      <c r="BM49">
        <f>IF(K48&lt;=0,0,MIN(K48+BL49,$F$13+BK49))</f>
        <v/>
      </c>
      <c r="BN49">
        <f>IF(K48&lt;=0,BK49,MAX(0,$F$13+BK49-K48-BL49))</f>
        <v/>
      </c>
      <c r="BO49">
        <f>IF(L48&lt;=0,0,L48*$E$14/12)</f>
        <v/>
      </c>
      <c r="BP49">
        <f>IF(L48&lt;=0,0,MIN(L48+BO49,$F$14+BN49))</f>
        <v/>
      </c>
      <c r="BQ49">
        <f>IF(L48&lt;=0,BN49,MAX(0,$F$14+BN49-L48-BO49))</f>
        <v/>
      </c>
      <c r="BR49">
        <f>IF(M48&lt;=0,0,M48*$E$15/12)</f>
        <v/>
      </c>
      <c r="BS49">
        <f>IF(M48&lt;=0,0,MIN(M48+BR49,$F$15+BQ49))</f>
        <v/>
      </c>
      <c r="BT49">
        <f>IF(M48&lt;=0,BQ49,MAX(0,$F$15+BQ49-M48-BR49))</f>
        <v/>
      </c>
      <c r="BU49">
        <f>IF(N48&lt;=0,0,N48*$E$16/12)</f>
        <v/>
      </c>
      <c r="BV49">
        <f>IF(N48&lt;=0,0,MIN(N48+BU49,$F$16+BT49))</f>
        <v/>
      </c>
      <c r="BW49">
        <f>IF(N48&lt;=0,BT49,MAX(0,$F$16+BT49-N48-BU49))</f>
        <v/>
      </c>
      <c r="BX49">
        <f>IF(O48&lt;=0,0,O48*$E$17/12)</f>
        <v/>
      </c>
      <c r="BY49">
        <f>IF(O48&lt;=0,0,MIN(O48+BX49,$F$17+BW49))</f>
        <v/>
      </c>
      <c r="BZ49">
        <f>IF(O48&lt;=0,BW49,MAX(0,$F$17+BW49-O48-BX49))</f>
        <v/>
      </c>
      <c r="CA49">
        <f>IF(P48&lt;=0,0,P48*$E$18/12)</f>
        <v/>
      </c>
      <c r="CB49">
        <f>IF(P48&lt;=0,0,MIN(P48+CA49,$F$18+BZ49))</f>
        <v/>
      </c>
      <c r="CC49">
        <f>IF(P48&lt;=0,BZ49,MAX(0,$F$18+BZ49-P48-CA49))</f>
        <v/>
      </c>
      <c r="CD49">
        <f>IF(Q48&lt;=0,0,Q48*$E$19/12)</f>
        <v/>
      </c>
      <c r="CE49">
        <f>IF(Q48&lt;=0,0,MIN(Q48+CD49,$F$19+CC49))</f>
        <v/>
      </c>
      <c r="CF49">
        <f>IF(Q48&lt;=0,CC49,MAX(0,$F$19+CC49-Q48-CD49))</f>
        <v/>
      </c>
      <c r="CG49">
        <f>IF(R48&lt;=0,0,R48*$E$20/12)</f>
        <v/>
      </c>
      <c r="CH49">
        <f>IF(R48&lt;=0,0,MIN(R48+CG49,$F$20+CF49))</f>
        <v/>
      </c>
      <c r="CI49">
        <f>IF(R48&lt;=0,CF49,MAX(0,$F$20+CF49-R48-CG49))</f>
        <v/>
      </c>
      <c r="CJ49">
        <f>IF(S48&lt;=0,0,S48*$E$21/12)</f>
        <v/>
      </c>
      <c r="CK49">
        <f>IF(S48&lt;=0,0,MIN(S48+CJ49,$F$21+CI49))</f>
        <v/>
      </c>
      <c r="CL49">
        <f>IF(S48&lt;=0,CI49,MAX(0,$F$21+CI49-S48-CJ49))</f>
        <v/>
      </c>
      <c r="CM49">
        <f>IF(T48&lt;=0,0,T48*$E$22/12)</f>
        <v/>
      </c>
      <c r="CN49">
        <f>IF(T48&lt;=0,0,MIN(T48+CM49,$F$22+CL49))</f>
        <v/>
      </c>
      <c r="CO49">
        <f>IF(T48&lt;=0,CL49,MAX(0,$F$22+CL49-T48-CM49))</f>
        <v/>
      </c>
      <c r="CP49">
        <f>IF(U48&lt;=0,0,U48*$E$23/12)</f>
        <v/>
      </c>
      <c r="CQ49">
        <f>IF(U48&lt;=0,0,MIN(U48+CP49,$F$23+CO49))</f>
        <v/>
      </c>
      <c r="CR49">
        <f>IF(U48&lt;=0,CO49,MAX(0,$F$23+CO49-U48-CP49))</f>
        <v/>
      </c>
      <c r="CS49">
        <f>IF(V48&lt;=0,0,V48*$E$24/12)</f>
        <v/>
      </c>
      <c r="CT49">
        <f>IF(V48&lt;=0,0,MIN(V48+CS49,$F$24+CR49))</f>
        <v/>
      </c>
      <c r="CU49">
        <f>IF(V48&lt;=0,CR49,MAX(0,$F$24+CR49-V48-CS49))</f>
        <v/>
      </c>
    </row>
    <row r="50">
      <c r="B50" s="39" t="n">
        <v>24</v>
      </c>
      <c r="C50" s="13">
        <f>IF(C49&lt;=0,0,MAX(0,C49+AN50-AO50))</f>
        <v/>
      </c>
      <c r="D50" s="13">
        <f>IF(D49&lt;=0,0,MAX(0,D49+AQ50-AR50))</f>
        <v/>
      </c>
      <c r="E50" s="13">
        <f>IF(E49&lt;=0,0,MAX(0,E49+AT50-AU50))</f>
        <v/>
      </c>
      <c r="F50" s="13">
        <f>IF(F49&lt;=0,0,MAX(0,F49+AW50-AX50))</f>
        <v/>
      </c>
      <c r="G50" s="13">
        <f>IF(G49&lt;=0,0,MAX(0,G49+AZ50-BA50))</f>
        <v/>
      </c>
      <c r="H50" s="13">
        <f>IF(H49&lt;=0,0,MAX(0,H49+BC50-BD50))</f>
        <v/>
      </c>
      <c r="I50" s="13">
        <f>IF(I49&lt;=0,0,MAX(0,I49+BF50-BG50))</f>
        <v/>
      </c>
      <c r="J50" s="13">
        <f>IF(J49&lt;=0,0,MAX(0,J49+BI50-BJ50))</f>
        <v/>
      </c>
      <c r="K50" s="13">
        <f>IF(K49&lt;=0,0,MAX(0,K49+BL50-BM50))</f>
        <v/>
      </c>
      <c r="L50" s="13">
        <f>IF(L49&lt;=0,0,MAX(0,L49+BO50-BP50))</f>
        <v/>
      </c>
      <c r="M50" s="13">
        <f>IF(M49&lt;=0,0,MAX(0,M49+BR50-BS50))</f>
        <v/>
      </c>
      <c r="N50" s="13">
        <f>IF(N49&lt;=0,0,MAX(0,N49+BU50-BV50))</f>
        <v/>
      </c>
      <c r="O50" s="13">
        <f>IF(O49&lt;=0,0,MAX(0,O49+BX50-BY50))</f>
        <v/>
      </c>
      <c r="P50" s="13">
        <f>IF(P49&lt;=0,0,MAX(0,P49+CA50-CB50))</f>
        <v/>
      </c>
      <c r="Q50" s="13">
        <f>IF(Q49&lt;=0,0,MAX(0,Q49+CD50-CE50))</f>
        <v/>
      </c>
      <c r="R50" s="13">
        <f>IF(R49&lt;=0,0,MAX(0,R49+CG50-CH50))</f>
        <v/>
      </c>
      <c r="S50" s="13">
        <f>IF(S49&lt;=0,0,MAX(0,S49+CJ50-CK50))</f>
        <v/>
      </c>
      <c r="T50" s="13">
        <f>IF(T49&lt;=0,0,MAX(0,T49+CM50-CN50))</f>
        <v/>
      </c>
      <c r="U50" s="13">
        <f>IF(U49&lt;=0,0,MAX(0,U49+CP50-CQ50))</f>
        <v/>
      </c>
      <c r="V50" s="13">
        <f>IF(V49&lt;=0,0,MAX(0,V49+CS50-CT50))</f>
        <v/>
      </c>
      <c r="W50" s="13">
        <f>AO50+AR50+AU50+AX50+BA50+BD50+BG50+BJ50+BM50+BP50+BS50+BV50+BY50+CB50+CE50+CH50+CK50+CN50+CQ50+CT50</f>
        <v/>
      </c>
      <c r="X50" s="13">
        <f>AN50+AQ50+AT50+AW50+AZ50+BC50+BF50+BI50+BL50+BO50+BR50+BU50+BX50+CA50+CD50+CG50+CJ50+CM50+CP50+CS50</f>
        <v/>
      </c>
      <c r="Y50" s="27">
        <f>C50+D50+E50+F50+G50+H50+I50+J50+K50+L50+M50+N50+O50+P50+Q50+R50+S50+T50+U50+V50</f>
        <v/>
      </c>
      <c r="AN50">
        <f>IF(C49&lt;=0,0,C49*$E$5/12)</f>
        <v/>
      </c>
      <c r="AO50">
        <f>IF(C49&lt;=0,0,MIN(C49+AN50,$F$5+(Dashboard!$C$11+IF(C49&lt;=0,$F$5,0)+IF(D49&lt;=0,$F$6,0)+IF(E49&lt;=0,$F$7,0)+IF(F49&lt;=0,$F$8,0)+IF(G49&lt;=0,$F$9,0)+IF(H49&lt;=0,$F$10,0)+IF(I49&lt;=0,$F$11,0)+IF(J49&lt;=0,$F$12,0)+IF(K49&lt;=0,$F$13,0)+IF(L49&lt;=0,$F$14,0)+IF(M49&lt;=0,$F$15,0)+IF(N49&lt;=0,$F$16,0)+IF(O49&lt;=0,$F$17,0)+IF(P49&lt;=0,$F$18,0)+IF(Q49&lt;=0,$F$19,0)+IF(R49&lt;=0,$F$20,0)+IF(S49&lt;=0,$F$21,0)+IF(T49&lt;=0,$F$22,0)+IF(U49&lt;=0,$F$23,0)+IF(V49&lt;=0,$F$24,0))))</f>
        <v/>
      </c>
      <c r="AP50">
        <f>IF(C49&lt;=0,(Dashboard!$C$11+IF(C49&lt;=0,$F$5,0)+IF(D49&lt;=0,$F$6,0)+IF(E49&lt;=0,$F$7,0)+IF(F49&lt;=0,$F$8,0)+IF(G49&lt;=0,$F$9,0)+IF(H49&lt;=0,$F$10,0)+IF(I49&lt;=0,$F$11,0)+IF(J49&lt;=0,$F$12,0)+IF(K49&lt;=0,$F$13,0)+IF(L49&lt;=0,$F$14,0)+IF(M49&lt;=0,$F$15,0)+IF(N49&lt;=0,$F$16,0)+IF(O49&lt;=0,$F$17,0)+IF(P49&lt;=0,$F$18,0)+IF(Q49&lt;=0,$F$19,0)+IF(R49&lt;=0,$F$20,0)+IF(S49&lt;=0,$F$21,0)+IF(T49&lt;=0,$F$22,0)+IF(U49&lt;=0,$F$23,0)+IF(V49&lt;=0,$F$24,0)),MAX(0,$F$5+(Dashboard!$C$11+IF(C49&lt;=0,$F$5,0)+IF(D49&lt;=0,$F$6,0)+IF(E49&lt;=0,$F$7,0)+IF(F49&lt;=0,$F$8,0)+IF(G49&lt;=0,$F$9,0)+IF(H49&lt;=0,$F$10,0)+IF(I49&lt;=0,$F$11,0)+IF(J49&lt;=0,$F$12,0)+IF(K49&lt;=0,$F$13,0)+IF(L49&lt;=0,$F$14,0)+IF(M49&lt;=0,$F$15,0)+IF(N49&lt;=0,$F$16,0)+IF(O49&lt;=0,$F$17,0)+IF(P49&lt;=0,$F$18,0)+IF(Q49&lt;=0,$F$19,0)+IF(R49&lt;=0,$F$20,0)+IF(S49&lt;=0,$F$21,0)+IF(T49&lt;=0,$F$22,0)+IF(U49&lt;=0,$F$23,0)+IF(V49&lt;=0,$F$24,0))-C49-AN50))</f>
        <v/>
      </c>
      <c r="AQ50">
        <f>IF(D49&lt;=0,0,D49*$E$6/12)</f>
        <v/>
      </c>
      <c r="AR50">
        <f>IF(D49&lt;=0,0,MIN(D49+AQ50,$F$6+AP50))</f>
        <v/>
      </c>
      <c r="AS50">
        <f>IF(D49&lt;=0,AP50,MAX(0,$F$6+AP50-D49-AQ50))</f>
        <v/>
      </c>
      <c r="AT50">
        <f>IF(E49&lt;=0,0,E49*$E$7/12)</f>
        <v/>
      </c>
      <c r="AU50">
        <f>IF(E49&lt;=0,0,MIN(E49+AT50,$F$7+AS50))</f>
        <v/>
      </c>
      <c r="AV50">
        <f>IF(E49&lt;=0,AS50,MAX(0,$F$7+AS50-E49-AT50))</f>
        <v/>
      </c>
      <c r="AW50">
        <f>IF(F49&lt;=0,0,F49*$E$8/12)</f>
        <v/>
      </c>
      <c r="AX50">
        <f>IF(F49&lt;=0,0,MIN(F49+AW50,$F$8+AV50))</f>
        <v/>
      </c>
      <c r="AY50">
        <f>IF(F49&lt;=0,AV50,MAX(0,$F$8+AV50-F49-AW50))</f>
        <v/>
      </c>
      <c r="AZ50">
        <f>IF(G49&lt;=0,0,G49*$E$9/12)</f>
        <v/>
      </c>
      <c r="BA50">
        <f>IF(G49&lt;=0,0,MIN(G49+AZ50,$F$9+AY50))</f>
        <v/>
      </c>
      <c r="BB50">
        <f>IF(G49&lt;=0,AY50,MAX(0,$F$9+AY50-G49-AZ50))</f>
        <v/>
      </c>
      <c r="BC50">
        <f>IF(H49&lt;=0,0,H49*$E$10/12)</f>
        <v/>
      </c>
      <c r="BD50">
        <f>IF(H49&lt;=0,0,MIN(H49+BC50,$F$10+BB50))</f>
        <v/>
      </c>
      <c r="BE50">
        <f>IF(H49&lt;=0,BB50,MAX(0,$F$10+BB50-H49-BC50))</f>
        <v/>
      </c>
      <c r="BF50">
        <f>IF(I49&lt;=0,0,I49*$E$11/12)</f>
        <v/>
      </c>
      <c r="BG50">
        <f>IF(I49&lt;=0,0,MIN(I49+BF50,$F$11+BE50))</f>
        <v/>
      </c>
      <c r="BH50">
        <f>IF(I49&lt;=0,BE50,MAX(0,$F$11+BE50-I49-BF50))</f>
        <v/>
      </c>
      <c r="BI50">
        <f>IF(J49&lt;=0,0,J49*$E$12/12)</f>
        <v/>
      </c>
      <c r="BJ50">
        <f>IF(J49&lt;=0,0,MIN(J49+BI50,$F$12+BH50))</f>
        <v/>
      </c>
      <c r="BK50">
        <f>IF(J49&lt;=0,BH50,MAX(0,$F$12+BH50-J49-BI50))</f>
        <v/>
      </c>
      <c r="BL50">
        <f>IF(K49&lt;=0,0,K49*$E$13/12)</f>
        <v/>
      </c>
      <c r="BM50">
        <f>IF(K49&lt;=0,0,MIN(K49+BL50,$F$13+BK50))</f>
        <v/>
      </c>
      <c r="BN50">
        <f>IF(K49&lt;=0,BK50,MAX(0,$F$13+BK50-K49-BL50))</f>
        <v/>
      </c>
      <c r="BO50">
        <f>IF(L49&lt;=0,0,L49*$E$14/12)</f>
        <v/>
      </c>
      <c r="BP50">
        <f>IF(L49&lt;=0,0,MIN(L49+BO50,$F$14+BN50))</f>
        <v/>
      </c>
      <c r="BQ50">
        <f>IF(L49&lt;=0,BN50,MAX(0,$F$14+BN50-L49-BO50))</f>
        <v/>
      </c>
      <c r="BR50">
        <f>IF(M49&lt;=0,0,M49*$E$15/12)</f>
        <v/>
      </c>
      <c r="BS50">
        <f>IF(M49&lt;=0,0,MIN(M49+BR50,$F$15+BQ50))</f>
        <v/>
      </c>
      <c r="BT50">
        <f>IF(M49&lt;=0,BQ50,MAX(0,$F$15+BQ50-M49-BR50))</f>
        <v/>
      </c>
      <c r="BU50">
        <f>IF(N49&lt;=0,0,N49*$E$16/12)</f>
        <v/>
      </c>
      <c r="BV50">
        <f>IF(N49&lt;=0,0,MIN(N49+BU50,$F$16+BT50))</f>
        <v/>
      </c>
      <c r="BW50">
        <f>IF(N49&lt;=0,BT50,MAX(0,$F$16+BT50-N49-BU50))</f>
        <v/>
      </c>
      <c r="BX50">
        <f>IF(O49&lt;=0,0,O49*$E$17/12)</f>
        <v/>
      </c>
      <c r="BY50">
        <f>IF(O49&lt;=0,0,MIN(O49+BX50,$F$17+BW50))</f>
        <v/>
      </c>
      <c r="BZ50">
        <f>IF(O49&lt;=0,BW50,MAX(0,$F$17+BW50-O49-BX50))</f>
        <v/>
      </c>
      <c r="CA50">
        <f>IF(P49&lt;=0,0,P49*$E$18/12)</f>
        <v/>
      </c>
      <c r="CB50">
        <f>IF(P49&lt;=0,0,MIN(P49+CA50,$F$18+BZ50))</f>
        <v/>
      </c>
      <c r="CC50">
        <f>IF(P49&lt;=0,BZ50,MAX(0,$F$18+BZ50-P49-CA50))</f>
        <v/>
      </c>
      <c r="CD50">
        <f>IF(Q49&lt;=0,0,Q49*$E$19/12)</f>
        <v/>
      </c>
      <c r="CE50">
        <f>IF(Q49&lt;=0,0,MIN(Q49+CD50,$F$19+CC50))</f>
        <v/>
      </c>
      <c r="CF50">
        <f>IF(Q49&lt;=0,CC50,MAX(0,$F$19+CC50-Q49-CD50))</f>
        <v/>
      </c>
      <c r="CG50">
        <f>IF(R49&lt;=0,0,R49*$E$20/12)</f>
        <v/>
      </c>
      <c r="CH50">
        <f>IF(R49&lt;=0,0,MIN(R49+CG50,$F$20+CF50))</f>
        <v/>
      </c>
      <c r="CI50">
        <f>IF(R49&lt;=0,CF50,MAX(0,$F$20+CF50-R49-CG50))</f>
        <v/>
      </c>
      <c r="CJ50">
        <f>IF(S49&lt;=0,0,S49*$E$21/12)</f>
        <v/>
      </c>
      <c r="CK50">
        <f>IF(S49&lt;=0,0,MIN(S49+CJ50,$F$21+CI50))</f>
        <v/>
      </c>
      <c r="CL50">
        <f>IF(S49&lt;=0,CI50,MAX(0,$F$21+CI50-S49-CJ50))</f>
        <v/>
      </c>
      <c r="CM50">
        <f>IF(T49&lt;=0,0,T49*$E$22/12)</f>
        <v/>
      </c>
      <c r="CN50">
        <f>IF(T49&lt;=0,0,MIN(T49+CM50,$F$22+CL50))</f>
        <v/>
      </c>
      <c r="CO50">
        <f>IF(T49&lt;=0,CL50,MAX(0,$F$22+CL50-T49-CM50))</f>
        <v/>
      </c>
      <c r="CP50">
        <f>IF(U49&lt;=0,0,U49*$E$23/12)</f>
        <v/>
      </c>
      <c r="CQ50">
        <f>IF(U49&lt;=0,0,MIN(U49+CP50,$F$23+CO50))</f>
        <v/>
      </c>
      <c r="CR50">
        <f>IF(U49&lt;=0,CO50,MAX(0,$F$23+CO50-U49-CP50))</f>
        <v/>
      </c>
      <c r="CS50">
        <f>IF(V49&lt;=0,0,V49*$E$24/12)</f>
        <v/>
      </c>
      <c r="CT50">
        <f>IF(V49&lt;=0,0,MIN(V49+CS50,$F$24+CR50))</f>
        <v/>
      </c>
      <c r="CU50">
        <f>IF(V49&lt;=0,CR50,MAX(0,$F$24+CR50-V49-CS50))</f>
        <v/>
      </c>
    </row>
    <row r="51">
      <c r="B51" s="39" t="n">
        <v>25</v>
      </c>
      <c r="C51" s="13">
        <f>IF(C50&lt;=0,0,MAX(0,C50+AN51-AO51))</f>
        <v/>
      </c>
      <c r="D51" s="13">
        <f>IF(D50&lt;=0,0,MAX(0,D50+AQ51-AR51))</f>
        <v/>
      </c>
      <c r="E51" s="13">
        <f>IF(E50&lt;=0,0,MAX(0,E50+AT51-AU51))</f>
        <v/>
      </c>
      <c r="F51" s="13">
        <f>IF(F50&lt;=0,0,MAX(0,F50+AW51-AX51))</f>
        <v/>
      </c>
      <c r="G51" s="13">
        <f>IF(G50&lt;=0,0,MAX(0,G50+AZ51-BA51))</f>
        <v/>
      </c>
      <c r="H51" s="13">
        <f>IF(H50&lt;=0,0,MAX(0,H50+BC51-BD51))</f>
        <v/>
      </c>
      <c r="I51" s="13">
        <f>IF(I50&lt;=0,0,MAX(0,I50+BF51-BG51))</f>
        <v/>
      </c>
      <c r="J51" s="13">
        <f>IF(J50&lt;=0,0,MAX(0,J50+BI51-BJ51))</f>
        <v/>
      </c>
      <c r="K51" s="13">
        <f>IF(K50&lt;=0,0,MAX(0,K50+BL51-BM51))</f>
        <v/>
      </c>
      <c r="L51" s="13">
        <f>IF(L50&lt;=0,0,MAX(0,L50+BO51-BP51))</f>
        <v/>
      </c>
      <c r="M51" s="13">
        <f>IF(M50&lt;=0,0,MAX(0,M50+BR51-BS51))</f>
        <v/>
      </c>
      <c r="N51" s="13">
        <f>IF(N50&lt;=0,0,MAX(0,N50+BU51-BV51))</f>
        <v/>
      </c>
      <c r="O51" s="13">
        <f>IF(O50&lt;=0,0,MAX(0,O50+BX51-BY51))</f>
        <v/>
      </c>
      <c r="P51" s="13">
        <f>IF(P50&lt;=0,0,MAX(0,P50+CA51-CB51))</f>
        <v/>
      </c>
      <c r="Q51" s="13">
        <f>IF(Q50&lt;=0,0,MAX(0,Q50+CD51-CE51))</f>
        <v/>
      </c>
      <c r="R51" s="13">
        <f>IF(R50&lt;=0,0,MAX(0,R50+CG51-CH51))</f>
        <v/>
      </c>
      <c r="S51" s="13">
        <f>IF(S50&lt;=0,0,MAX(0,S50+CJ51-CK51))</f>
        <v/>
      </c>
      <c r="T51" s="13">
        <f>IF(T50&lt;=0,0,MAX(0,T50+CM51-CN51))</f>
        <v/>
      </c>
      <c r="U51" s="13">
        <f>IF(U50&lt;=0,0,MAX(0,U50+CP51-CQ51))</f>
        <v/>
      </c>
      <c r="V51" s="13">
        <f>IF(V50&lt;=0,0,MAX(0,V50+CS51-CT51))</f>
        <v/>
      </c>
      <c r="W51" s="13">
        <f>AO51+AR51+AU51+AX51+BA51+BD51+BG51+BJ51+BM51+BP51+BS51+BV51+BY51+CB51+CE51+CH51+CK51+CN51+CQ51+CT51</f>
        <v/>
      </c>
      <c r="X51" s="13">
        <f>AN51+AQ51+AT51+AW51+AZ51+BC51+BF51+BI51+BL51+BO51+BR51+BU51+BX51+CA51+CD51+CG51+CJ51+CM51+CP51+CS51</f>
        <v/>
      </c>
      <c r="Y51" s="27">
        <f>C51+D51+E51+F51+G51+H51+I51+J51+K51+L51+M51+N51+O51+P51+Q51+R51+S51+T51+U51+V51</f>
        <v/>
      </c>
      <c r="AN51">
        <f>IF(C50&lt;=0,0,C50*$E$5/12)</f>
        <v/>
      </c>
      <c r="AO51">
        <f>IF(C50&lt;=0,0,MIN(C50+AN51,$F$5+(Dashboard!$C$11+IF(C50&lt;=0,$F$5,0)+IF(D50&lt;=0,$F$6,0)+IF(E50&lt;=0,$F$7,0)+IF(F50&lt;=0,$F$8,0)+IF(G50&lt;=0,$F$9,0)+IF(H50&lt;=0,$F$10,0)+IF(I50&lt;=0,$F$11,0)+IF(J50&lt;=0,$F$12,0)+IF(K50&lt;=0,$F$13,0)+IF(L50&lt;=0,$F$14,0)+IF(M50&lt;=0,$F$15,0)+IF(N50&lt;=0,$F$16,0)+IF(O50&lt;=0,$F$17,0)+IF(P50&lt;=0,$F$18,0)+IF(Q50&lt;=0,$F$19,0)+IF(R50&lt;=0,$F$20,0)+IF(S50&lt;=0,$F$21,0)+IF(T50&lt;=0,$F$22,0)+IF(U50&lt;=0,$F$23,0)+IF(V50&lt;=0,$F$24,0))))</f>
        <v/>
      </c>
      <c r="AP51">
        <f>IF(C50&lt;=0,(Dashboard!$C$11+IF(C50&lt;=0,$F$5,0)+IF(D50&lt;=0,$F$6,0)+IF(E50&lt;=0,$F$7,0)+IF(F50&lt;=0,$F$8,0)+IF(G50&lt;=0,$F$9,0)+IF(H50&lt;=0,$F$10,0)+IF(I50&lt;=0,$F$11,0)+IF(J50&lt;=0,$F$12,0)+IF(K50&lt;=0,$F$13,0)+IF(L50&lt;=0,$F$14,0)+IF(M50&lt;=0,$F$15,0)+IF(N50&lt;=0,$F$16,0)+IF(O50&lt;=0,$F$17,0)+IF(P50&lt;=0,$F$18,0)+IF(Q50&lt;=0,$F$19,0)+IF(R50&lt;=0,$F$20,0)+IF(S50&lt;=0,$F$21,0)+IF(T50&lt;=0,$F$22,0)+IF(U50&lt;=0,$F$23,0)+IF(V50&lt;=0,$F$24,0)),MAX(0,$F$5+(Dashboard!$C$11+IF(C50&lt;=0,$F$5,0)+IF(D50&lt;=0,$F$6,0)+IF(E50&lt;=0,$F$7,0)+IF(F50&lt;=0,$F$8,0)+IF(G50&lt;=0,$F$9,0)+IF(H50&lt;=0,$F$10,0)+IF(I50&lt;=0,$F$11,0)+IF(J50&lt;=0,$F$12,0)+IF(K50&lt;=0,$F$13,0)+IF(L50&lt;=0,$F$14,0)+IF(M50&lt;=0,$F$15,0)+IF(N50&lt;=0,$F$16,0)+IF(O50&lt;=0,$F$17,0)+IF(P50&lt;=0,$F$18,0)+IF(Q50&lt;=0,$F$19,0)+IF(R50&lt;=0,$F$20,0)+IF(S50&lt;=0,$F$21,0)+IF(T50&lt;=0,$F$22,0)+IF(U50&lt;=0,$F$23,0)+IF(V50&lt;=0,$F$24,0))-C50-AN51))</f>
        <v/>
      </c>
      <c r="AQ51">
        <f>IF(D50&lt;=0,0,D50*$E$6/12)</f>
        <v/>
      </c>
      <c r="AR51">
        <f>IF(D50&lt;=0,0,MIN(D50+AQ51,$F$6+AP51))</f>
        <v/>
      </c>
      <c r="AS51">
        <f>IF(D50&lt;=0,AP51,MAX(0,$F$6+AP51-D50-AQ51))</f>
        <v/>
      </c>
      <c r="AT51">
        <f>IF(E50&lt;=0,0,E50*$E$7/12)</f>
        <v/>
      </c>
      <c r="AU51">
        <f>IF(E50&lt;=0,0,MIN(E50+AT51,$F$7+AS51))</f>
        <v/>
      </c>
      <c r="AV51">
        <f>IF(E50&lt;=0,AS51,MAX(0,$F$7+AS51-E50-AT51))</f>
        <v/>
      </c>
      <c r="AW51">
        <f>IF(F50&lt;=0,0,F50*$E$8/12)</f>
        <v/>
      </c>
      <c r="AX51">
        <f>IF(F50&lt;=0,0,MIN(F50+AW51,$F$8+AV51))</f>
        <v/>
      </c>
      <c r="AY51">
        <f>IF(F50&lt;=0,AV51,MAX(0,$F$8+AV51-F50-AW51))</f>
        <v/>
      </c>
      <c r="AZ51">
        <f>IF(G50&lt;=0,0,G50*$E$9/12)</f>
        <v/>
      </c>
      <c r="BA51">
        <f>IF(G50&lt;=0,0,MIN(G50+AZ51,$F$9+AY51))</f>
        <v/>
      </c>
      <c r="BB51">
        <f>IF(G50&lt;=0,AY51,MAX(0,$F$9+AY51-G50-AZ51))</f>
        <v/>
      </c>
      <c r="BC51">
        <f>IF(H50&lt;=0,0,H50*$E$10/12)</f>
        <v/>
      </c>
      <c r="BD51">
        <f>IF(H50&lt;=0,0,MIN(H50+BC51,$F$10+BB51))</f>
        <v/>
      </c>
      <c r="BE51">
        <f>IF(H50&lt;=0,BB51,MAX(0,$F$10+BB51-H50-BC51))</f>
        <v/>
      </c>
      <c r="BF51">
        <f>IF(I50&lt;=0,0,I50*$E$11/12)</f>
        <v/>
      </c>
      <c r="BG51">
        <f>IF(I50&lt;=0,0,MIN(I50+BF51,$F$11+BE51))</f>
        <v/>
      </c>
      <c r="BH51">
        <f>IF(I50&lt;=0,BE51,MAX(0,$F$11+BE51-I50-BF51))</f>
        <v/>
      </c>
      <c r="BI51">
        <f>IF(J50&lt;=0,0,J50*$E$12/12)</f>
        <v/>
      </c>
      <c r="BJ51">
        <f>IF(J50&lt;=0,0,MIN(J50+BI51,$F$12+BH51))</f>
        <v/>
      </c>
      <c r="BK51">
        <f>IF(J50&lt;=0,BH51,MAX(0,$F$12+BH51-J50-BI51))</f>
        <v/>
      </c>
      <c r="BL51">
        <f>IF(K50&lt;=0,0,K50*$E$13/12)</f>
        <v/>
      </c>
      <c r="BM51">
        <f>IF(K50&lt;=0,0,MIN(K50+BL51,$F$13+BK51))</f>
        <v/>
      </c>
      <c r="BN51">
        <f>IF(K50&lt;=0,BK51,MAX(0,$F$13+BK51-K50-BL51))</f>
        <v/>
      </c>
      <c r="BO51">
        <f>IF(L50&lt;=0,0,L50*$E$14/12)</f>
        <v/>
      </c>
      <c r="BP51">
        <f>IF(L50&lt;=0,0,MIN(L50+BO51,$F$14+BN51))</f>
        <v/>
      </c>
      <c r="BQ51">
        <f>IF(L50&lt;=0,BN51,MAX(0,$F$14+BN51-L50-BO51))</f>
        <v/>
      </c>
      <c r="BR51">
        <f>IF(M50&lt;=0,0,M50*$E$15/12)</f>
        <v/>
      </c>
      <c r="BS51">
        <f>IF(M50&lt;=0,0,MIN(M50+BR51,$F$15+BQ51))</f>
        <v/>
      </c>
      <c r="BT51">
        <f>IF(M50&lt;=0,BQ51,MAX(0,$F$15+BQ51-M50-BR51))</f>
        <v/>
      </c>
      <c r="BU51">
        <f>IF(N50&lt;=0,0,N50*$E$16/12)</f>
        <v/>
      </c>
      <c r="BV51">
        <f>IF(N50&lt;=0,0,MIN(N50+BU51,$F$16+BT51))</f>
        <v/>
      </c>
      <c r="BW51">
        <f>IF(N50&lt;=0,BT51,MAX(0,$F$16+BT51-N50-BU51))</f>
        <v/>
      </c>
      <c r="BX51">
        <f>IF(O50&lt;=0,0,O50*$E$17/12)</f>
        <v/>
      </c>
      <c r="BY51">
        <f>IF(O50&lt;=0,0,MIN(O50+BX51,$F$17+BW51))</f>
        <v/>
      </c>
      <c r="BZ51">
        <f>IF(O50&lt;=0,BW51,MAX(0,$F$17+BW51-O50-BX51))</f>
        <v/>
      </c>
      <c r="CA51">
        <f>IF(P50&lt;=0,0,P50*$E$18/12)</f>
        <v/>
      </c>
      <c r="CB51">
        <f>IF(P50&lt;=0,0,MIN(P50+CA51,$F$18+BZ51))</f>
        <v/>
      </c>
      <c r="CC51">
        <f>IF(P50&lt;=0,BZ51,MAX(0,$F$18+BZ51-P50-CA51))</f>
        <v/>
      </c>
      <c r="CD51">
        <f>IF(Q50&lt;=0,0,Q50*$E$19/12)</f>
        <v/>
      </c>
      <c r="CE51">
        <f>IF(Q50&lt;=0,0,MIN(Q50+CD51,$F$19+CC51))</f>
        <v/>
      </c>
      <c r="CF51">
        <f>IF(Q50&lt;=0,CC51,MAX(0,$F$19+CC51-Q50-CD51))</f>
        <v/>
      </c>
      <c r="CG51">
        <f>IF(R50&lt;=0,0,R50*$E$20/12)</f>
        <v/>
      </c>
      <c r="CH51">
        <f>IF(R50&lt;=0,0,MIN(R50+CG51,$F$20+CF51))</f>
        <v/>
      </c>
      <c r="CI51">
        <f>IF(R50&lt;=0,CF51,MAX(0,$F$20+CF51-R50-CG51))</f>
        <v/>
      </c>
      <c r="CJ51">
        <f>IF(S50&lt;=0,0,S50*$E$21/12)</f>
        <v/>
      </c>
      <c r="CK51">
        <f>IF(S50&lt;=0,0,MIN(S50+CJ51,$F$21+CI51))</f>
        <v/>
      </c>
      <c r="CL51">
        <f>IF(S50&lt;=0,CI51,MAX(0,$F$21+CI51-S50-CJ51))</f>
        <v/>
      </c>
      <c r="CM51">
        <f>IF(T50&lt;=0,0,T50*$E$22/12)</f>
        <v/>
      </c>
      <c r="CN51">
        <f>IF(T50&lt;=0,0,MIN(T50+CM51,$F$22+CL51))</f>
        <v/>
      </c>
      <c r="CO51">
        <f>IF(T50&lt;=0,CL51,MAX(0,$F$22+CL51-T50-CM51))</f>
        <v/>
      </c>
      <c r="CP51">
        <f>IF(U50&lt;=0,0,U50*$E$23/12)</f>
        <v/>
      </c>
      <c r="CQ51">
        <f>IF(U50&lt;=0,0,MIN(U50+CP51,$F$23+CO51))</f>
        <v/>
      </c>
      <c r="CR51">
        <f>IF(U50&lt;=0,CO51,MAX(0,$F$23+CO51-U50-CP51))</f>
        <v/>
      </c>
      <c r="CS51">
        <f>IF(V50&lt;=0,0,V50*$E$24/12)</f>
        <v/>
      </c>
      <c r="CT51">
        <f>IF(V50&lt;=0,0,MIN(V50+CS51,$F$24+CR51))</f>
        <v/>
      </c>
      <c r="CU51">
        <f>IF(V50&lt;=0,CR51,MAX(0,$F$24+CR51-V50-CS51))</f>
        <v/>
      </c>
    </row>
    <row r="52">
      <c r="B52" s="39" t="n">
        <v>26</v>
      </c>
      <c r="C52" s="13">
        <f>IF(C51&lt;=0,0,MAX(0,C51+AN52-AO52))</f>
        <v/>
      </c>
      <c r="D52" s="13">
        <f>IF(D51&lt;=0,0,MAX(0,D51+AQ52-AR52))</f>
        <v/>
      </c>
      <c r="E52" s="13">
        <f>IF(E51&lt;=0,0,MAX(0,E51+AT52-AU52))</f>
        <v/>
      </c>
      <c r="F52" s="13">
        <f>IF(F51&lt;=0,0,MAX(0,F51+AW52-AX52))</f>
        <v/>
      </c>
      <c r="G52" s="13">
        <f>IF(G51&lt;=0,0,MAX(0,G51+AZ52-BA52))</f>
        <v/>
      </c>
      <c r="H52" s="13">
        <f>IF(H51&lt;=0,0,MAX(0,H51+BC52-BD52))</f>
        <v/>
      </c>
      <c r="I52" s="13">
        <f>IF(I51&lt;=0,0,MAX(0,I51+BF52-BG52))</f>
        <v/>
      </c>
      <c r="J52" s="13">
        <f>IF(J51&lt;=0,0,MAX(0,J51+BI52-BJ52))</f>
        <v/>
      </c>
      <c r="K52" s="13">
        <f>IF(K51&lt;=0,0,MAX(0,K51+BL52-BM52))</f>
        <v/>
      </c>
      <c r="L52" s="13">
        <f>IF(L51&lt;=0,0,MAX(0,L51+BO52-BP52))</f>
        <v/>
      </c>
      <c r="M52" s="13">
        <f>IF(M51&lt;=0,0,MAX(0,M51+BR52-BS52))</f>
        <v/>
      </c>
      <c r="N52" s="13">
        <f>IF(N51&lt;=0,0,MAX(0,N51+BU52-BV52))</f>
        <v/>
      </c>
      <c r="O52" s="13">
        <f>IF(O51&lt;=0,0,MAX(0,O51+BX52-BY52))</f>
        <v/>
      </c>
      <c r="P52" s="13">
        <f>IF(P51&lt;=0,0,MAX(0,P51+CA52-CB52))</f>
        <v/>
      </c>
      <c r="Q52" s="13">
        <f>IF(Q51&lt;=0,0,MAX(0,Q51+CD52-CE52))</f>
        <v/>
      </c>
      <c r="R52" s="13">
        <f>IF(R51&lt;=0,0,MAX(0,R51+CG52-CH52))</f>
        <v/>
      </c>
      <c r="S52" s="13">
        <f>IF(S51&lt;=0,0,MAX(0,S51+CJ52-CK52))</f>
        <v/>
      </c>
      <c r="T52" s="13">
        <f>IF(T51&lt;=0,0,MAX(0,T51+CM52-CN52))</f>
        <v/>
      </c>
      <c r="U52" s="13">
        <f>IF(U51&lt;=0,0,MAX(0,U51+CP52-CQ52))</f>
        <v/>
      </c>
      <c r="V52" s="13">
        <f>IF(V51&lt;=0,0,MAX(0,V51+CS52-CT52))</f>
        <v/>
      </c>
      <c r="W52" s="13">
        <f>AO52+AR52+AU52+AX52+BA52+BD52+BG52+BJ52+BM52+BP52+BS52+BV52+BY52+CB52+CE52+CH52+CK52+CN52+CQ52+CT52</f>
        <v/>
      </c>
      <c r="X52" s="13">
        <f>AN52+AQ52+AT52+AW52+AZ52+BC52+BF52+BI52+BL52+BO52+BR52+BU52+BX52+CA52+CD52+CG52+CJ52+CM52+CP52+CS52</f>
        <v/>
      </c>
      <c r="Y52" s="27">
        <f>C52+D52+E52+F52+G52+H52+I52+J52+K52+L52+M52+N52+O52+P52+Q52+R52+S52+T52+U52+V52</f>
        <v/>
      </c>
      <c r="AN52">
        <f>IF(C51&lt;=0,0,C51*$E$5/12)</f>
        <v/>
      </c>
      <c r="AO52">
        <f>IF(C51&lt;=0,0,MIN(C51+AN52,$F$5+(Dashboard!$C$11+IF(C51&lt;=0,$F$5,0)+IF(D51&lt;=0,$F$6,0)+IF(E51&lt;=0,$F$7,0)+IF(F51&lt;=0,$F$8,0)+IF(G51&lt;=0,$F$9,0)+IF(H51&lt;=0,$F$10,0)+IF(I51&lt;=0,$F$11,0)+IF(J51&lt;=0,$F$12,0)+IF(K51&lt;=0,$F$13,0)+IF(L51&lt;=0,$F$14,0)+IF(M51&lt;=0,$F$15,0)+IF(N51&lt;=0,$F$16,0)+IF(O51&lt;=0,$F$17,0)+IF(P51&lt;=0,$F$18,0)+IF(Q51&lt;=0,$F$19,0)+IF(R51&lt;=0,$F$20,0)+IF(S51&lt;=0,$F$21,0)+IF(T51&lt;=0,$F$22,0)+IF(U51&lt;=0,$F$23,0)+IF(V51&lt;=0,$F$24,0))))</f>
        <v/>
      </c>
      <c r="AP52">
        <f>IF(C51&lt;=0,(Dashboard!$C$11+IF(C51&lt;=0,$F$5,0)+IF(D51&lt;=0,$F$6,0)+IF(E51&lt;=0,$F$7,0)+IF(F51&lt;=0,$F$8,0)+IF(G51&lt;=0,$F$9,0)+IF(H51&lt;=0,$F$10,0)+IF(I51&lt;=0,$F$11,0)+IF(J51&lt;=0,$F$12,0)+IF(K51&lt;=0,$F$13,0)+IF(L51&lt;=0,$F$14,0)+IF(M51&lt;=0,$F$15,0)+IF(N51&lt;=0,$F$16,0)+IF(O51&lt;=0,$F$17,0)+IF(P51&lt;=0,$F$18,0)+IF(Q51&lt;=0,$F$19,0)+IF(R51&lt;=0,$F$20,0)+IF(S51&lt;=0,$F$21,0)+IF(T51&lt;=0,$F$22,0)+IF(U51&lt;=0,$F$23,0)+IF(V51&lt;=0,$F$24,0)),MAX(0,$F$5+(Dashboard!$C$11+IF(C51&lt;=0,$F$5,0)+IF(D51&lt;=0,$F$6,0)+IF(E51&lt;=0,$F$7,0)+IF(F51&lt;=0,$F$8,0)+IF(G51&lt;=0,$F$9,0)+IF(H51&lt;=0,$F$10,0)+IF(I51&lt;=0,$F$11,0)+IF(J51&lt;=0,$F$12,0)+IF(K51&lt;=0,$F$13,0)+IF(L51&lt;=0,$F$14,0)+IF(M51&lt;=0,$F$15,0)+IF(N51&lt;=0,$F$16,0)+IF(O51&lt;=0,$F$17,0)+IF(P51&lt;=0,$F$18,0)+IF(Q51&lt;=0,$F$19,0)+IF(R51&lt;=0,$F$20,0)+IF(S51&lt;=0,$F$21,0)+IF(T51&lt;=0,$F$22,0)+IF(U51&lt;=0,$F$23,0)+IF(V51&lt;=0,$F$24,0))-C51-AN52))</f>
        <v/>
      </c>
      <c r="AQ52">
        <f>IF(D51&lt;=0,0,D51*$E$6/12)</f>
        <v/>
      </c>
      <c r="AR52">
        <f>IF(D51&lt;=0,0,MIN(D51+AQ52,$F$6+AP52))</f>
        <v/>
      </c>
      <c r="AS52">
        <f>IF(D51&lt;=0,AP52,MAX(0,$F$6+AP52-D51-AQ52))</f>
        <v/>
      </c>
      <c r="AT52">
        <f>IF(E51&lt;=0,0,E51*$E$7/12)</f>
        <v/>
      </c>
      <c r="AU52">
        <f>IF(E51&lt;=0,0,MIN(E51+AT52,$F$7+AS52))</f>
        <v/>
      </c>
      <c r="AV52">
        <f>IF(E51&lt;=0,AS52,MAX(0,$F$7+AS52-E51-AT52))</f>
        <v/>
      </c>
      <c r="AW52">
        <f>IF(F51&lt;=0,0,F51*$E$8/12)</f>
        <v/>
      </c>
      <c r="AX52">
        <f>IF(F51&lt;=0,0,MIN(F51+AW52,$F$8+AV52))</f>
        <v/>
      </c>
      <c r="AY52">
        <f>IF(F51&lt;=0,AV52,MAX(0,$F$8+AV52-F51-AW52))</f>
        <v/>
      </c>
      <c r="AZ52">
        <f>IF(G51&lt;=0,0,G51*$E$9/12)</f>
        <v/>
      </c>
      <c r="BA52">
        <f>IF(G51&lt;=0,0,MIN(G51+AZ52,$F$9+AY52))</f>
        <v/>
      </c>
      <c r="BB52">
        <f>IF(G51&lt;=0,AY52,MAX(0,$F$9+AY52-G51-AZ52))</f>
        <v/>
      </c>
      <c r="BC52">
        <f>IF(H51&lt;=0,0,H51*$E$10/12)</f>
        <v/>
      </c>
      <c r="BD52">
        <f>IF(H51&lt;=0,0,MIN(H51+BC52,$F$10+BB52))</f>
        <v/>
      </c>
      <c r="BE52">
        <f>IF(H51&lt;=0,BB52,MAX(0,$F$10+BB52-H51-BC52))</f>
        <v/>
      </c>
      <c r="BF52">
        <f>IF(I51&lt;=0,0,I51*$E$11/12)</f>
        <v/>
      </c>
      <c r="BG52">
        <f>IF(I51&lt;=0,0,MIN(I51+BF52,$F$11+BE52))</f>
        <v/>
      </c>
      <c r="BH52">
        <f>IF(I51&lt;=0,BE52,MAX(0,$F$11+BE52-I51-BF52))</f>
        <v/>
      </c>
      <c r="BI52">
        <f>IF(J51&lt;=0,0,J51*$E$12/12)</f>
        <v/>
      </c>
      <c r="BJ52">
        <f>IF(J51&lt;=0,0,MIN(J51+BI52,$F$12+BH52))</f>
        <v/>
      </c>
      <c r="BK52">
        <f>IF(J51&lt;=0,BH52,MAX(0,$F$12+BH52-J51-BI52))</f>
        <v/>
      </c>
      <c r="BL52">
        <f>IF(K51&lt;=0,0,K51*$E$13/12)</f>
        <v/>
      </c>
      <c r="BM52">
        <f>IF(K51&lt;=0,0,MIN(K51+BL52,$F$13+BK52))</f>
        <v/>
      </c>
      <c r="BN52">
        <f>IF(K51&lt;=0,BK52,MAX(0,$F$13+BK52-K51-BL52))</f>
        <v/>
      </c>
      <c r="BO52">
        <f>IF(L51&lt;=0,0,L51*$E$14/12)</f>
        <v/>
      </c>
      <c r="BP52">
        <f>IF(L51&lt;=0,0,MIN(L51+BO52,$F$14+BN52))</f>
        <v/>
      </c>
      <c r="BQ52">
        <f>IF(L51&lt;=0,BN52,MAX(0,$F$14+BN52-L51-BO52))</f>
        <v/>
      </c>
      <c r="BR52">
        <f>IF(M51&lt;=0,0,M51*$E$15/12)</f>
        <v/>
      </c>
      <c r="BS52">
        <f>IF(M51&lt;=0,0,MIN(M51+BR52,$F$15+BQ52))</f>
        <v/>
      </c>
      <c r="BT52">
        <f>IF(M51&lt;=0,BQ52,MAX(0,$F$15+BQ52-M51-BR52))</f>
        <v/>
      </c>
      <c r="BU52">
        <f>IF(N51&lt;=0,0,N51*$E$16/12)</f>
        <v/>
      </c>
      <c r="BV52">
        <f>IF(N51&lt;=0,0,MIN(N51+BU52,$F$16+BT52))</f>
        <v/>
      </c>
      <c r="BW52">
        <f>IF(N51&lt;=0,BT52,MAX(0,$F$16+BT52-N51-BU52))</f>
        <v/>
      </c>
      <c r="BX52">
        <f>IF(O51&lt;=0,0,O51*$E$17/12)</f>
        <v/>
      </c>
      <c r="BY52">
        <f>IF(O51&lt;=0,0,MIN(O51+BX52,$F$17+BW52))</f>
        <v/>
      </c>
      <c r="BZ52">
        <f>IF(O51&lt;=0,BW52,MAX(0,$F$17+BW52-O51-BX52))</f>
        <v/>
      </c>
      <c r="CA52">
        <f>IF(P51&lt;=0,0,P51*$E$18/12)</f>
        <v/>
      </c>
      <c r="CB52">
        <f>IF(P51&lt;=0,0,MIN(P51+CA52,$F$18+BZ52))</f>
        <v/>
      </c>
      <c r="CC52">
        <f>IF(P51&lt;=0,BZ52,MAX(0,$F$18+BZ52-P51-CA52))</f>
        <v/>
      </c>
      <c r="CD52">
        <f>IF(Q51&lt;=0,0,Q51*$E$19/12)</f>
        <v/>
      </c>
      <c r="CE52">
        <f>IF(Q51&lt;=0,0,MIN(Q51+CD52,$F$19+CC52))</f>
        <v/>
      </c>
      <c r="CF52">
        <f>IF(Q51&lt;=0,CC52,MAX(0,$F$19+CC52-Q51-CD52))</f>
        <v/>
      </c>
      <c r="CG52">
        <f>IF(R51&lt;=0,0,R51*$E$20/12)</f>
        <v/>
      </c>
      <c r="CH52">
        <f>IF(R51&lt;=0,0,MIN(R51+CG52,$F$20+CF52))</f>
        <v/>
      </c>
      <c r="CI52">
        <f>IF(R51&lt;=0,CF52,MAX(0,$F$20+CF52-R51-CG52))</f>
        <v/>
      </c>
      <c r="CJ52">
        <f>IF(S51&lt;=0,0,S51*$E$21/12)</f>
        <v/>
      </c>
      <c r="CK52">
        <f>IF(S51&lt;=0,0,MIN(S51+CJ52,$F$21+CI52))</f>
        <v/>
      </c>
      <c r="CL52">
        <f>IF(S51&lt;=0,CI52,MAX(0,$F$21+CI52-S51-CJ52))</f>
        <v/>
      </c>
      <c r="CM52">
        <f>IF(T51&lt;=0,0,T51*$E$22/12)</f>
        <v/>
      </c>
      <c r="CN52">
        <f>IF(T51&lt;=0,0,MIN(T51+CM52,$F$22+CL52))</f>
        <v/>
      </c>
      <c r="CO52">
        <f>IF(T51&lt;=0,CL52,MAX(0,$F$22+CL52-T51-CM52))</f>
        <v/>
      </c>
      <c r="CP52">
        <f>IF(U51&lt;=0,0,U51*$E$23/12)</f>
        <v/>
      </c>
      <c r="CQ52">
        <f>IF(U51&lt;=0,0,MIN(U51+CP52,$F$23+CO52))</f>
        <v/>
      </c>
      <c r="CR52">
        <f>IF(U51&lt;=0,CO52,MAX(0,$F$23+CO52-U51-CP52))</f>
        <v/>
      </c>
      <c r="CS52">
        <f>IF(V51&lt;=0,0,V51*$E$24/12)</f>
        <v/>
      </c>
      <c r="CT52">
        <f>IF(V51&lt;=0,0,MIN(V51+CS52,$F$24+CR52))</f>
        <v/>
      </c>
      <c r="CU52">
        <f>IF(V51&lt;=0,CR52,MAX(0,$F$24+CR52-V51-CS52))</f>
        <v/>
      </c>
    </row>
    <row r="53">
      <c r="B53" s="39" t="n">
        <v>27</v>
      </c>
      <c r="C53" s="13">
        <f>IF(C52&lt;=0,0,MAX(0,C52+AN53-AO53))</f>
        <v/>
      </c>
      <c r="D53" s="13">
        <f>IF(D52&lt;=0,0,MAX(0,D52+AQ53-AR53))</f>
        <v/>
      </c>
      <c r="E53" s="13">
        <f>IF(E52&lt;=0,0,MAX(0,E52+AT53-AU53))</f>
        <v/>
      </c>
      <c r="F53" s="13">
        <f>IF(F52&lt;=0,0,MAX(0,F52+AW53-AX53))</f>
        <v/>
      </c>
      <c r="G53" s="13">
        <f>IF(G52&lt;=0,0,MAX(0,G52+AZ53-BA53))</f>
        <v/>
      </c>
      <c r="H53" s="13">
        <f>IF(H52&lt;=0,0,MAX(0,H52+BC53-BD53))</f>
        <v/>
      </c>
      <c r="I53" s="13">
        <f>IF(I52&lt;=0,0,MAX(0,I52+BF53-BG53))</f>
        <v/>
      </c>
      <c r="J53" s="13">
        <f>IF(J52&lt;=0,0,MAX(0,J52+BI53-BJ53))</f>
        <v/>
      </c>
      <c r="K53" s="13">
        <f>IF(K52&lt;=0,0,MAX(0,K52+BL53-BM53))</f>
        <v/>
      </c>
      <c r="L53" s="13">
        <f>IF(L52&lt;=0,0,MAX(0,L52+BO53-BP53))</f>
        <v/>
      </c>
      <c r="M53" s="13">
        <f>IF(M52&lt;=0,0,MAX(0,M52+BR53-BS53))</f>
        <v/>
      </c>
      <c r="N53" s="13">
        <f>IF(N52&lt;=0,0,MAX(0,N52+BU53-BV53))</f>
        <v/>
      </c>
      <c r="O53" s="13">
        <f>IF(O52&lt;=0,0,MAX(0,O52+BX53-BY53))</f>
        <v/>
      </c>
      <c r="P53" s="13">
        <f>IF(P52&lt;=0,0,MAX(0,P52+CA53-CB53))</f>
        <v/>
      </c>
      <c r="Q53" s="13">
        <f>IF(Q52&lt;=0,0,MAX(0,Q52+CD53-CE53))</f>
        <v/>
      </c>
      <c r="R53" s="13">
        <f>IF(R52&lt;=0,0,MAX(0,R52+CG53-CH53))</f>
        <v/>
      </c>
      <c r="S53" s="13">
        <f>IF(S52&lt;=0,0,MAX(0,S52+CJ53-CK53))</f>
        <v/>
      </c>
      <c r="T53" s="13">
        <f>IF(T52&lt;=0,0,MAX(0,T52+CM53-CN53))</f>
        <v/>
      </c>
      <c r="U53" s="13">
        <f>IF(U52&lt;=0,0,MAX(0,U52+CP53-CQ53))</f>
        <v/>
      </c>
      <c r="V53" s="13">
        <f>IF(V52&lt;=0,0,MAX(0,V52+CS53-CT53))</f>
        <v/>
      </c>
      <c r="W53" s="13">
        <f>AO53+AR53+AU53+AX53+BA53+BD53+BG53+BJ53+BM53+BP53+BS53+BV53+BY53+CB53+CE53+CH53+CK53+CN53+CQ53+CT53</f>
        <v/>
      </c>
      <c r="X53" s="13">
        <f>AN53+AQ53+AT53+AW53+AZ53+BC53+BF53+BI53+BL53+BO53+BR53+BU53+BX53+CA53+CD53+CG53+CJ53+CM53+CP53+CS53</f>
        <v/>
      </c>
      <c r="Y53" s="27">
        <f>C53+D53+E53+F53+G53+H53+I53+J53+K53+L53+M53+N53+O53+P53+Q53+R53+S53+T53+U53+V53</f>
        <v/>
      </c>
      <c r="AN53">
        <f>IF(C52&lt;=0,0,C52*$E$5/12)</f>
        <v/>
      </c>
      <c r="AO53">
        <f>IF(C52&lt;=0,0,MIN(C52+AN53,$F$5+(Dashboard!$C$11+IF(C52&lt;=0,$F$5,0)+IF(D52&lt;=0,$F$6,0)+IF(E52&lt;=0,$F$7,0)+IF(F52&lt;=0,$F$8,0)+IF(G52&lt;=0,$F$9,0)+IF(H52&lt;=0,$F$10,0)+IF(I52&lt;=0,$F$11,0)+IF(J52&lt;=0,$F$12,0)+IF(K52&lt;=0,$F$13,0)+IF(L52&lt;=0,$F$14,0)+IF(M52&lt;=0,$F$15,0)+IF(N52&lt;=0,$F$16,0)+IF(O52&lt;=0,$F$17,0)+IF(P52&lt;=0,$F$18,0)+IF(Q52&lt;=0,$F$19,0)+IF(R52&lt;=0,$F$20,0)+IF(S52&lt;=0,$F$21,0)+IF(T52&lt;=0,$F$22,0)+IF(U52&lt;=0,$F$23,0)+IF(V52&lt;=0,$F$24,0))))</f>
        <v/>
      </c>
      <c r="AP53">
        <f>IF(C52&lt;=0,(Dashboard!$C$11+IF(C52&lt;=0,$F$5,0)+IF(D52&lt;=0,$F$6,0)+IF(E52&lt;=0,$F$7,0)+IF(F52&lt;=0,$F$8,0)+IF(G52&lt;=0,$F$9,0)+IF(H52&lt;=0,$F$10,0)+IF(I52&lt;=0,$F$11,0)+IF(J52&lt;=0,$F$12,0)+IF(K52&lt;=0,$F$13,0)+IF(L52&lt;=0,$F$14,0)+IF(M52&lt;=0,$F$15,0)+IF(N52&lt;=0,$F$16,0)+IF(O52&lt;=0,$F$17,0)+IF(P52&lt;=0,$F$18,0)+IF(Q52&lt;=0,$F$19,0)+IF(R52&lt;=0,$F$20,0)+IF(S52&lt;=0,$F$21,0)+IF(T52&lt;=0,$F$22,0)+IF(U52&lt;=0,$F$23,0)+IF(V52&lt;=0,$F$24,0)),MAX(0,$F$5+(Dashboard!$C$11+IF(C52&lt;=0,$F$5,0)+IF(D52&lt;=0,$F$6,0)+IF(E52&lt;=0,$F$7,0)+IF(F52&lt;=0,$F$8,0)+IF(G52&lt;=0,$F$9,0)+IF(H52&lt;=0,$F$10,0)+IF(I52&lt;=0,$F$11,0)+IF(J52&lt;=0,$F$12,0)+IF(K52&lt;=0,$F$13,0)+IF(L52&lt;=0,$F$14,0)+IF(M52&lt;=0,$F$15,0)+IF(N52&lt;=0,$F$16,0)+IF(O52&lt;=0,$F$17,0)+IF(P52&lt;=0,$F$18,0)+IF(Q52&lt;=0,$F$19,0)+IF(R52&lt;=0,$F$20,0)+IF(S52&lt;=0,$F$21,0)+IF(T52&lt;=0,$F$22,0)+IF(U52&lt;=0,$F$23,0)+IF(V52&lt;=0,$F$24,0))-C52-AN53))</f>
        <v/>
      </c>
      <c r="AQ53">
        <f>IF(D52&lt;=0,0,D52*$E$6/12)</f>
        <v/>
      </c>
      <c r="AR53">
        <f>IF(D52&lt;=0,0,MIN(D52+AQ53,$F$6+AP53))</f>
        <v/>
      </c>
      <c r="AS53">
        <f>IF(D52&lt;=0,AP53,MAX(0,$F$6+AP53-D52-AQ53))</f>
        <v/>
      </c>
      <c r="AT53">
        <f>IF(E52&lt;=0,0,E52*$E$7/12)</f>
        <v/>
      </c>
      <c r="AU53">
        <f>IF(E52&lt;=0,0,MIN(E52+AT53,$F$7+AS53))</f>
        <v/>
      </c>
      <c r="AV53">
        <f>IF(E52&lt;=0,AS53,MAX(0,$F$7+AS53-E52-AT53))</f>
        <v/>
      </c>
      <c r="AW53">
        <f>IF(F52&lt;=0,0,F52*$E$8/12)</f>
        <v/>
      </c>
      <c r="AX53">
        <f>IF(F52&lt;=0,0,MIN(F52+AW53,$F$8+AV53))</f>
        <v/>
      </c>
      <c r="AY53">
        <f>IF(F52&lt;=0,AV53,MAX(0,$F$8+AV53-F52-AW53))</f>
        <v/>
      </c>
      <c r="AZ53">
        <f>IF(G52&lt;=0,0,G52*$E$9/12)</f>
        <v/>
      </c>
      <c r="BA53">
        <f>IF(G52&lt;=0,0,MIN(G52+AZ53,$F$9+AY53))</f>
        <v/>
      </c>
      <c r="BB53">
        <f>IF(G52&lt;=0,AY53,MAX(0,$F$9+AY53-G52-AZ53))</f>
        <v/>
      </c>
      <c r="BC53">
        <f>IF(H52&lt;=0,0,H52*$E$10/12)</f>
        <v/>
      </c>
      <c r="BD53">
        <f>IF(H52&lt;=0,0,MIN(H52+BC53,$F$10+BB53))</f>
        <v/>
      </c>
      <c r="BE53">
        <f>IF(H52&lt;=0,BB53,MAX(0,$F$10+BB53-H52-BC53))</f>
        <v/>
      </c>
      <c r="BF53">
        <f>IF(I52&lt;=0,0,I52*$E$11/12)</f>
        <v/>
      </c>
      <c r="BG53">
        <f>IF(I52&lt;=0,0,MIN(I52+BF53,$F$11+BE53))</f>
        <v/>
      </c>
      <c r="BH53">
        <f>IF(I52&lt;=0,BE53,MAX(0,$F$11+BE53-I52-BF53))</f>
        <v/>
      </c>
      <c r="BI53">
        <f>IF(J52&lt;=0,0,J52*$E$12/12)</f>
        <v/>
      </c>
      <c r="BJ53">
        <f>IF(J52&lt;=0,0,MIN(J52+BI53,$F$12+BH53))</f>
        <v/>
      </c>
      <c r="BK53">
        <f>IF(J52&lt;=0,BH53,MAX(0,$F$12+BH53-J52-BI53))</f>
        <v/>
      </c>
      <c r="BL53">
        <f>IF(K52&lt;=0,0,K52*$E$13/12)</f>
        <v/>
      </c>
      <c r="BM53">
        <f>IF(K52&lt;=0,0,MIN(K52+BL53,$F$13+BK53))</f>
        <v/>
      </c>
      <c r="BN53">
        <f>IF(K52&lt;=0,BK53,MAX(0,$F$13+BK53-K52-BL53))</f>
        <v/>
      </c>
      <c r="BO53">
        <f>IF(L52&lt;=0,0,L52*$E$14/12)</f>
        <v/>
      </c>
      <c r="BP53">
        <f>IF(L52&lt;=0,0,MIN(L52+BO53,$F$14+BN53))</f>
        <v/>
      </c>
      <c r="BQ53">
        <f>IF(L52&lt;=0,BN53,MAX(0,$F$14+BN53-L52-BO53))</f>
        <v/>
      </c>
      <c r="BR53">
        <f>IF(M52&lt;=0,0,M52*$E$15/12)</f>
        <v/>
      </c>
      <c r="BS53">
        <f>IF(M52&lt;=0,0,MIN(M52+BR53,$F$15+BQ53))</f>
        <v/>
      </c>
      <c r="BT53">
        <f>IF(M52&lt;=0,BQ53,MAX(0,$F$15+BQ53-M52-BR53))</f>
        <v/>
      </c>
      <c r="BU53">
        <f>IF(N52&lt;=0,0,N52*$E$16/12)</f>
        <v/>
      </c>
      <c r="BV53">
        <f>IF(N52&lt;=0,0,MIN(N52+BU53,$F$16+BT53))</f>
        <v/>
      </c>
      <c r="BW53">
        <f>IF(N52&lt;=0,BT53,MAX(0,$F$16+BT53-N52-BU53))</f>
        <v/>
      </c>
      <c r="BX53">
        <f>IF(O52&lt;=0,0,O52*$E$17/12)</f>
        <v/>
      </c>
      <c r="BY53">
        <f>IF(O52&lt;=0,0,MIN(O52+BX53,$F$17+BW53))</f>
        <v/>
      </c>
      <c r="BZ53">
        <f>IF(O52&lt;=0,BW53,MAX(0,$F$17+BW53-O52-BX53))</f>
        <v/>
      </c>
      <c r="CA53">
        <f>IF(P52&lt;=0,0,P52*$E$18/12)</f>
        <v/>
      </c>
      <c r="CB53">
        <f>IF(P52&lt;=0,0,MIN(P52+CA53,$F$18+BZ53))</f>
        <v/>
      </c>
      <c r="CC53">
        <f>IF(P52&lt;=0,BZ53,MAX(0,$F$18+BZ53-P52-CA53))</f>
        <v/>
      </c>
      <c r="CD53">
        <f>IF(Q52&lt;=0,0,Q52*$E$19/12)</f>
        <v/>
      </c>
      <c r="CE53">
        <f>IF(Q52&lt;=0,0,MIN(Q52+CD53,$F$19+CC53))</f>
        <v/>
      </c>
      <c r="CF53">
        <f>IF(Q52&lt;=0,CC53,MAX(0,$F$19+CC53-Q52-CD53))</f>
        <v/>
      </c>
      <c r="CG53">
        <f>IF(R52&lt;=0,0,R52*$E$20/12)</f>
        <v/>
      </c>
      <c r="CH53">
        <f>IF(R52&lt;=0,0,MIN(R52+CG53,$F$20+CF53))</f>
        <v/>
      </c>
      <c r="CI53">
        <f>IF(R52&lt;=0,CF53,MAX(0,$F$20+CF53-R52-CG53))</f>
        <v/>
      </c>
      <c r="CJ53">
        <f>IF(S52&lt;=0,0,S52*$E$21/12)</f>
        <v/>
      </c>
      <c r="CK53">
        <f>IF(S52&lt;=0,0,MIN(S52+CJ53,$F$21+CI53))</f>
        <v/>
      </c>
      <c r="CL53">
        <f>IF(S52&lt;=0,CI53,MAX(0,$F$21+CI53-S52-CJ53))</f>
        <v/>
      </c>
      <c r="CM53">
        <f>IF(T52&lt;=0,0,T52*$E$22/12)</f>
        <v/>
      </c>
      <c r="CN53">
        <f>IF(T52&lt;=0,0,MIN(T52+CM53,$F$22+CL53))</f>
        <v/>
      </c>
      <c r="CO53">
        <f>IF(T52&lt;=0,CL53,MAX(0,$F$22+CL53-T52-CM53))</f>
        <v/>
      </c>
      <c r="CP53">
        <f>IF(U52&lt;=0,0,U52*$E$23/12)</f>
        <v/>
      </c>
      <c r="CQ53">
        <f>IF(U52&lt;=0,0,MIN(U52+CP53,$F$23+CO53))</f>
        <v/>
      </c>
      <c r="CR53">
        <f>IF(U52&lt;=0,CO53,MAX(0,$F$23+CO53-U52-CP53))</f>
        <v/>
      </c>
      <c r="CS53">
        <f>IF(V52&lt;=0,0,V52*$E$24/12)</f>
        <v/>
      </c>
      <c r="CT53">
        <f>IF(V52&lt;=0,0,MIN(V52+CS53,$F$24+CR53))</f>
        <v/>
      </c>
      <c r="CU53">
        <f>IF(V52&lt;=0,CR53,MAX(0,$F$24+CR53-V52-CS53))</f>
        <v/>
      </c>
    </row>
    <row r="54">
      <c r="B54" s="39" t="n">
        <v>28</v>
      </c>
      <c r="C54" s="13">
        <f>IF(C53&lt;=0,0,MAX(0,C53+AN54-AO54))</f>
        <v/>
      </c>
      <c r="D54" s="13">
        <f>IF(D53&lt;=0,0,MAX(0,D53+AQ54-AR54))</f>
        <v/>
      </c>
      <c r="E54" s="13">
        <f>IF(E53&lt;=0,0,MAX(0,E53+AT54-AU54))</f>
        <v/>
      </c>
      <c r="F54" s="13">
        <f>IF(F53&lt;=0,0,MAX(0,F53+AW54-AX54))</f>
        <v/>
      </c>
      <c r="G54" s="13">
        <f>IF(G53&lt;=0,0,MAX(0,G53+AZ54-BA54))</f>
        <v/>
      </c>
      <c r="H54" s="13">
        <f>IF(H53&lt;=0,0,MAX(0,H53+BC54-BD54))</f>
        <v/>
      </c>
      <c r="I54" s="13">
        <f>IF(I53&lt;=0,0,MAX(0,I53+BF54-BG54))</f>
        <v/>
      </c>
      <c r="J54" s="13">
        <f>IF(J53&lt;=0,0,MAX(0,J53+BI54-BJ54))</f>
        <v/>
      </c>
      <c r="K54" s="13">
        <f>IF(K53&lt;=0,0,MAX(0,K53+BL54-BM54))</f>
        <v/>
      </c>
      <c r="L54" s="13">
        <f>IF(L53&lt;=0,0,MAX(0,L53+BO54-BP54))</f>
        <v/>
      </c>
      <c r="M54" s="13">
        <f>IF(M53&lt;=0,0,MAX(0,M53+BR54-BS54))</f>
        <v/>
      </c>
      <c r="N54" s="13">
        <f>IF(N53&lt;=0,0,MAX(0,N53+BU54-BV54))</f>
        <v/>
      </c>
      <c r="O54" s="13">
        <f>IF(O53&lt;=0,0,MAX(0,O53+BX54-BY54))</f>
        <v/>
      </c>
      <c r="P54" s="13">
        <f>IF(P53&lt;=0,0,MAX(0,P53+CA54-CB54))</f>
        <v/>
      </c>
      <c r="Q54" s="13">
        <f>IF(Q53&lt;=0,0,MAX(0,Q53+CD54-CE54))</f>
        <v/>
      </c>
      <c r="R54" s="13">
        <f>IF(R53&lt;=0,0,MAX(0,R53+CG54-CH54))</f>
        <v/>
      </c>
      <c r="S54" s="13">
        <f>IF(S53&lt;=0,0,MAX(0,S53+CJ54-CK54))</f>
        <v/>
      </c>
      <c r="T54" s="13">
        <f>IF(T53&lt;=0,0,MAX(0,T53+CM54-CN54))</f>
        <v/>
      </c>
      <c r="U54" s="13">
        <f>IF(U53&lt;=0,0,MAX(0,U53+CP54-CQ54))</f>
        <v/>
      </c>
      <c r="V54" s="13">
        <f>IF(V53&lt;=0,0,MAX(0,V53+CS54-CT54))</f>
        <v/>
      </c>
      <c r="W54" s="13">
        <f>AO54+AR54+AU54+AX54+BA54+BD54+BG54+BJ54+BM54+BP54+BS54+BV54+BY54+CB54+CE54+CH54+CK54+CN54+CQ54+CT54</f>
        <v/>
      </c>
      <c r="X54" s="13">
        <f>AN54+AQ54+AT54+AW54+AZ54+BC54+BF54+BI54+BL54+BO54+BR54+BU54+BX54+CA54+CD54+CG54+CJ54+CM54+CP54+CS54</f>
        <v/>
      </c>
      <c r="Y54" s="27">
        <f>C54+D54+E54+F54+G54+H54+I54+J54+K54+L54+M54+N54+O54+P54+Q54+R54+S54+T54+U54+V54</f>
        <v/>
      </c>
      <c r="AN54">
        <f>IF(C53&lt;=0,0,C53*$E$5/12)</f>
        <v/>
      </c>
      <c r="AO54">
        <f>IF(C53&lt;=0,0,MIN(C53+AN54,$F$5+(Dashboard!$C$11+IF(C53&lt;=0,$F$5,0)+IF(D53&lt;=0,$F$6,0)+IF(E53&lt;=0,$F$7,0)+IF(F53&lt;=0,$F$8,0)+IF(G53&lt;=0,$F$9,0)+IF(H53&lt;=0,$F$10,0)+IF(I53&lt;=0,$F$11,0)+IF(J53&lt;=0,$F$12,0)+IF(K53&lt;=0,$F$13,0)+IF(L53&lt;=0,$F$14,0)+IF(M53&lt;=0,$F$15,0)+IF(N53&lt;=0,$F$16,0)+IF(O53&lt;=0,$F$17,0)+IF(P53&lt;=0,$F$18,0)+IF(Q53&lt;=0,$F$19,0)+IF(R53&lt;=0,$F$20,0)+IF(S53&lt;=0,$F$21,0)+IF(T53&lt;=0,$F$22,0)+IF(U53&lt;=0,$F$23,0)+IF(V53&lt;=0,$F$24,0))))</f>
        <v/>
      </c>
      <c r="AP54">
        <f>IF(C53&lt;=0,(Dashboard!$C$11+IF(C53&lt;=0,$F$5,0)+IF(D53&lt;=0,$F$6,0)+IF(E53&lt;=0,$F$7,0)+IF(F53&lt;=0,$F$8,0)+IF(G53&lt;=0,$F$9,0)+IF(H53&lt;=0,$F$10,0)+IF(I53&lt;=0,$F$11,0)+IF(J53&lt;=0,$F$12,0)+IF(K53&lt;=0,$F$13,0)+IF(L53&lt;=0,$F$14,0)+IF(M53&lt;=0,$F$15,0)+IF(N53&lt;=0,$F$16,0)+IF(O53&lt;=0,$F$17,0)+IF(P53&lt;=0,$F$18,0)+IF(Q53&lt;=0,$F$19,0)+IF(R53&lt;=0,$F$20,0)+IF(S53&lt;=0,$F$21,0)+IF(T53&lt;=0,$F$22,0)+IF(U53&lt;=0,$F$23,0)+IF(V53&lt;=0,$F$24,0)),MAX(0,$F$5+(Dashboard!$C$11+IF(C53&lt;=0,$F$5,0)+IF(D53&lt;=0,$F$6,0)+IF(E53&lt;=0,$F$7,0)+IF(F53&lt;=0,$F$8,0)+IF(G53&lt;=0,$F$9,0)+IF(H53&lt;=0,$F$10,0)+IF(I53&lt;=0,$F$11,0)+IF(J53&lt;=0,$F$12,0)+IF(K53&lt;=0,$F$13,0)+IF(L53&lt;=0,$F$14,0)+IF(M53&lt;=0,$F$15,0)+IF(N53&lt;=0,$F$16,0)+IF(O53&lt;=0,$F$17,0)+IF(P53&lt;=0,$F$18,0)+IF(Q53&lt;=0,$F$19,0)+IF(R53&lt;=0,$F$20,0)+IF(S53&lt;=0,$F$21,0)+IF(T53&lt;=0,$F$22,0)+IF(U53&lt;=0,$F$23,0)+IF(V53&lt;=0,$F$24,0))-C53-AN54))</f>
        <v/>
      </c>
      <c r="AQ54">
        <f>IF(D53&lt;=0,0,D53*$E$6/12)</f>
        <v/>
      </c>
      <c r="AR54">
        <f>IF(D53&lt;=0,0,MIN(D53+AQ54,$F$6+AP54))</f>
        <v/>
      </c>
      <c r="AS54">
        <f>IF(D53&lt;=0,AP54,MAX(0,$F$6+AP54-D53-AQ54))</f>
        <v/>
      </c>
      <c r="AT54">
        <f>IF(E53&lt;=0,0,E53*$E$7/12)</f>
        <v/>
      </c>
      <c r="AU54">
        <f>IF(E53&lt;=0,0,MIN(E53+AT54,$F$7+AS54))</f>
        <v/>
      </c>
      <c r="AV54">
        <f>IF(E53&lt;=0,AS54,MAX(0,$F$7+AS54-E53-AT54))</f>
        <v/>
      </c>
      <c r="AW54">
        <f>IF(F53&lt;=0,0,F53*$E$8/12)</f>
        <v/>
      </c>
      <c r="AX54">
        <f>IF(F53&lt;=0,0,MIN(F53+AW54,$F$8+AV54))</f>
        <v/>
      </c>
      <c r="AY54">
        <f>IF(F53&lt;=0,AV54,MAX(0,$F$8+AV54-F53-AW54))</f>
        <v/>
      </c>
      <c r="AZ54">
        <f>IF(G53&lt;=0,0,G53*$E$9/12)</f>
        <v/>
      </c>
      <c r="BA54">
        <f>IF(G53&lt;=0,0,MIN(G53+AZ54,$F$9+AY54))</f>
        <v/>
      </c>
      <c r="BB54">
        <f>IF(G53&lt;=0,AY54,MAX(0,$F$9+AY54-G53-AZ54))</f>
        <v/>
      </c>
      <c r="BC54">
        <f>IF(H53&lt;=0,0,H53*$E$10/12)</f>
        <v/>
      </c>
      <c r="BD54">
        <f>IF(H53&lt;=0,0,MIN(H53+BC54,$F$10+BB54))</f>
        <v/>
      </c>
      <c r="BE54">
        <f>IF(H53&lt;=0,BB54,MAX(0,$F$10+BB54-H53-BC54))</f>
        <v/>
      </c>
      <c r="BF54">
        <f>IF(I53&lt;=0,0,I53*$E$11/12)</f>
        <v/>
      </c>
      <c r="BG54">
        <f>IF(I53&lt;=0,0,MIN(I53+BF54,$F$11+BE54))</f>
        <v/>
      </c>
      <c r="BH54">
        <f>IF(I53&lt;=0,BE54,MAX(0,$F$11+BE54-I53-BF54))</f>
        <v/>
      </c>
      <c r="BI54">
        <f>IF(J53&lt;=0,0,J53*$E$12/12)</f>
        <v/>
      </c>
      <c r="BJ54">
        <f>IF(J53&lt;=0,0,MIN(J53+BI54,$F$12+BH54))</f>
        <v/>
      </c>
      <c r="BK54">
        <f>IF(J53&lt;=0,BH54,MAX(0,$F$12+BH54-J53-BI54))</f>
        <v/>
      </c>
      <c r="BL54">
        <f>IF(K53&lt;=0,0,K53*$E$13/12)</f>
        <v/>
      </c>
      <c r="BM54">
        <f>IF(K53&lt;=0,0,MIN(K53+BL54,$F$13+BK54))</f>
        <v/>
      </c>
      <c r="BN54">
        <f>IF(K53&lt;=0,BK54,MAX(0,$F$13+BK54-K53-BL54))</f>
        <v/>
      </c>
      <c r="BO54">
        <f>IF(L53&lt;=0,0,L53*$E$14/12)</f>
        <v/>
      </c>
      <c r="BP54">
        <f>IF(L53&lt;=0,0,MIN(L53+BO54,$F$14+BN54))</f>
        <v/>
      </c>
      <c r="BQ54">
        <f>IF(L53&lt;=0,BN54,MAX(0,$F$14+BN54-L53-BO54))</f>
        <v/>
      </c>
      <c r="BR54">
        <f>IF(M53&lt;=0,0,M53*$E$15/12)</f>
        <v/>
      </c>
      <c r="BS54">
        <f>IF(M53&lt;=0,0,MIN(M53+BR54,$F$15+BQ54))</f>
        <v/>
      </c>
      <c r="BT54">
        <f>IF(M53&lt;=0,BQ54,MAX(0,$F$15+BQ54-M53-BR54))</f>
        <v/>
      </c>
      <c r="BU54">
        <f>IF(N53&lt;=0,0,N53*$E$16/12)</f>
        <v/>
      </c>
      <c r="BV54">
        <f>IF(N53&lt;=0,0,MIN(N53+BU54,$F$16+BT54))</f>
        <v/>
      </c>
      <c r="BW54">
        <f>IF(N53&lt;=0,BT54,MAX(0,$F$16+BT54-N53-BU54))</f>
        <v/>
      </c>
      <c r="BX54">
        <f>IF(O53&lt;=0,0,O53*$E$17/12)</f>
        <v/>
      </c>
      <c r="BY54">
        <f>IF(O53&lt;=0,0,MIN(O53+BX54,$F$17+BW54))</f>
        <v/>
      </c>
      <c r="BZ54">
        <f>IF(O53&lt;=0,BW54,MAX(0,$F$17+BW54-O53-BX54))</f>
        <v/>
      </c>
      <c r="CA54">
        <f>IF(P53&lt;=0,0,P53*$E$18/12)</f>
        <v/>
      </c>
      <c r="CB54">
        <f>IF(P53&lt;=0,0,MIN(P53+CA54,$F$18+BZ54))</f>
        <v/>
      </c>
      <c r="CC54">
        <f>IF(P53&lt;=0,BZ54,MAX(0,$F$18+BZ54-P53-CA54))</f>
        <v/>
      </c>
      <c r="CD54">
        <f>IF(Q53&lt;=0,0,Q53*$E$19/12)</f>
        <v/>
      </c>
      <c r="CE54">
        <f>IF(Q53&lt;=0,0,MIN(Q53+CD54,$F$19+CC54))</f>
        <v/>
      </c>
      <c r="CF54">
        <f>IF(Q53&lt;=0,CC54,MAX(0,$F$19+CC54-Q53-CD54))</f>
        <v/>
      </c>
      <c r="CG54">
        <f>IF(R53&lt;=0,0,R53*$E$20/12)</f>
        <v/>
      </c>
      <c r="CH54">
        <f>IF(R53&lt;=0,0,MIN(R53+CG54,$F$20+CF54))</f>
        <v/>
      </c>
      <c r="CI54">
        <f>IF(R53&lt;=0,CF54,MAX(0,$F$20+CF54-R53-CG54))</f>
        <v/>
      </c>
      <c r="CJ54">
        <f>IF(S53&lt;=0,0,S53*$E$21/12)</f>
        <v/>
      </c>
      <c r="CK54">
        <f>IF(S53&lt;=0,0,MIN(S53+CJ54,$F$21+CI54))</f>
        <v/>
      </c>
      <c r="CL54">
        <f>IF(S53&lt;=0,CI54,MAX(0,$F$21+CI54-S53-CJ54))</f>
        <v/>
      </c>
      <c r="CM54">
        <f>IF(T53&lt;=0,0,T53*$E$22/12)</f>
        <v/>
      </c>
      <c r="CN54">
        <f>IF(T53&lt;=0,0,MIN(T53+CM54,$F$22+CL54))</f>
        <v/>
      </c>
      <c r="CO54">
        <f>IF(T53&lt;=0,CL54,MAX(0,$F$22+CL54-T53-CM54))</f>
        <v/>
      </c>
      <c r="CP54">
        <f>IF(U53&lt;=0,0,U53*$E$23/12)</f>
        <v/>
      </c>
      <c r="CQ54">
        <f>IF(U53&lt;=0,0,MIN(U53+CP54,$F$23+CO54))</f>
        <v/>
      </c>
      <c r="CR54">
        <f>IF(U53&lt;=0,CO54,MAX(0,$F$23+CO54-U53-CP54))</f>
        <v/>
      </c>
      <c r="CS54">
        <f>IF(V53&lt;=0,0,V53*$E$24/12)</f>
        <v/>
      </c>
      <c r="CT54">
        <f>IF(V53&lt;=0,0,MIN(V53+CS54,$F$24+CR54))</f>
        <v/>
      </c>
      <c r="CU54">
        <f>IF(V53&lt;=0,CR54,MAX(0,$F$24+CR54-V53-CS54))</f>
        <v/>
      </c>
    </row>
    <row r="55">
      <c r="B55" s="39" t="n">
        <v>29</v>
      </c>
      <c r="C55" s="13">
        <f>IF(C54&lt;=0,0,MAX(0,C54+AN55-AO55))</f>
        <v/>
      </c>
      <c r="D55" s="13">
        <f>IF(D54&lt;=0,0,MAX(0,D54+AQ55-AR55))</f>
        <v/>
      </c>
      <c r="E55" s="13">
        <f>IF(E54&lt;=0,0,MAX(0,E54+AT55-AU55))</f>
        <v/>
      </c>
      <c r="F55" s="13">
        <f>IF(F54&lt;=0,0,MAX(0,F54+AW55-AX55))</f>
        <v/>
      </c>
      <c r="G55" s="13">
        <f>IF(G54&lt;=0,0,MAX(0,G54+AZ55-BA55))</f>
        <v/>
      </c>
      <c r="H55" s="13">
        <f>IF(H54&lt;=0,0,MAX(0,H54+BC55-BD55))</f>
        <v/>
      </c>
      <c r="I55" s="13">
        <f>IF(I54&lt;=0,0,MAX(0,I54+BF55-BG55))</f>
        <v/>
      </c>
      <c r="J55" s="13">
        <f>IF(J54&lt;=0,0,MAX(0,J54+BI55-BJ55))</f>
        <v/>
      </c>
      <c r="K55" s="13">
        <f>IF(K54&lt;=0,0,MAX(0,K54+BL55-BM55))</f>
        <v/>
      </c>
      <c r="L55" s="13">
        <f>IF(L54&lt;=0,0,MAX(0,L54+BO55-BP55))</f>
        <v/>
      </c>
      <c r="M55" s="13">
        <f>IF(M54&lt;=0,0,MAX(0,M54+BR55-BS55))</f>
        <v/>
      </c>
      <c r="N55" s="13">
        <f>IF(N54&lt;=0,0,MAX(0,N54+BU55-BV55))</f>
        <v/>
      </c>
      <c r="O55" s="13">
        <f>IF(O54&lt;=0,0,MAX(0,O54+BX55-BY55))</f>
        <v/>
      </c>
      <c r="P55" s="13">
        <f>IF(P54&lt;=0,0,MAX(0,P54+CA55-CB55))</f>
        <v/>
      </c>
      <c r="Q55" s="13">
        <f>IF(Q54&lt;=0,0,MAX(0,Q54+CD55-CE55))</f>
        <v/>
      </c>
      <c r="R55" s="13">
        <f>IF(R54&lt;=0,0,MAX(0,R54+CG55-CH55))</f>
        <v/>
      </c>
      <c r="S55" s="13">
        <f>IF(S54&lt;=0,0,MAX(0,S54+CJ55-CK55))</f>
        <v/>
      </c>
      <c r="T55" s="13">
        <f>IF(T54&lt;=0,0,MAX(0,T54+CM55-CN55))</f>
        <v/>
      </c>
      <c r="U55" s="13">
        <f>IF(U54&lt;=0,0,MAX(0,U54+CP55-CQ55))</f>
        <v/>
      </c>
      <c r="V55" s="13">
        <f>IF(V54&lt;=0,0,MAX(0,V54+CS55-CT55))</f>
        <v/>
      </c>
      <c r="W55" s="13">
        <f>AO55+AR55+AU55+AX55+BA55+BD55+BG55+BJ55+BM55+BP55+BS55+BV55+BY55+CB55+CE55+CH55+CK55+CN55+CQ55+CT55</f>
        <v/>
      </c>
      <c r="X55" s="13">
        <f>AN55+AQ55+AT55+AW55+AZ55+BC55+BF55+BI55+BL55+BO55+BR55+BU55+BX55+CA55+CD55+CG55+CJ55+CM55+CP55+CS55</f>
        <v/>
      </c>
      <c r="Y55" s="27">
        <f>C55+D55+E55+F55+G55+H55+I55+J55+K55+L55+M55+N55+O55+P55+Q55+R55+S55+T55+U55+V55</f>
        <v/>
      </c>
      <c r="AN55">
        <f>IF(C54&lt;=0,0,C54*$E$5/12)</f>
        <v/>
      </c>
      <c r="AO55">
        <f>IF(C54&lt;=0,0,MIN(C54+AN55,$F$5+(Dashboard!$C$11+IF(C54&lt;=0,$F$5,0)+IF(D54&lt;=0,$F$6,0)+IF(E54&lt;=0,$F$7,0)+IF(F54&lt;=0,$F$8,0)+IF(G54&lt;=0,$F$9,0)+IF(H54&lt;=0,$F$10,0)+IF(I54&lt;=0,$F$11,0)+IF(J54&lt;=0,$F$12,0)+IF(K54&lt;=0,$F$13,0)+IF(L54&lt;=0,$F$14,0)+IF(M54&lt;=0,$F$15,0)+IF(N54&lt;=0,$F$16,0)+IF(O54&lt;=0,$F$17,0)+IF(P54&lt;=0,$F$18,0)+IF(Q54&lt;=0,$F$19,0)+IF(R54&lt;=0,$F$20,0)+IF(S54&lt;=0,$F$21,0)+IF(T54&lt;=0,$F$22,0)+IF(U54&lt;=0,$F$23,0)+IF(V54&lt;=0,$F$24,0))))</f>
        <v/>
      </c>
      <c r="AP55">
        <f>IF(C54&lt;=0,(Dashboard!$C$11+IF(C54&lt;=0,$F$5,0)+IF(D54&lt;=0,$F$6,0)+IF(E54&lt;=0,$F$7,0)+IF(F54&lt;=0,$F$8,0)+IF(G54&lt;=0,$F$9,0)+IF(H54&lt;=0,$F$10,0)+IF(I54&lt;=0,$F$11,0)+IF(J54&lt;=0,$F$12,0)+IF(K54&lt;=0,$F$13,0)+IF(L54&lt;=0,$F$14,0)+IF(M54&lt;=0,$F$15,0)+IF(N54&lt;=0,$F$16,0)+IF(O54&lt;=0,$F$17,0)+IF(P54&lt;=0,$F$18,0)+IF(Q54&lt;=0,$F$19,0)+IF(R54&lt;=0,$F$20,0)+IF(S54&lt;=0,$F$21,0)+IF(T54&lt;=0,$F$22,0)+IF(U54&lt;=0,$F$23,0)+IF(V54&lt;=0,$F$24,0)),MAX(0,$F$5+(Dashboard!$C$11+IF(C54&lt;=0,$F$5,0)+IF(D54&lt;=0,$F$6,0)+IF(E54&lt;=0,$F$7,0)+IF(F54&lt;=0,$F$8,0)+IF(G54&lt;=0,$F$9,0)+IF(H54&lt;=0,$F$10,0)+IF(I54&lt;=0,$F$11,0)+IF(J54&lt;=0,$F$12,0)+IF(K54&lt;=0,$F$13,0)+IF(L54&lt;=0,$F$14,0)+IF(M54&lt;=0,$F$15,0)+IF(N54&lt;=0,$F$16,0)+IF(O54&lt;=0,$F$17,0)+IF(P54&lt;=0,$F$18,0)+IF(Q54&lt;=0,$F$19,0)+IF(R54&lt;=0,$F$20,0)+IF(S54&lt;=0,$F$21,0)+IF(T54&lt;=0,$F$22,0)+IF(U54&lt;=0,$F$23,0)+IF(V54&lt;=0,$F$24,0))-C54-AN55))</f>
        <v/>
      </c>
      <c r="AQ55">
        <f>IF(D54&lt;=0,0,D54*$E$6/12)</f>
        <v/>
      </c>
      <c r="AR55">
        <f>IF(D54&lt;=0,0,MIN(D54+AQ55,$F$6+AP55))</f>
        <v/>
      </c>
      <c r="AS55">
        <f>IF(D54&lt;=0,AP55,MAX(0,$F$6+AP55-D54-AQ55))</f>
        <v/>
      </c>
      <c r="AT55">
        <f>IF(E54&lt;=0,0,E54*$E$7/12)</f>
        <v/>
      </c>
      <c r="AU55">
        <f>IF(E54&lt;=0,0,MIN(E54+AT55,$F$7+AS55))</f>
        <v/>
      </c>
      <c r="AV55">
        <f>IF(E54&lt;=0,AS55,MAX(0,$F$7+AS55-E54-AT55))</f>
        <v/>
      </c>
      <c r="AW55">
        <f>IF(F54&lt;=0,0,F54*$E$8/12)</f>
        <v/>
      </c>
      <c r="AX55">
        <f>IF(F54&lt;=0,0,MIN(F54+AW55,$F$8+AV55))</f>
        <v/>
      </c>
      <c r="AY55">
        <f>IF(F54&lt;=0,AV55,MAX(0,$F$8+AV55-F54-AW55))</f>
        <v/>
      </c>
      <c r="AZ55">
        <f>IF(G54&lt;=0,0,G54*$E$9/12)</f>
        <v/>
      </c>
      <c r="BA55">
        <f>IF(G54&lt;=0,0,MIN(G54+AZ55,$F$9+AY55))</f>
        <v/>
      </c>
      <c r="BB55">
        <f>IF(G54&lt;=0,AY55,MAX(0,$F$9+AY55-G54-AZ55))</f>
        <v/>
      </c>
      <c r="BC55">
        <f>IF(H54&lt;=0,0,H54*$E$10/12)</f>
        <v/>
      </c>
      <c r="BD55">
        <f>IF(H54&lt;=0,0,MIN(H54+BC55,$F$10+BB55))</f>
        <v/>
      </c>
      <c r="BE55">
        <f>IF(H54&lt;=0,BB55,MAX(0,$F$10+BB55-H54-BC55))</f>
        <v/>
      </c>
      <c r="BF55">
        <f>IF(I54&lt;=0,0,I54*$E$11/12)</f>
        <v/>
      </c>
      <c r="BG55">
        <f>IF(I54&lt;=0,0,MIN(I54+BF55,$F$11+BE55))</f>
        <v/>
      </c>
      <c r="BH55">
        <f>IF(I54&lt;=0,BE55,MAX(0,$F$11+BE55-I54-BF55))</f>
        <v/>
      </c>
      <c r="BI55">
        <f>IF(J54&lt;=0,0,J54*$E$12/12)</f>
        <v/>
      </c>
      <c r="BJ55">
        <f>IF(J54&lt;=0,0,MIN(J54+BI55,$F$12+BH55))</f>
        <v/>
      </c>
      <c r="BK55">
        <f>IF(J54&lt;=0,BH55,MAX(0,$F$12+BH55-J54-BI55))</f>
        <v/>
      </c>
      <c r="BL55">
        <f>IF(K54&lt;=0,0,K54*$E$13/12)</f>
        <v/>
      </c>
      <c r="BM55">
        <f>IF(K54&lt;=0,0,MIN(K54+BL55,$F$13+BK55))</f>
        <v/>
      </c>
      <c r="BN55">
        <f>IF(K54&lt;=0,BK55,MAX(0,$F$13+BK55-K54-BL55))</f>
        <v/>
      </c>
      <c r="BO55">
        <f>IF(L54&lt;=0,0,L54*$E$14/12)</f>
        <v/>
      </c>
      <c r="BP55">
        <f>IF(L54&lt;=0,0,MIN(L54+BO55,$F$14+BN55))</f>
        <v/>
      </c>
      <c r="BQ55">
        <f>IF(L54&lt;=0,BN55,MAX(0,$F$14+BN55-L54-BO55))</f>
        <v/>
      </c>
      <c r="BR55">
        <f>IF(M54&lt;=0,0,M54*$E$15/12)</f>
        <v/>
      </c>
      <c r="BS55">
        <f>IF(M54&lt;=0,0,MIN(M54+BR55,$F$15+BQ55))</f>
        <v/>
      </c>
      <c r="BT55">
        <f>IF(M54&lt;=0,BQ55,MAX(0,$F$15+BQ55-M54-BR55))</f>
        <v/>
      </c>
      <c r="BU55">
        <f>IF(N54&lt;=0,0,N54*$E$16/12)</f>
        <v/>
      </c>
      <c r="BV55">
        <f>IF(N54&lt;=0,0,MIN(N54+BU55,$F$16+BT55))</f>
        <v/>
      </c>
      <c r="BW55">
        <f>IF(N54&lt;=0,BT55,MAX(0,$F$16+BT55-N54-BU55))</f>
        <v/>
      </c>
      <c r="BX55">
        <f>IF(O54&lt;=0,0,O54*$E$17/12)</f>
        <v/>
      </c>
      <c r="BY55">
        <f>IF(O54&lt;=0,0,MIN(O54+BX55,$F$17+BW55))</f>
        <v/>
      </c>
      <c r="BZ55">
        <f>IF(O54&lt;=0,BW55,MAX(0,$F$17+BW55-O54-BX55))</f>
        <v/>
      </c>
      <c r="CA55">
        <f>IF(P54&lt;=0,0,P54*$E$18/12)</f>
        <v/>
      </c>
      <c r="CB55">
        <f>IF(P54&lt;=0,0,MIN(P54+CA55,$F$18+BZ55))</f>
        <v/>
      </c>
      <c r="CC55">
        <f>IF(P54&lt;=0,BZ55,MAX(0,$F$18+BZ55-P54-CA55))</f>
        <v/>
      </c>
      <c r="CD55">
        <f>IF(Q54&lt;=0,0,Q54*$E$19/12)</f>
        <v/>
      </c>
      <c r="CE55">
        <f>IF(Q54&lt;=0,0,MIN(Q54+CD55,$F$19+CC55))</f>
        <v/>
      </c>
      <c r="CF55">
        <f>IF(Q54&lt;=0,CC55,MAX(0,$F$19+CC55-Q54-CD55))</f>
        <v/>
      </c>
      <c r="CG55">
        <f>IF(R54&lt;=0,0,R54*$E$20/12)</f>
        <v/>
      </c>
      <c r="CH55">
        <f>IF(R54&lt;=0,0,MIN(R54+CG55,$F$20+CF55))</f>
        <v/>
      </c>
      <c r="CI55">
        <f>IF(R54&lt;=0,CF55,MAX(0,$F$20+CF55-R54-CG55))</f>
        <v/>
      </c>
      <c r="CJ55">
        <f>IF(S54&lt;=0,0,S54*$E$21/12)</f>
        <v/>
      </c>
      <c r="CK55">
        <f>IF(S54&lt;=0,0,MIN(S54+CJ55,$F$21+CI55))</f>
        <v/>
      </c>
      <c r="CL55">
        <f>IF(S54&lt;=0,CI55,MAX(0,$F$21+CI55-S54-CJ55))</f>
        <v/>
      </c>
      <c r="CM55">
        <f>IF(T54&lt;=0,0,T54*$E$22/12)</f>
        <v/>
      </c>
      <c r="CN55">
        <f>IF(T54&lt;=0,0,MIN(T54+CM55,$F$22+CL55))</f>
        <v/>
      </c>
      <c r="CO55">
        <f>IF(T54&lt;=0,CL55,MAX(0,$F$22+CL55-T54-CM55))</f>
        <v/>
      </c>
      <c r="CP55">
        <f>IF(U54&lt;=0,0,U54*$E$23/12)</f>
        <v/>
      </c>
      <c r="CQ55">
        <f>IF(U54&lt;=0,0,MIN(U54+CP55,$F$23+CO55))</f>
        <v/>
      </c>
      <c r="CR55">
        <f>IF(U54&lt;=0,CO55,MAX(0,$F$23+CO55-U54-CP55))</f>
        <v/>
      </c>
      <c r="CS55">
        <f>IF(V54&lt;=0,0,V54*$E$24/12)</f>
        <v/>
      </c>
      <c r="CT55">
        <f>IF(V54&lt;=0,0,MIN(V54+CS55,$F$24+CR55))</f>
        <v/>
      </c>
      <c r="CU55">
        <f>IF(V54&lt;=0,CR55,MAX(0,$F$24+CR55-V54-CS55))</f>
        <v/>
      </c>
    </row>
    <row r="56">
      <c r="B56" s="39" t="n">
        <v>30</v>
      </c>
      <c r="C56" s="13">
        <f>IF(C55&lt;=0,0,MAX(0,C55+AN56-AO56))</f>
        <v/>
      </c>
      <c r="D56" s="13">
        <f>IF(D55&lt;=0,0,MAX(0,D55+AQ56-AR56))</f>
        <v/>
      </c>
      <c r="E56" s="13">
        <f>IF(E55&lt;=0,0,MAX(0,E55+AT56-AU56))</f>
        <v/>
      </c>
      <c r="F56" s="13">
        <f>IF(F55&lt;=0,0,MAX(0,F55+AW56-AX56))</f>
        <v/>
      </c>
      <c r="G56" s="13">
        <f>IF(G55&lt;=0,0,MAX(0,G55+AZ56-BA56))</f>
        <v/>
      </c>
      <c r="H56" s="13">
        <f>IF(H55&lt;=0,0,MAX(0,H55+BC56-BD56))</f>
        <v/>
      </c>
      <c r="I56" s="13">
        <f>IF(I55&lt;=0,0,MAX(0,I55+BF56-BG56))</f>
        <v/>
      </c>
      <c r="J56" s="13">
        <f>IF(J55&lt;=0,0,MAX(0,J55+BI56-BJ56))</f>
        <v/>
      </c>
      <c r="K56" s="13">
        <f>IF(K55&lt;=0,0,MAX(0,K55+BL56-BM56))</f>
        <v/>
      </c>
      <c r="L56" s="13">
        <f>IF(L55&lt;=0,0,MAX(0,L55+BO56-BP56))</f>
        <v/>
      </c>
      <c r="M56" s="13">
        <f>IF(M55&lt;=0,0,MAX(0,M55+BR56-BS56))</f>
        <v/>
      </c>
      <c r="N56" s="13">
        <f>IF(N55&lt;=0,0,MAX(0,N55+BU56-BV56))</f>
        <v/>
      </c>
      <c r="O56" s="13">
        <f>IF(O55&lt;=0,0,MAX(0,O55+BX56-BY56))</f>
        <v/>
      </c>
      <c r="P56" s="13">
        <f>IF(P55&lt;=0,0,MAX(0,P55+CA56-CB56))</f>
        <v/>
      </c>
      <c r="Q56" s="13">
        <f>IF(Q55&lt;=0,0,MAX(0,Q55+CD56-CE56))</f>
        <v/>
      </c>
      <c r="R56" s="13">
        <f>IF(R55&lt;=0,0,MAX(0,R55+CG56-CH56))</f>
        <v/>
      </c>
      <c r="S56" s="13">
        <f>IF(S55&lt;=0,0,MAX(0,S55+CJ56-CK56))</f>
        <v/>
      </c>
      <c r="T56" s="13">
        <f>IF(T55&lt;=0,0,MAX(0,T55+CM56-CN56))</f>
        <v/>
      </c>
      <c r="U56" s="13">
        <f>IF(U55&lt;=0,0,MAX(0,U55+CP56-CQ56))</f>
        <v/>
      </c>
      <c r="V56" s="13">
        <f>IF(V55&lt;=0,0,MAX(0,V55+CS56-CT56))</f>
        <v/>
      </c>
      <c r="W56" s="13">
        <f>AO56+AR56+AU56+AX56+BA56+BD56+BG56+BJ56+BM56+BP56+BS56+BV56+BY56+CB56+CE56+CH56+CK56+CN56+CQ56+CT56</f>
        <v/>
      </c>
      <c r="X56" s="13">
        <f>AN56+AQ56+AT56+AW56+AZ56+BC56+BF56+BI56+BL56+BO56+BR56+BU56+BX56+CA56+CD56+CG56+CJ56+CM56+CP56+CS56</f>
        <v/>
      </c>
      <c r="Y56" s="27">
        <f>C56+D56+E56+F56+G56+H56+I56+J56+K56+L56+M56+N56+O56+P56+Q56+R56+S56+T56+U56+V56</f>
        <v/>
      </c>
      <c r="AN56">
        <f>IF(C55&lt;=0,0,C55*$E$5/12)</f>
        <v/>
      </c>
      <c r="AO56">
        <f>IF(C55&lt;=0,0,MIN(C55+AN56,$F$5+(Dashboard!$C$11+IF(C55&lt;=0,$F$5,0)+IF(D55&lt;=0,$F$6,0)+IF(E55&lt;=0,$F$7,0)+IF(F55&lt;=0,$F$8,0)+IF(G55&lt;=0,$F$9,0)+IF(H55&lt;=0,$F$10,0)+IF(I55&lt;=0,$F$11,0)+IF(J55&lt;=0,$F$12,0)+IF(K55&lt;=0,$F$13,0)+IF(L55&lt;=0,$F$14,0)+IF(M55&lt;=0,$F$15,0)+IF(N55&lt;=0,$F$16,0)+IF(O55&lt;=0,$F$17,0)+IF(P55&lt;=0,$F$18,0)+IF(Q55&lt;=0,$F$19,0)+IF(R55&lt;=0,$F$20,0)+IF(S55&lt;=0,$F$21,0)+IF(T55&lt;=0,$F$22,0)+IF(U55&lt;=0,$F$23,0)+IF(V55&lt;=0,$F$24,0))))</f>
        <v/>
      </c>
      <c r="AP56">
        <f>IF(C55&lt;=0,(Dashboard!$C$11+IF(C55&lt;=0,$F$5,0)+IF(D55&lt;=0,$F$6,0)+IF(E55&lt;=0,$F$7,0)+IF(F55&lt;=0,$F$8,0)+IF(G55&lt;=0,$F$9,0)+IF(H55&lt;=0,$F$10,0)+IF(I55&lt;=0,$F$11,0)+IF(J55&lt;=0,$F$12,0)+IF(K55&lt;=0,$F$13,0)+IF(L55&lt;=0,$F$14,0)+IF(M55&lt;=0,$F$15,0)+IF(N55&lt;=0,$F$16,0)+IF(O55&lt;=0,$F$17,0)+IF(P55&lt;=0,$F$18,0)+IF(Q55&lt;=0,$F$19,0)+IF(R55&lt;=0,$F$20,0)+IF(S55&lt;=0,$F$21,0)+IF(T55&lt;=0,$F$22,0)+IF(U55&lt;=0,$F$23,0)+IF(V55&lt;=0,$F$24,0)),MAX(0,$F$5+(Dashboard!$C$11+IF(C55&lt;=0,$F$5,0)+IF(D55&lt;=0,$F$6,0)+IF(E55&lt;=0,$F$7,0)+IF(F55&lt;=0,$F$8,0)+IF(G55&lt;=0,$F$9,0)+IF(H55&lt;=0,$F$10,0)+IF(I55&lt;=0,$F$11,0)+IF(J55&lt;=0,$F$12,0)+IF(K55&lt;=0,$F$13,0)+IF(L55&lt;=0,$F$14,0)+IF(M55&lt;=0,$F$15,0)+IF(N55&lt;=0,$F$16,0)+IF(O55&lt;=0,$F$17,0)+IF(P55&lt;=0,$F$18,0)+IF(Q55&lt;=0,$F$19,0)+IF(R55&lt;=0,$F$20,0)+IF(S55&lt;=0,$F$21,0)+IF(T55&lt;=0,$F$22,0)+IF(U55&lt;=0,$F$23,0)+IF(V55&lt;=0,$F$24,0))-C55-AN56))</f>
        <v/>
      </c>
      <c r="AQ56">
        <f>IF(D55&lt;=0,0,D55*$E$6/12)</f>
        <v/>
      </c>
      <c r="AR56">
        <f>IF(D55&lt;=0,0,MIN(D55+AQ56,$F$6+AP56))</f>
        <v/>
      </c>
      <c r="AS56">
        <f>IF(D55&lt;=0,AP56,MAX(0,$F$6+AP56-D55-AQ56))</f>
        <v/>
      </c>
      <c r="AT56">
        <f>IF(E55&lt;=0,0,E55*$E$7/12)</f>
        <v/>
      </c>
      <c r="AU56">
        <f>IF(E55&lt;=0,0,MIN(E55+AT56,$F$7+AS56))</f>
        <v/>
      </c>
      <c r="AV56">
        <f>IF(E55&lt;=0,AS56,MAX(0,$F$7+AS56-E55-AT56))</f>
        <v/>
      </c>
      <c r="AW56">
        <f>IF(F55&lt;=0,0,F55*$E$8/12)</f>
        <v/>
      </c>
      <c r="AX56">
        <f>IF(F55&lt;=0,0,MIN(F55+AW56,$F$8+AV56))</f>
        <v/>
      </c>
      <c r="AY56">
        <f>IF(F55&lt;=0,AV56,MAX(0,$F$8+AV56-F55-AW56))</f>
        <v/>
      </c>
      <c r="AZ56">
        <f>IF(G55&lt;=0,0,G55*$E$9/12)</f>
        <v/>
      </c>
      <c r="BA56">
        <f>IF(G55&lt;=0,0,MIN(G55+AZ56,$F$9+AY56))</f>
        <v/>
      </c>
      <c r="BB56">
        <f>IF(G55&lt;=0,AY56,MAX(0,$F$9+AY56-G55-AZ56))</f>
        <v/>
      </c>
      <c r="BC56">
        <f>IF(H55&lt;=0,0,H55*$E$10/12)</f>
        <v/>
      </c>
      <c r="BD56">
        <f>IF(H55&lt;=0,0,MIN(H55+BC56,$F$10+BB56))</f>
        <v/>
      </c>
      <c r="BE56">
        <f>IF(H55&lt;=0,BB56,MAX(0,$F$10+BB56-H55-BC56))</f>
        <v/>
      </c>
      <c r="BF56">
        <f>IF(I55&lt;=0,0,I55*$E$11/12)</f>
        <v/>
      </c>
      <c r="BG56">
        <f>IF(I55&lt;=0,0,MIN(I55+BF56,$F$11+BE56))</f>
        <v/>
      </c>
      <c r="BH56">
        <f>IF(I55&lt;=0,BE56,MAX(0,$F$11+BE56-I55-BF56))</f>
        <v/>
      </c>
      <c r="BI56">
        <f>IF(J55&lt;=0,0,J55*$E$12/12)</f>
        <v/>
      </c>
      <c r="BJ56">
        <f>IF(J55&lt;=0,0,MIN(J55+BI56,$F$12+BH56))</f>
        <v/>
      </c>
      <c r="BK56">
        <f>IF(J55&lt;=0,BH56,MAX(0,$F$12+BH56-J55-BI56))</f>
        <v/>
      </c>
      <c r="BL56">
        <f>IF(K55&lt;=0,0,K55*$E$13/12)</f>
        <v/>
      </c>
      <c r="BM56">
        <f>IF(K55&lt;=0,0,MIN(K55+BL56,$F$13+BK56))</f>
        <v/>
      </c>
      <c r="BN56">
        <f>IF(K55&lt;=0,BK56,MAX(0,$F$13+BK56-K55-BL56))</f>
        <v/>
      </c>
      <c r="BO56">
        <f>IF(L55&lt;=0,0,L55*$E$14/12)</f>
        <v/>
      </c>
      <c r="BP56">
        <f>IF(L55&lt;=0,0,MIN(L55+BO56,$F$14+BN56))</f>
        <v/>
      </c>
      <c r="BQ56">
        <f>IF(L55&lt;=0,BN56,MAX(0,$F$14+BN56-L55-BO56))</f>
        <v/>
      </c>
      <c r="BR56">
        <f>IF(M55&lt;=0,0,M55*$E$15/12)</f>
        <v/>
      </c>
      <c r="BS56">
        <f>IF(M55&lt;=0,0,MIN(M55+BR56,$F$15+BQ56))</f>
        <v/>
      </c>
      <c r="BT56">
        <f>IF(M55&lt;=0,BQ56,MAX(0,$F$15+BQ56-M55-BR56))</f>
        <v/>
      </c>
      <c r="BU56">
        <f>IF(N55&lt;=0,0,N55*$E$16/12)</f>
        <v/>
      </c>
      <c r="BV56">
        <f>IF(N55&lt;=0,0,MIN(N55+BU56,$F$16+BT56))</f>
        <v/>
      </c>
      <c r="BW56">
        <f>IF(N55&lt;=0,BT56,MAX(0,$F$16+BT56-N55-BU56))</f>
        <v/>
      </c>
      <c r="BX56">
        <f>IF(O55&lt;=0,0,O55*$E$17/12)</f>
        <v/>
      </c>
      <c r="BY56">
        <f>IF(O55&lt;=0,0,MIN(O55+BX56,$F$17+BW56))</f>
        <v/>
      </c>
      <c r="BZ56">
        <f>IF(O55&lt;=0,BW56,MAX(0,$F$17+BW56-O55-BX56))</f>
        <v/>
      </c>
      <c r="CA56">
        <f>IF(P55&lt;=0,0,P55*$E$18/12)</f>
        <v/>
      </c>
      <c r="CB56">
        <f>IF(P55&lt;=0,0,MIN(P55+CA56,$F$18+BZ56))</f>
        <v/>
      </c>
      <c r="CC56">
        <f>IF(P55&lt;=0,BZ56,MAX(0,$F$18+BZ56-P55-CA56))</f>
        <v/>
      </c>
      <c r="CD56">
        <f>IF(Q55&lt;=0,0,Q55*$E$19/12)</f>
        <v/>
      </c>
      <c r="CE56">
        <f>IF(Q55&lt;=0,0,MIN(Q55+CD56,$F$19+CC56))</f>
        <v/>
      </c>
      <c r="CF56">
        <f>IF(Q55&lt;=0,CC56,MAX(0,$F$19+CC56-Q55-CD56))</f>
        <v/>
      </c>
      <c r="CG56">
        <f>IF(R55&lt;=0,0,R55*$E$20/12)</f>
        <v/>
      </c>
      <c r="CH56">
        <f>IF(R55&lt;=0,0,MIN(R55+CG56,$F$20+CF56))</f>
        <v/>
      </c>
      <c r="CI56">
        <f>IF(R55&lt;=0,CF56,MAX(0,$F$20+CF56-R55-CG56))</f>
        <v/>
      </c>
      <c r="CJ56">
        <f>IF(S55&lt;=0,0,S55*$E$21/12)</f>
        <v/>
      </c>
      <c r="CK56">
        <f>IF(S55&lt;=0,0,MIN(S55+CJ56,$F$21+CI56))</f>
        <v/>
      </c>
      <c r="CL56">
        <f>IF(S55&lt;=0,CI56,MAX(0,$F$21+CI56-S55-CJ56))</f>
        <v/>
      </c>
      <c r="CM56">
        <f>IF(T55&lt;=0,0,T55*$E$22/12)</f>
        <v/>
      </c>
      <c r="CN56">
        <f>IF(T55&lt;=0,0,MIN(T55+CM56,$F$22+CL56))</f>
        <v/>
      </c>
      <c r="CO56">
        <f>IF(T55&lt;=0,CL56,MAX(0,$F$22+CL56-T55-CM56))</f>
        <v/>
      </c>
      <c r="CP56">
        <f>IF(U55&lt;=0,0,U55*$E$23/12)</f>
        <v/>
      </c>
      <c r="CQ56">
        <f>IF(U55&lt;=0,0,MIN(U55+CP56,$F$23+CO56))</f>
        <v/>
      </c>
      <c r="CR56">
        <f>IF(U55&lt;=0,CO56,MAX(0,$F$23+CO56-U55-CP56))</f>
        <v/>
      </c>
      <c r="CS56">
        <f>IF(V55&lt;=0,0,V55*$E$24/12)</f>
        <v/>
      </c>
      <c r="CT56">
        <f>IF(V55&lt;=0,0,MIN(V55+CS56,$F$24+CR56))</f>
        <v/>
      </c>
      <c r="CU56">
        <f>IF(V55&lt;=0,CR56,MAX(0,$F$24+CR56-V55-CS56))</f>
        <v/>
      </c>
    </row>
    <row r="57">
      <c r="B57" s="39" t="n">
        <v>31</v>
      </c>
      <c r="C57" s="13">
        <f>IF(C56&lt;=0,0,MAX(0,C56+AN57-AO57))</f>
        <v/>
      </c>
      <c r="D57" s="13">
        <f>IF(D56&lt;=0,0,MAX(0,D56+AQ57-AR57))</f>
        <v/>
      </c>
      <c r="E57" s="13">
        <f>IF(E56&lt;=0,0,MAX(0,E56+AT57-AU57))</f>
        <v/>
      </c>
      <c r="F57" s="13">
        <f>IF(F56&lt;=0,0,MAX(0,F56+AW57-AX57))</f>
        <v/>
      </c>
      <c r="G57" s="13">
        <f>IF(G56&lt;=0,0,MAX(0,G56+AZ57-BA57))</f>
        <v/>
      </c>
      <c r="H57" s="13">
        <f>IF(H56&lt;=0,0,MAX(0,H56+BC57-BD57))</f>
        <v/>
      </c>
      <c r="I57" s="13">
        <f>IF(I56&lt;=0,0,MAX(0,I56+BF57-BG57))</f>
        <v/>
      </c>
      <c r="J57" s="13">
        <f>IF(J56&lt;=0,0,MAX(0,J56+BI57-BJ57))</f>
        <v/>
      </c>
      <c r="K57" s="13">
        <f>IF(K56&lt;=0,0,MAX(0,K56+BL57-BM57))</f>
        <v/>
      </c>
      <c r="L57" s="13">
        <f>IF(L56&lt;=0,0,MAX(0,L56+BO57-BP57))</f>
        <v/>
      </c>
      <c r="M57" s="13">
        <f>IF(M56&lt;=0,0,MAX(0,M56+BR57-BS57))</f>
        <v/>
      </c>
      <c r="N57" s="13">
        <f>IF(N56&lt;=0,0,MAX(0,N56+BU57-BV57))</f>
        <v/>
      </c>
      <c r="O57" s="13">
        <f>IF(O56&lt;=0,0,MAX(0,O56+BX57-BY57))</f>
        <v/>
      </c>
      <c r="P57" s="13">
        <f>IF(P56&lt;=0,0,MAX(0,P56+CA57-CB57))</f>
        <v/>
      </c>
      <c r="Q57" s="13">
        <f>IF(Q56&lt;=0,0,MAX(0,Q56+CD57-CE57))</f>
        <v/>
      </c>
      <c r="R57" s="13">
        <f>IF(R56&lt;=0,0,MAX(0,R56+CG57-CH57))</f>
        <v/>
      </c>
      <c r="S57" s="13">
        <f>IF(S56&lt;=0,0,MAX(0,S56+CJ57-CK57))</f>
        <v/>
      </c>
      <c r="T57" s="13">
        <f>IF(T56&lt;=0,0,MAX(0,T56+CM57-CN57))</f>
        <v/>
      </c>
      <c r="U57" s="13">
        <f>IF(U56&lt;=0,0,MAX(0,U56+CP57-CQ57))</f>
        <v/>
      </c>
      <c r="V57" s="13">
        <f>IF(V56&lt;=0,0,MAX(0,V56+CS57-CT57))</f>
        <v/>
      </c>
      <c r="W57" s="13">
        <f>AO57+AR57+AU57+AX57+BA57+BD57+BG57+BJ57+BM57+BP57+BS57+BV57+BY57+CB57+CE57+CH57+CK57+CN57+CQ57+CT57</f>
        <v/>
      </c>
      <c r="X57" s="13">
        <f>AN57+AQ57+AT57+AW57+AZ57+BC57+BF57+BI57+BL57+BO57+BR57+BU57+BX57+CA57+CD57+CG57+CJ57+CM57+CP57+CS57</f>
        <v/>
      </c>
      <c r="Y57" s="27">
        <f>C57+D57+E57+F57+G57+H57+I57+J57+K57+L57+M57+N57+O57+P57+Q57+R57+S57+T57+U57+V57</f>
        <v/>
      </c>
      <c r="AN57">
        <f>IF(C56&lt;=0,0,C56*$E$5/12)</f>
        <v/>
      </c>
      <c r="AO57">
        <f>IF(C56&lt;=0,0,MIN(C56+AN57,$F$5+(Dashboard!$C$11+IF(C56&lt;=0,$F$5,0)+IF(D56&lt;=0,$F$6,0)+IF(E56&lt;=0,$F$7,0)+IF(F56&lt;=0,$F$8,0)+IF(G56&lt;=0,$F$9,0)+IF(H56&lt;=0,$F$10,0)+IF(I56&lt;=0,$F$11,0)+IF(J56&lt;=0,$F$12,0)+IF(K56&lt;=0,$F$13,0)+IF(L56&lt;=0,$F$14,0)+IF(M56&lt;=0,$F$15,0)+IF(N56&lt;=0,$F$16,0)+IF(O56&lt;=0,$F$17,0)+IF(P56&lt;=0,$F$18,0)+IF(Q56&lt;=0,$F$19,0)+IF(R56&lt;=0,$F$20,0)+IF(S56&lt;=0,$F$21,0)+IF(T56&lt;=0,$F$22,0)+IF(U56&lt;=0,$F$23,0)+IF(V56&lt;=0,$F$24,0))))</f>
        <v/>
      </c>
      <c r="AP57">
        <f>IF(C56&lt;=0,(Dashboard!$C$11+IF(C56&lt;=0,$F$5,0)+IF(D56&lt;=0,$F$6,0)+IF(E56&lt;=0,$F$7,0)+IF(F56&lt;=0,$F$8,0)+IF(G56&lt;=0,$F$9,0)+IF(H56&lt;=0,$F$10,0)+IF(I56&lt;=0,$F$11,0)+IF(J56&lt;=0,$F$12,0)+IF(K56&lt;=0,$F$13,0)+IF(L56&lt;=0,$F$14,0)+IF(M56&lt;=0,$F$15,0)+IF(N56&lt;=0,$F$16,0)+IF(O56&lt;=0,$F$17,0)+IF(P56&lt;=0,$F$18,0)+IF(Q56&lt;=0,$F$19,0)+IF(R56&lt;=0,$F$20,0)+IF(S56&lt;=0,$F$21,0)+IF(T56&lt;=0,$F$22,0)+IF(U56&lt;=0,$F$23,0)+IF(V56&lt;=0,$F$24,0)),MAX(0,$F$5+(Dashboard!$C$11+IF(C56&lt;=0,$F$5,0)+IF(D56&lt;=0,$F$6,0)+IF(E56&lt;=0,$F$7,0)+IF(F56&lt;=0,$F$8,0)+IF(G56&lt;=0,$F$9,0)+IF(H56&lt;=0,$F$10,0)+IF(I56&lt;=0,$F$11,0)+IF(J56&lt;=0,$F$12,0)+IF(K56&lt;=0,$F$13,0)+IF(L56&lt;=0,$F$14,0)+IF(M56&lt;=0,$F$15,0)+IF(N56&lt;=0,$F$16,0)+IF(O56&lt;=0,$F$17,0)+IF(P56&lt;=0,$F$18,0)+IF(Q56&lt;=0,$F$19,0)+IF(R56&lt;=0,$F$20,0)+IF(S56&lt;=0,$F$21,0)+IF(T56&lt;=0,$F$22,0)+IF(U56&lt;=0,$F$23,0)+IF(V56&lt;=0,$F$24,0))-C56-AN57))</f>
        <v/>
      </c>
      <c r="AQ57">
        <f>IF(D56&lt;=0,0,D56*$E$6/12)</f>
        <v/>
      </c>
      <c r="AR57">
        <f>IF(D56&lt;=0,0,MIN(D56+AQ57,$F$6+AP57))</f>
        <v/>
      </c>
      <c r="AS57">
        <f>IF(D56&lt;=0,AP57,MAX(0,$F$6+AP57-D56-AQ57))</f>
        <v/>
      </c>
      <c r="AT57">
        <f>IF(E56&lt;=0,0,E56*$E$7/12)</f>
        <v/>
      </c>
      <c r="AU57">
        <f>IF(E56&lt;=0,0,MIN(E56+AT57,$F$7+AS57))</f>
        <v/>
      </c>
      <c r="AV57">
        <f>IF(E56&lt;=0,AS57,MAX(0,$F$7+AS57-E56-AT57))</f>
        <v/>
      </c>
      <c r="AW57">
        <f>IF(F56&lt;=0,0,F56*$E$8/12)</f>
        <v/>
      </c>
      <c r="AX57">
        <f>IF(F56&lt;=0,0,MIN(F56+AW57,$F$8+AV57))</f>
        <v/>
      </c>
      <c r="AY57">
        <f>IF(F56&lt;=0,AV57,MAX(0,$F$8+AV57-F56-AW57))</f>
        <v/>
      </c>
      <c r="AZ57">
        <f>IF(G56&lt;=0,0,G56*$E$9/12)</f>
        <v/>
      </c>
      <c r="BA57">
        <f>IF(G56&lt;=0,0,MIN(G56+AZ57,$F$9+AY57))</f>
        <v/>
      </c>
      <c r="BB57">
        <f>IF(G56&lt;=0,AY57,MAX(0,$F$9+AY57-G56-AZ57))</f>
        <v/>
      </c>
      <c r="BC57">
        <f>IF(H56&lt;=0,0,H56*$E$10/12)</f>
        <v/>
      </c>
      <c r="BD57">
        <f>IF(H56&lt;=0,0,MIN(H56+BC57,$F$10+BB57))</f>
        <v/>
      </c>
      <c r="BE57">
        <f>IF(H56&lt;=0,BB57,MAX(0,$F$10+BB57-H56-BC57))</f>
        <v/>
      </c>
      <c r="BF57">
        <f>IF(I56&lt;=0,0,I56*$E$11/12)</f>
        <v/>
      </c>
      <c r="BG57">
        <f>IF(I56&lt;=0,0,MIN(I56+BF57,$F$11+BE57))</f>
        <v/>
      </c>
      <c r="BH57">
        <f>IF(I56&lt;=0,BE57,MAX(0,$F$11+BE57-I56-BF57))</f>
        <v/>
      </c>
      <c r="BI57">
        <f>IF(J56&lt;=0,0,J56*$E$12/12)</f>
        <v/>
      </c>
      <c r="BJ57">
        <f>IF(J56&lt;=0,0,MIN(J56+BI57,$F$12+BH57))</f>
        <v/>
      </c>
      <c r="BK57">
        <f>IF(J56&lt;=0,BH57,MAX(0,$F$12+BH57-J56-BI57))</f>
        <v/>
      </c>
      <c r="BL57">
        <f>IF(K56&lt;=0,0,K56*$E$13/12)</f>
        <v/>
      </c>
      <c r="BM57">
        <f>IF(K56&lt;=0,0,MIN(K56+BL57,$F$13+BK57))</f>
        <v/>
      </c>
      <c r="BN57">
        <f>IF(K56&lt;=0,BK57,MAX(0,$F$13+BK57-K56-BL57))</f>
        <v/>
      </c>
      <c r="BO57">
        <f>IF(L56&lt;=0,0,L56*$E$14/12)</f>
        <v/>
      </c>
      <c r="BP57">
        <f>IF(L56&lt;=0,0,MIN(L56+BO57,$F$14+BN57))</f>
        <v/>
      </c>
      <c r="BQ57">
        <f>IF(L56&lt;=0,BN57,MAX(0,$F$14+BN57-L56-BO57))</f>
        <v/>
      </c>
      <c r="BR57">
        <f>IF(M56&lt;=0,0,M56*$E$15/12)</f>
        <v/>
      </c>
      <c r="BS57">
        <f>IF(M56&lt;=0,0,MIN(M56+BR57,$F$15+BQ57))</f>
        <v/>
      </c>
      <c r="BT57">
        <f>IF(M56&lt;=0,BQ57,MAX(0,$F$15+BQ57-M56-BR57))</f>
        <v/>
      </c>
      <c r="BU57">
        <f>IF(N56&lt;=0,0,N56*$E$16/12)</f>
        <v/>
      </c>
      <c r="BV57">
        <f>IF(N56&lt;=0,0,MIN(N56+BU57,$F$16+BT57))</f>
        <v/>
      </c>
      <c r="BW57">
        <f>IF(N56&lt;=0,BT57,MAX(0,$F$16+BT57-N56-BU57))</f>
        <v/>
      </c>
      <c r="BX57">
        <f>IF(O56&lt;=0,0,O56*$E$17/12)</f>
        <v/>
      </c>
      <c r="BY57">
        <f>IF(O56&lt;=0,0,MIN(O56+BX57,$F$17+BW57))</f>
        <v/>
      </c>
      <c r="BZ57">
        <f>IF(O56&lt;=0,BW57,MAX(0,$F$17+BW57-O56-BX57))</f>
        <v/>
      </c>
      <c r="CA57">
        <f>IF(P56&lt;=0,0,P56*$E$18/12)</f>
        <v/>
      </c>
      <c r="CB57">
        <f>IF(P56&lt;=0,0,MIN(P56+CA57,$F$18+BZ57))</f>
        <v/>
      </c>
      <c r="CC57">
        <f>IF(P56&lt;=0,BZ57,MAX(0,$F$18+BZ57-P56-CA57))</f>
        <v/>
      </c>
      <c r="CD57">
        <f>IF(Q56&lt;=0,0,Q56*$E$19/12)</f>
        <v/>
      </c>
      <c r="CE57">
        <f>IF(Q56&lt;=0,0,MIN(Q56+CD57,$F$19+CC57))</f>
        <v/>
      </c>
      <c r="CF57">
        <f>IF(Q56&lt;=0,CC57,MAX(0,$F$19+CC57-Q56-CD57))</f>
        <v/>
      </c>
      <c r="CG57">
        <f>IF(R56&lt;=0,0,R56*$E$20/12)</f>
        <v/>
      </c>
      <c r="CH57">
        <f>IF(R56&lt;=0,0,MIN(R56+CG57,$F$20+CF57))</f>
        <v/>
      </c>
      <c r="CI57">
        <f>IF(R56&lt;=0,CF57,MAX(0,$F$20+CF57-R56-CG57))</f>
        <v/>
      </c>
      <c r="CJ57">
        <f>IF(S56&lt;=0,0,S56*$E$21/12)</f>
        <v/>
      </c>
      <c r="CK57">
        <f>IF(S56&lt;=0,0,MIN(S56+CJ57,$F$21+CI57))</f>
        <v/>
      </c>
      <c r="CL57">
        <f>IF(S56&lt;=0,CI57,MAX(0,$F$21+CI57-S56-CJ57))</f>
        <v/>
      </c>
      <c r="CM57">
        <f>IF(T56&lt;=0,0,T56*$E$22/12)</f>
        <v/>
      </c>
      <c r="CN57">
        <f>IF(T56&lt;=0,0,MIN(T56+CM57,$F$22+CL57))</f>
        <v/>
      </c>
      <c r="CO57">
        <f>IF(T56&lt;=0,CL57,MAX(0,$F$22+CL57-T56-CM57))</f>
        <v/>
      </c>
      <c r="CP57">
        <f>IF(U56&lt;=0,0,U56*$E$23/12)</f>
        <v/>
      </c>
      <c r="CQ57">
        <f>IF(U56&lt;=0,0,MIN(U56+CP57,$F$23+CO57))</f>
        <v/>
      </c>
      <c r="CR57">
        <f>IF(U56&lt;=0,CO57,MAX(0,$F$23+CO57-U56-CP57))</f>
        <v/>
      </c>
      <c r="CS57">
        <f>IF(V56&lt;=0,0,V56*$E$24/12)</f>
        <v/>
      </c>
      <c r="CT57">
        <f>IF(V56&lt;=0,0,MIN(V56+CS57,$F$24+CR57))</f>
        <v/>
      </c>
      <c r="CU57">
        <f>IF(V56&lt;=0,CR57,MAX(0,$F$24+CR57-V56-CS57))</f>
        <v/>
      </c>
    </row>
    <row r="58">
      <c r="B58" s="39" t="n">
        <v>32</v>
      </c>
      <c r="C58" s="13">
        <f>IF(C57&lt;=0,0,MAX(0,C57+AN58-AO58))</f>
        <v/>
      </c>
      <c r="D58" s="13">
        <f>IF(D57&lt;=0,0,MAX(0,D57+AQ58-AR58))</f>
        <v/>
      </c>
      <c r="E58" s="13">
        <f>IF(E57&lt;=0,0,MAX(0,E57+AT58-AU58))</f>
        <v/>
      </c>
      <c r="F58" s="13">
        <f>IF(F57&lt;=0,0,MAX(0,F57+AW58-AX58))</f>
        <v/>
      </c>
      <c r="G58" s="13">
        <f>IF(G57&lt;=0,0,MAX(0,G57+AZ58-BA58))</f>
        <v/>
      </c>
      <c r="H58" s="13">
        <f>IF(H57&lt;=0,0,MAX(0,H57+BC58-BD58))</f>
        <v/>
      </c>
      <c r="I58" s="13">
        <f>IF(I57&lt;=0,0,MAX(0,I57+BF58-BG58))</f>
        <v/>
      </c>
      <c r="J58" s="13">
        <f>IF(J57&lt;=0,0,MAX(0,J57+BI58-BJ58))</f>
        <v/>
      </c>
      <c r="K58" s="13">
        <f>IF(K57&lt;=0,0,MAX(0,K57+BL58-BM58))</f>
        <v/>
      </c>
      <c r="L58" s="13">
        <f>IF(L57&lt;=0,0,MAX(0,L57+BO58-BP58))</f>
        <v/>
      </c>
      <c r="M58" s="13">
        <f>IF(M57&lt;=0,0,MAX(0,M57+BR58-BS58))</f>
        <v/>
      </c>
      <c r="N58" s="13">
        <f>IF(N57&lt;=0,0,MAX(0,N57+BU58-BV58))</f>
        <v/>
      </c>
      <c r="O58" s="13">
        <f>IF(O57&lt;=0,0,MAX(0,O57+BX58-BY58))</f>
        <v/>
      </c>
      <c r="P58" s="13">
        <f>IF(P57&lt;=0,0,MAX(0,P57+CA58-CB58))</f>
        <v/>
      </c>
      <c r="Q58" s="13">
        <f>IF(Q57&lt;=0,0,MAX(0,Q57+CD58-CE58))</f>
        <v/>
      </c>
      <c r="R58" s="13">
        <f>IF(R57&lt;=0,0,MAX(0,R57+CG58-CH58))</f>
        <v/>
      </c>
      <c r="S58" s="13">
        <f>IF(S57&lt;=0,0,MAX(0,S57+CJ58-CK58))</f>
        <v/>
      </c>
      <c r="T58" s="13">
        <f>IF(T57&lt;=0,0,MAX(0,T57+CM58-CN58))</f>
        <v/>
      </c>
      <c r="U58" s="13">
        <f>IF(U57&lt;=0,0,MAX(0,U57+CP58-CQ58))</f>
        <v/>
      </c>
      <c r="V58" s="13">
        <f>IF(V57&lt;=0,0,MAX(0,V57+CS58-CT58))</f>
        <v/>
      </c>
      <c r="W58" s="13">
        <f>AO58+AR58+AU58+AX58+BA58+BD58+BG58+BJ58+BM58+BP58+BS58+BV58+BY58+CB58+CE58+CH58+CK58+CN58+CQ58+CT58</f>
        <v/>
      </c>
      <c r="X58" s="13">
        <f>AN58+AQ58+AT58+AW58+AZ58+BC58+BF58+BI58+BL58+BO58+BR58+BU58+BX58+CA58+CD58+CG58+CJ58+CM58+CP58+CS58</f>
        <v/>
      </c>
      <c r="Y58" s="27">
        <f>C58+D58+E58+F58+G58+H58+I58+J58+K58+L58+M58+N58+O58+P58+Q58+R58+S58+T58+U58+V58</f>
        <v/>
      </c>
      <c r="AN58">
        <f>IF(C57&lt;=0,0,C57*$E$5/12)</f>
        <v/>
      </c>
      <c r="AO58">
        <f>IF(C57&lt;=0,0,MIN(C57+AN58,$F$5+(Dashboard!$C$11+IF(C57&lt;=0,$F$5,0)+IF(D57&lt;=0,$F$6,0)+IF(E57&lt;=0,$F$7,0)+IF(F57&lt;=0,$F$8,0)+IF(G57&lt;=0,$F$9,0)+IF(H57&lt;=0,$F$10,0)+IF(I57&lt;=0,$F$11,0)+IF(J57&lt;=0,$F$12,0)+IF(K57&lt;=0,$F$13,0)+IF(L57&lt;=0,$F$14,0)+IF(M57&lt;=0,$F$15,0)+IF(N57&lt;=0,$F$16,0)+IF(O57&lt;=0,$F$17,0)+IF(P57&lt;=0,$F$18,0)+IF(Q57&lt;=0,$F$19,0)+IF(R57&lt;=0,$F$20,0)+IF(S57&lt;=0,$F$21,0)+IF(T57&lt;=0,$F$22,0)+IF(U57&lt;=0,$F$23,0)+IF(V57&lt;=0,$F$24,0))))</f>
        <v/>
      </c>
      <c r="AP58">
        <f>IF(C57&lt;=0,(Dashboard!$C$11+IF(C57&lt;=0,$F$5,0)+IF(D57&lt;=0,$F$6,0)+IF(E57&lt;=0,$F$7,0)+IF(F57&lt;=0,$F$8,0)+IF(G57&lt;=0,$F$9,0)+IF(H57&lt;=0,$F$10,0)+IF(I57&lt;=0,$F$11,0)+IF(J57&lt;=0,$F$12,0)+IF(K57&lt;=0,$F$13,0)+IF(L57&lt;=0,$F$14,0)+IF(M57&lt;=0,$F$15,0)+IF(N57&lt;=0,$F$16,0)+IF(O57&lt;=0,$F$17,0)+IF(P57&lt;=0,$F$18,0)+IF(Q57&lt;=0,$F$19,0)+IF(R57&lt;=0,$F$20,0)+IF(S57&lt;=0,$F$21,0)+IF(T57&lt;=0,$F$22,0)+IF(U57&lt;=0,$F$23,0)+IF(V57&lt;=0,$F$24,0)),MAX(0,$F$5+(Dashboard!$C$11+IF(C57&lt;=0,$F$5,0)+IF(D57&lt;=0,$F$6,0)+IF(E57&lt;=0,$F$7,0)+IF(F57&lt;=0,$F$8,0)+IF(G57&lt;=0,$F$9,0)+IF(H57&lt;=0,$F$10,0)+IF(I57&lt;=0,$F$11,0)+IF(J57&lt;=0,$F$12,0)+IF(K57&lt;=0,$F$13,0)+IF(L57&lt;=0,$F$14,0)+IF(M57&lt;=0,$F$15,0)+IF(N57&lt;=0,$F$16,0)+IF(O57&lt;=0,$F$17,0)+IF(P57&lt;=0,$F$18,0)+IF(Q57&lt;=0,$F$19,0)+IF(R57&lt;=0,$F$20,0)+IF(S57&lt;=0,$F$21,0)+IF(T57&lt;=0,$F$22,0)+IF(U57&lt;=0,$F$23,0)+IF(V57&lt;=0,$F$24,0))-C57-AN58))</f>
        <v/>
      </c>
      <c r="AQ58">
        <f>IF(D57&lt;=0,0,D57*$E$6/12)</f>
        <v/>
      </c>
      <c r="AR58">
        <f>IF(D57&lt;=0,0,MIN(D57+AQ58,$F$6+AP58))</f>
        <v/>
      </c>
      <c r="AS58">
        <f>IF(D57&lt;=0,AP58,MAX(0,$F$6+AP58-D57-AQ58))</f>
        <v/>
      </c>
      <c r="AT58">
        <f>IF(E57&lt;=0,0,E57*$E$7/12)</f>
        <v/>
      </c>
      <c r="AU58">
        <f>IF(E57&lt;=0,0,MIN(E57+AT58,$F$7+AS58))</f>
        <v/>
      </c>
      <c r="AV58">
        <f>IF(E57&lt;=0,AS58,MAX(0,$F$7+AS58-E57-AT58))</f>
        <v/>
      </c>
      <c r="AW58">
        <f>IF(F57&lt;=0,0,F57*$E$8/12)</f>
        <v/>
      </c>
      <c r="AX58">
        <f>IF(F57&lt;=0,0,MIN(F57+AW58,$F$8+AV58))</f>
        <v/>
      </c>
      <c r="AY58">
        <f>IF(F57&lt;=0,AV58,MAX(0,$F$8+AV58-F57-AW58))</f>
        <v/>
      </c>
      <c r="AZ58">
        <f>IF(G57&lt;=0,0,G57*$E$9/12)</f>
        <v/>
      </c>
      <c r="BA58">
        <f>IF(G57&lt;=0,0,MIN(G57+AZ58,$F$9+AY58))</f>
        <v/>
      </c>
      <c r="BB58">
        <f>IF(G57&lt;=0,AY58,MAX(0,$F$9+AY58-G57-AZ58))</f>
        <v/>
      </c>
      <c r="BC58">
        <f>IF(H57&lt;=0,0,H57*$E$10/12)</f>
        <v/>
      </c>
      <c r="BD58">
        <f>IF(H57&lt;=0,0,MIN(H57+BC58,$F$10+BB58))</f>
        <v/>
      </c>
      <c r="BE58">
        <f>IF(H57&lt;=0,BB58,MAX(0,$F$10+BB58-H57-BC58))</f>
        <v/>
      </c>
      <c r="BF58">
        <f>IF(I57&lt;=0,0,I57*$E$11/12)</f>
        <v/>
      </c>
      <c r="BG58">
        <f>IF(I57&lt;=0,0,MIN(I57+BF58,$F$11+BE58))</f>
        <v/>
      </c>
      <c r="BH58">
        <f>IF(I57&lt;=0,BE58,MAX(0,$F$11+BE58-I57-BF58))</f>
        <v/>
      </c>
      <c r="BI58">
        <f>IF(J57&lt;=0,0,J57*$E$12/12)</f>
        <v/>
      </c>
      <c r="BJ58">
        <f>IF(J57&lt;=0,0,MIN(J57+BI58,$F$12+BH58))</f>
        <v/>
      </c>
      <c r="BK58">
        <f>IF(J57&lt;=0,BH58,MAX(0,$F$12+BH58-J57-BI58))</f>
        <v/>
      </c>
      <c r="BL58">
        <f>IF(K57&lt;=0,0,K57*$E$13/12)</f>
        <v/>
      </c>
      <c r="BM58">
        <f>IF(K57&lt;=0,0,MIN(K57+BL58,$F$13+BK58))</f>
        <v/>
      </c>
      <c r="BN58">
        <f>IF(K57&lt;=0,BK58,MAX(0,$F$13+BK58-K57-BL58))</f>
        <v/>
      </c>
      <c r="BO58">
        <f>IF(L57&lt;=0,0,L57*$E$14/12)</f>
        <v/>
      </c>
      <c r="BP58">
        <f>IF(L57&lt;=0,0,MIN(L57+BO58,$F$14+BN58))</f>
        <v/>
      </c>
      <c r="BQ58">
        <f>IF(L57&lt;=0,BN58,MAX(0,$F$14+BN58-L57-BO58))</f>
        <v/>
      </c>
      <c r="BR58">
        <f>IF(M57&lt;=0,0,M57*$E$15/12)</f>
        <v/>
      </c>
      <c r="BS58">
        <f>IF(M57&lt;=0,0,MIN(M57+BR58,$F$15+BQ58))</f>
        <v/>
      </c>
      <c r="BT58">
        <f>IF(M57&lt;=0,BQ58,MAX(0,$F$15+BQ58-M57-BR58))</f>
        <v/>
      </c>
      <c r="BU58">
        <f>IF(N57&lt;=0,0,N57*$E$16/12)</f>
        <v/>
      </c>
      <c r="BV58">
        <f>IF(N57&lt;=0,0,MIN(N57+BU58,$F$16+BT58))</f>
        <v/>
      </c>
      <c r="BW58">
        <f>IF(N57&lt;=0,BT58,MAX(0,$F$16+BT58-N57-BU58))</f>
        <v/>
      </c>
      <c r="BX58">
        <f>IF(O57&lt;=0,0,O57*$E$17/12)</f>
        <v/>
      </c>
      <c r="BY58">
        <f>IF(O57&lt;=0,0,MIN(O57+BX58,$F$17+BW58))</f>
        <v/>
      </c>
      <c r="BZ58">
        <f>IF(O57&lt;=0,BW58,MAX(0,$F$17+BW58-O57-BX58))</f>
        <v/>
      </c>
      <c r="CA58">
        <f>IF(P57&lt;=0,0,P57*$E$18/12)</f>
        <v/>
      </c>
      <c r="CB58">
        <f>IF(P57&lt;=0,0,MIN(P57+CA58,$F$18+BZ58))</f>
        <v/>
      </c>
      <c r="CC58">
        <f>IF(P57&lt;=0,BZ58,MAX(0,$F$18+BZ58-P57-CA58))</f>
        <v/>
      </c>
      <c r="CD58">
        <f>IF(Q57&lt;=0,0,Q57*$E$19/12)</f>
        <v/>
      </c>
      <c r="CE58">
        <f>IF(Q57&lt;=0,0,MIN(Q57+CD58,$F$19+CC58))</f>
        <v/>
      </c>
      <c r="CF58">
        <f>IF(Q57&lt;=0,CC58,MAX(0,$F$19+CC58-Q57-CD58))</f>
        <v/>
      </c>
      <c r="CG58">
        <f>IF(R57&lt;=0,0,R57*$E$20/12)</f>
        <v/>
      </c>
      <c r="CH58">
        <f>IF(R57&lt;=0,0,MIN(R57+CG58,$F$20+CF58))</f>
        <v/>
      </c>
      <c r="CI58">
        <f>IF(R57&lt;=0,CF58,MAX(0,$F$20+CF58-R57-CG58))</f>
        <v/>
      </c>
      <c r="CJ58">
        <f>IF(S57&lt;=0,0,S57*$E$21/12)</f>
        <v/>
      </c>
      <c r="CK58">
        <f>IF(S57&lt;=0,0,MIN(S57+CJ58,$F$21+CI58))</f>
        <v/>
      </c>
      <c r="CL58">
        <f>IF(S57&lt;=0,CI58,MAX(0,$F$21+CI58-S57-CJ58))</f>
        <v/>
      </c>
      <c r="CM58">
        <f>IF(T57&lt;=0,0,T57*$E$22/12)</f>
        <v/>
      </c>
      <c r="CN58">
        <f>IF(T57&lt;=0,0,MIN(T57+CM58,$F$22+CL58))</f>
        <v/>
      </c>
      <c r="CO58">
        <f>IF(T57&lt;=0,CL58,MAX(0,$F$22+CL58-T57-CM58))</f>
        <v/>
      </c>
      <c r="CP58">
        <f>IF(U57&lt;=0,0,U57*$E$23/12)</f>
        <v/>
      </c>
      <c r="CQ58">
        <f>IF(U57&lt;=0,0,MIN(U57+CP58,$F$23+CO58))</f>
        <v/>
      </c>
      <c r="CR58">
        <f>IF(U57&lt;=0,CO58,MAX(0,$F$23+CO58-U57-CP58))</f>
        <v/>
      </c>
      <c r="CS58">
        <f>IF(V57&lt;=0,0,V57*$E$24/12)</f>
        <v/>
      </c>
      <c r="CT58">
        <f>IF(V57&lt;=0,0,MIN(V57+CS58,$F$24+CR58))</f>
        <v/>
      </c>
      <c r="CU58">
        <f>IF(V57&lt;=0,CR58,MAX(0,$F$24+CR58-V57-CS58))</f>
        <v/>
      </c>
    </row>
    <row r="59">
      <c r="B59" s="39" t="n">
        <v>33</v>
      </c>
      <c r="C59" s="13">
        <f>IF(C58&lt;=0,0,MAX(0,C58+AN59-AO59))</f>
        <v/>
      </c>
      <c r="D59" s="13">
        <f>IF(D58&lt;=0,0,MAX(0,D58+AQ59-AR59))</f>
        <v/>
      </c>
      <c r="E59" s="13">
        <f>IF(E58&lt;=0,0,MAX(0,E58+AT59-AU59))</f>
        <v/>
      </c>
      <c r="F59" s="13">
        <f>IF(F58&lt;=0,0,MAX(0,F58+AW59-AX59))</f>
        <v/>
      </c>
      <c r="G59" s="13">
        <f>IF(G58&lt;=0,0,MAX(0,G58+AZ59-BA59))</f>
        <v/>
      </c>
      <c r="H59" s="13">
        <f>IF(H58&lt;=0,0,MAX(0,H58+BC59-BD59))</f>
        <v/>
      </c>
      <c r="I59" s="13">
        <f>IF(I58&lt;=0,0,MAX(0,I58+BF59-BG59))</f>
        <v/>
      </c>
      <c r="J59" s="13">
        <f>IF(J58&lt;=0,0,MAX(0,J58+BI59-BJ59))</f>
        <v/>
      </c>
      <c r="K59" s="13">
        <f>IF(K58&lt;=0,0,MAX(0,K58+BL59-BM59))</f>
        <v/>
      </c>
      <c r="L59" s="13">
        <f>IF(L58&lt;=0,0,MAX(0,L58+BO59-BP59))</f>
        <v/>
      </c>
      <c r="M59" s="13">
        <f>IF(M58&lt;=0,0,MAX(0,M58+BR59-BS59))</f>
        <v/>
      </c>
      <c r="N59" s="13">
        <f>IF(N58&lt;=0,0,MAX(0,N58+BU59-BV59))</f>
        <v/>
      </c>
      <c r="O59" s="13">
        <f>IF(O58&lt;=0,0,MAX(0,O58+BX59-BY59))</f>
        <v/>
      </c>
      <c r="P59" s="13">
        <f>IF(P58&lt;=0,0,MAX(0,P58+CA59-CB59))</f>
        <v/>
      </c>
      <c r="Q59" s="13">
        <f>IF(Q58&lt;=0,0,MAX(0,Q58+CD59-CE59))</f>
        <v/>
      </c>
      <c r="R59" s="13">
        <f>IF(R58&lt;=0,0,MAX(0,R58+CG59-CH59))</f>
        <v/>
      </c>
      <c r="S59" s="13">
        <f>IF(S58&lt;=0,0,MAX(0,S58+CJ59-CK59))</f>
        <v/>
      </c>
      <c r="T59" s="13">
        <f>IF(T58&lt;=0,0,MAX(0,T58+CM59-CN59))</f>
        <v/>
      </c>
      <c r="U59" s="13">
        <f>IF(U58&lt;=0,0,MAX(0,U58+CP59-CQ59))</f>
        <v/>
      </c>
      <c r="V59" s="13">
        <f>IF(V58&lt;=0,0,MAX(0,V58+CS59-CT59))</f>
        <v/>
      </c>
      <c r="W59" s="13">
        <f>AO59+AR59+AU59+AX59+BA59+BD59+BG59+BJ59+BM59+BP59+BS59+BV59+BY59+CB59+CE59+CH59+CK59+CN59+CQ59+CT59</f>
        <v/>
      </c>
      <c r="X59" s="13">
        <f>AN59+AQ59+AT59+AW59+AZ59+BC59+BF59+BI59+BL59+BO59+BR59+BU59+BX59+CA59+CD59+CG59+CJ59+CM59+CP59+CS59</f>
        <v/>
      </c>
      <c r="Y59" s="27">
        <f>C59+D59+E59+F59+G59+H59+I59+J59+K59+L59+M59+N59+O59+P59+Q59+R59+S59+T59+U59+V59</f>
        <v/>
      </c>
      <c r="AN59">
        <f>IF(C58&lt;=0,0,C58*$E$5/12)</f>
        <v/>
      </c>
      <c r="AO59">
        <f>IF(C58&lt;=0,0,MIN(C58+AN59,$F$5+(Dashboard!$C$11+IF(C58&lt;=0,$F$5,0)+IF(D58&lt;=0,$F$6,0)+IF(E58&lt;=0,$F$7,0)+IF(F58&lt;=0,$F$8,0)+IF(G58&lt;=0,$F$9,0)+IF(H58&lt;=0,$F$10,0)+IF(I58&lt;=0,$F$11,0)+IF(J58&lt;=0,$F$12,0)+IF(K58&lt;=0,$F$13,0)+IF(L58&lt;=0,$F$14,0)+IF(M58&lt;=0,$F$15,0)+IF(N58&lt;=0,$F$16,0)+IF(O58&lt;=0,$F$17,0)+IF(P58&lt;=0,$F$18,0)+IF(Q58&lt;=0,$F$19,0)+IF(R58&lt;=0,$F$20,0)+IF(S58&lt;=0,$F$21,0)+IF(T58&lt;=0,$F$22,0)+IF(U58&lt;=0,$F$23,0)+IF(V58&lt;=0,$F$24,0))))</f>
        <v/>
      </c>
      <c r="AP59">
        <f>IF(C58&lt;=0,(Dashboard!$C$11+IF(C58&lt;=0,$F$5,0)+IF(D58&lt;=0,$F$6,0)+IF(E58&lt;=0,$F$7,0)+IF(F58&lt;=0,$F$8,0)+IF(G58&lt;=0,$F$9,0)+IF(H58&lt;=0,$F$10,0)+IF(I58&lt;=0,$F$11,0)+IF(J58&lt;=0,$F$12,0)+IF(K58&lt;=0,$F$13,0)+IF(L58&lt;=0,$F$14,0)+IF(M58&lt;=0,$F$15,0)+IF(N58&lt;=0,$F$16,0)+IF(O58&lt;=0,$F$17,0)+IF(P58&lt;=0,$F$18,0)+IF(Q58&lt;=0,$F$19,0)+IF(R58&lt;=0,$F$20,0)+IF(S58&lt;=0,$F$21,0)+IF(T58&lt;=0,$F$22,0)+IF(U58&lt;=0,$F$23,0)+IF(V58&lt;=0,$F$24,0)),MAX(0,$F$5+(Dashboard!$C$11+IF(C58&lt;=0,$F$5,0)+IF(D58&lt;=0,$F$6,0)+IF(E58&lt;=0,$F$7,0)+IF(F58&lt;=0,$F$8,0)+IF(G58&lt;=0,$F$9,0)+IF(H58&lt;=0,$F$10,0)+IF(I58&lt;=0,$F$11,0)+IF(J58&lt;=0,$F$12,0)+IF(K58&lt;=0,$F$13,0)+IF(L58&lt;=0,$F$14,0)+IF(M58&lt;=0,$F$15,0)+IF(N58&lt;=0,$F$16,0)+IF(O58&lt;=0,$F$17,0)+IF(P58&lt;=0,$F$18,0)+IF(Q58&lt;=0,$F$19,0)+IF(R58&lt;=0,$F$20,0)+IF(S58&lt;=0,$F$21,0)+IF(T58&lt;=0,$F$22,0)+IF(U58&lt;=0,$F$23,0)+IF(V58&lt;=0,$F$24,0))-C58-AN59))</f>
        <v/>
      </c>
      <c r="AQ59">
        <f>IF(D58&lt;=0,0,D58*$E$6/12)</f>
        <v/>
      </c>
      <c r="AR59">
        <f>IF(D58&lt;=0,0,MIN(D58+AQ59,$F$6+AP59))</f>
        <v/>
      </c>
      <c r="AS59">
        <f>IF(D58&lt;=0,AP59,MAX(0,$F$6+AP59-D58-AQ59))</f>
        <v/>
      </c>
      <c r="AT59">
        <f>IF(E58&lt;=0,0,E58*$E$7/12)</f>
        <v/>
      </c>
      <c r="AU59">
        <f>IF(E58&lt;=0,0,MIN(E58+AT59,$F$7+AS59))</f>
        <v/>
      </c>
      <c r="AV59">
        <f>IF(E58&lt;=0,AS59,MAX(0,$F$7+AS59-E58-AT59))</f>
        <v/>
      </c>
      <c r="AW59">
        <f>IF(F58&lt;=0,0,F58*$E$8/12)</f>
        <v/>
      </c>
      <c r="AX59">
        <f>IF(F58&lt;=0,0,MIN(F58+AW59,$F$8+AV59))</f>
        <v/>
      </c>
      <c r="AY59">
        <f>IF(F58&lt;=0,AV59,MAX(0,$F$8+AV59-F58-AW59))</f>
        <v/>
      </c>
      <c r="AZ59">
        <f>IF(G58&lt;=0,0,G58*$E$9/12)</f>
        <v/>
      </c>
      <c r="BA59">
        <f>IF(G58&lt;=0,0,MIN(G58+AZ59,$F$9+AY59))</f>
        <v/>
      </c>
      <c r="BB59">
        <f>IF(G58&lt;=0,AY59,MAX(0,$F$9+AY59-G58-AZ59))</f>
        <v/>
      </c>
      <c r="BC59">
        <f>IF(H58&lt;=0,0,H58*$E$10/12)</f>
        <v/>
      </c>
      <c r="BD59">
        <f>IF(H58&lt;=0,0,MIN(H58+BC59,$F$10+BB59))</f>
        <v/>
      </c>
      <c r="BE59">
        <f>IF(H58&lt;=0,BB59,MAX(0,$F$10+BB59-H58-BC59))</f>
        <v/>
      </c>
      <c r="BF59">
        <f>IF(I58&lt;=0,0,I58*$E$11/12)</f>
        <v/>
      </c>
      <c r="BG59">
        <f>IF(I58&lt;=0,0,MIN(I58+BF59,$F$11+BE59))</f>
        <v/>
      </c>
      <c r="BH59">
        <f>IF(I58&lt;=0,BE59,MAX(0,$F$11+BE59-I58-BF59))</f>
        <v/>
      </c>
      <c r="BI59">
        <f>IF(J58&lt;=0,0,J58*$E$12/12)</f>
        <v/>
      </c>
      <c r="BJ59">
        <f>IF(J58&lt;=0,0,MIN(J58+BI59,$F$12+BH59))</f>
        <v/>
      </c>
      <c r="BK59">
        <f>IF(J58&lt;=0,BH59,MAX(0,$F$12+BH59-J58-BI59))</f>
        <v/>
      </c>
      <c r="BL59">
        <f>IF(K58&lt;=0,0,K58*$E$13/12)</f>
        <v/>
      </c>
      <c r="BM59">
        <f>IF(K58&lt;=0,0,MIN(K58+BL59,$F$13+BK59))</f>
        <v/>
      </c>
      <c r="BN59">
        <f>IF(K58&lt;=0,BK59,MAX(0,$F$13+BK59-K58-BL59))</f>
        <v/>
      </c>
      <c r="BO59">
        <f>IF(L58&lt;=0,0,L58*$E$14/12)</f>
        <v/>
      </c>
      <c r="BP59">
        <f>IF(L58&lt;=0,0,MIN(L58+BO59,$F$14+BN59))</f>
        <v/>
      </c>
      <c r="BQ59">
        <f>IF(L58&lt;=0,BN59,MAX(0,$F$14+BN59-L58-BO59))</f>
        <v/>
      </c>
      <c r="BR59">
        <f>IF(M58&lt;=0,0,M58*$E$15/12)</f>
        <v/>
      </c>
      <c r="BS59">
        <f>IF(M58&lt;=0,0,MIN(M58+BR59,$F$15+BQ59))</f>
        <v/>
      </c>
      <c r="BT59">
        <f>IF(M58&lt;=0,BQ59,MAX(0,$F$15+BQ59-M58-BR59))</f>
        <v/>
      </c>
      <c r="BU59">
        <f>IF(N58&lt;=0,0,N58*$E$16/12)</f>
        <v/>
      </c>
      <c r="BV59">
        <f>IF(N58&lt;=0,0,MIN(N58+BU59,$F$16+BT59))</f>
        <v/>
      </c>
      <c r="BW59">
        <f>IF(N58&lt;=0,BT59,MAX(0,$F$16+BT59-N58-BU59))</f>
        <v/>
      </c>
      <c r="BX59">
        <f>IF(O58&lt;=0,0,O58*$E$17/12)</f>
        <v/>
      </c>
      <c r="BY59">
        <f>IF(O58&lt;=0,0,MIN(O58+BX59,$F$17+BW59))</f>
        <v/>
      </c>
      <c r="BZ59">
        <f>IF(O58&lt;=0,BW59,MAX(0,$F$17+BW59-O58-BX59))</f>
        <v/>
      </c>
      <c r="CA59">
        <f>IF(P58&lt;=0,0,P58*$E$18/12)</f>
        <v/>
      </c>
      <c r="CB59">
        <f>IF(P58&lt;=0,0,MIN(P58+CA59,$F$18+BZ59))</f>
        <v/>
      </c>
      <c r="CC59">
        <f>IF(P58&lt;=0,BZ59,MAX(0,$F$18+BZ59-P58-CA59))</f>
        <v/>
      </c>
      <c r="CD59">
        <f>IF(Q58&lt;=0,0,Q58*$E$19/12)</f>
        <v/>
      </c>
      <c r="CE59">
        <f>IF(Q58&lt;=0,0,MIN(Q58+CD59,$F$19+CC59))</f>
        <v/>
      </c>
      <c r="CF59">
        <f>IF(Q58&lt;=0,CC59,MAX(0,$F$19+CC59-Q58-CD59))</f>
        <v/>
      </c>
      <c r="CG59">
        <f>IF(R58&lt;=0,0,R58*$E$20/12)</f>
        <v/>
      </c>
      <c r="CH59">
        <f>IF(R58&lt;=0,0,MIN(R58+CG59,$F$20+CF59))</f>
        <v/>
      </c>
      <c r="CI59">
        <f>IF(R58&lt;=0,CF59,MAX(0,$F$20+CF59-R58-CG59))</f>
        <v/>
      </c>
      <c r="CJ59">
        <f>IF(S58&lt;=0,0,S58*$E$21/12)</f>
        <v/>
      </c>
      <c r="CK59">
        <f>IF(S58&lt;=0,0,MIN(S58+CJ59,$F$21+CI59))</f>
        <v/>
      </c>
      <c r="CL59">
        <f>IF(S58&lt;=0,CI59,MAX(0,$F$21+CI59-S58-CJ59))</f>
        <v/>
      </c>
      <c r="CM59">
        <f>IF(T58&lt;=0,0,T58*$E$22/12)</f>
        <v/>
      </c>
      <c r="CN59">
        <f>IF(T58&lt;=0,0,MIN(T58+CM59,$F$22+CL59))</f>
        <v/>
      </c>
      <c r="CO59">
        <f>IF(T58&lt;=0,CL59,MAX(0,$F$22+CL59-T58-CM59))</f>
        <v/>
      </c>
      <c r="CP59">
        <f>IF(U58&lt;=0,0,U58*$E$23/12)</f>
        <v/>
      </c>
      <c r="CQ59">
        <f>IF(U58&lt;=0,0,MIN(U58+CP59,$F$23+CO59))</f>
        <v/>
      </c>
      <c r="CR59">
        <f>IF(U58&lt;=0,CO59,MAX(0,$F$23+CO59-U58-CP59))</f>
        <v/>
      </c>
      <c r="CS59">
        <f>IF(V58&lt;=0,0,V58*$E$24/12)</f>
        <v/>
      </c>
      <c r="CT59">
        <f>IF(V58&lt;=0,0,MIN(V58+CS59,$F$24+CR59))</f>
        <v/>
      </c>
      <c r="CU59">
        <f>IF(V58&lt;=0,CR59,MAX(0,$F$24+CR59-V58-CS59))</f>
        <v/>
      </c>
    </row>
    <row r="60">
      <c r="B60" s="39" t="n">
        <v>34</v>
      </c>
      <c r="C60" s="13">
        <f>IF(C59&lt;=0,0,MAX(0,C59+AN60-AO60))</f>
        <v/>
      </c>
      <c r="D60" s="13">
        <f>IF(D59&lt;=0,0,MAX(0,D59+AQ60-AR60))</f>
        <v/>
      </c>
      <c r="E60" s="13">
        <f>IF(E59&lt;=0,0,MAX(0,E59+AT60-AU60))</f>
        <v/>
      </c>
      <c r="F60" s="13">
        <f>IF(F59&lt;=0,0,MAX(0,F59+AW60-AX60))</f>
        <v/>
      </c>
      <c r="G60" s="13">
        <f>IF(G59&lt;=0,0,MAX(0,G59+AZ60-BA60))</f>
        <v/>
      </c>
      <c r="H60" s="13">
        <f>IF(H59&lt;=0,0,MAX(0,H59+BC60-BD60))</f>
        <v/>
      </c>
      <c r="I60" s="13">
        <f>IF(I59&lt;=0,0,MAX(0,I59+BF60-BG60))</f>
        <v/>
      </c>
      <c r="J60" s="13">
        <f>IF(J59&lt;=0,0,MAX(0,J59+BI60-BJ60))</f>
        <v/>
      </c>
      <c r="K60" s="13">
        <f>IF(K59&lt;=0,0,MAX(0,K59+BL60-BM60))</f>
        <v/>
      </c>
      <c r="L60" s="13">
        <f>IF(L59&lt;=0,0,MAX(0,L59+BO60-BP60))</f>
        <v/>
      </c>
      <c r="M60" s="13">
        <f>IF(M59&lt;=0,0,MAX(0,M59+BR60-BS60))</f>
        <v/>
      </c>
      <c r="N60" s="13">
        <f>IF(N59&lt;=0,0,MAX(0,N59+BU60-BV60))</f>
        <v/>
      </c>
      <c r="O60" s="13">
        <f>IF(O59&lt;=0,0,MAX(0,O59+BX60-BY60))</f>
        <v/>
      </c>
      <c r="P60" s="13">
        <f>IF(P59&lt;=0,0,MAX(0,P59+CA60-CB60))</f>
        <v/>
      </c>
      <c r="Q60" s="13">
        <f>IF(Q59&lt;=0,0,MAX(0,Q59+CD60-CE60))</f>
        <v/>
      </c>
      <c r="R60" s="13">
        <f>IF(R59&lt;=0,0,MAX(0,R59+CG60-CH60))</f>
        <v/>
      </c>
      <c r="S60" s="13">
        <f>IF(S59&lt;=0,0,MAX(0,S59+CJ60-CK60))</f>
        <v/>
      </c>
      <c r="T60" s="13">
        <f>IF(T59&lt;=0,0,MAX(0,T59+CM60-CN60))</f>
        <v/>
      </c>
      <c r="U60" s="13">
        <f>IF(U59&lt;=0,0,MAX(0,U59+CP60-CQ60))</f>
        <v/>
      </c>
      <c r="V60" s="13">
        <f>IF(V59&lt;=0,0,MAX(0,V59+CS60-CT60))</f>
        <v/>
      </c>
      <c r="W60" s="13">
        <f>AO60+AR60+AU60+AX60+BA60+BD60+BG60+BJ60+BM60+BP60+BS60+BV60+BY60+CB60+CE60+CH60+CK60+CN60+CQ60+CT60</f>
        <v/>
      </c>
      <c r="X60" s="13">
        <f>AN60+AQ60+AT60+AW60+AZ60+BC60+BF60+BI60+BL60+BO60+BR60+BU60+BX60+CA60+CD60+CG60+CJ60+CM60+CP60+CS60</f>
        <v/>
      </c>
      <c r="Y60" s="27">
        <f>C60+D60+E60+F60+G60+H60+I60+J60+K60+L60+M60+N60+O60+P60+Q60+R60+S60+T60+U60+V60</f>
        <v/>
      </c>
      <c r="AN60">
        <f>IF(C59&lt;=0,0,C59*$E$5/12)</f>
        <v/>
      </c>
      <c r="AO60">
        <f>IF(C59&lt;=0,0,MIN(C59+AN60,$F$5+(Dashboard!$C$11+IF(C59&lt;=0,$F$5,0)+IF(D59&lt;=0,$F$6,0)+IF(E59&lt;=0,$F$7,0)+IF(F59&lt;=0,$F$8,0)+IF(G59&lt;=0,$F$9,0)+IF(H59&lt;=0,$F$10,0)+IF(I59&lt;=0,$F$11,0)+IF(J59&lt;=0,$F$12,0)+IF(K59&lt;=0,$F$13,0)+IF(L59&lt;=0,$F$14,0)+IF(M59&lt;=0,$F$15,0)+IF(N59&lt;=0,$F$16,0)+IF(O59&lt;=0,$F$17,0)+IF(P59&lt;=0,$F$18,0)+IF(Q59&lt;=0,$F$19,0)+IF(R59&lt;=0,$F$20,0)+IF(S59&lt;=0,$F$21,0)+IF(T59&lt;=0,$F$22,0)+IF(U59&lt;=0,$F$23,0)+IF(V59&lt;=0,$F$24,0))))</f>
        <v/>
      </c>
      <c r="AP60">
        <f>IF(C59&lt;=0,(Dashboard!$C$11+IF(C59&lt;=0,$F$5,0)+IF(D59&lt;=0,$F$6,0)+IF(E59&lt;=0,$F$7,0)+IF(F59&lt;=0,$F$8,0)+IF(G59&lt;=0,$F$9,0)+IF(H59&lt;=0,$F$10,0)+IF(I59&lt;=0,$F$11,0)+IF(J59&lt;=0,$F$12,0)+IF(K59&lt;=0,$F$13,0)+IF(L59&lt;=0,$F$14,0)+IF(M59&lt;=0,$F$15,0)+IF(N59&lt;=0,$F$16,0)+IF(O59&lt;=0,$F$17,0)+IF(P59&lt;=0,$F$18,0)+IF(Q59&lt;=0,$F$19,0)+IF(R59&lt;=0,$F$20,0)+IF(S59&lt;=0,$F$21,0)+IF(T59&lt;=0,$F$22,0)+IF(U59&lt;=0,$F$23,0)+IF(V59&lt;=0,$F$24,0)),MAX(0,$F$5+(Dashboard!$C$11+IF(C59&lt;=0,$F$5,0)+IF(D59&lt;=0,$F$6,0)+IF(E59&lt;=0,$F$7,0)+IF(F59&lt;=0,$F$8,0)+IF(G59&lt;=0,$F$9,0)+IF(H59&lt;=0,$F$10,0)+IF(I59&lt;=0,$F$11,0)+IF(J59&lt;=0,$F$12,0)+IF(K59&lt;=0,$F$13,0)+IF(L59&lt;=0,$F$14,0)+IF(M59&lt;=0,$F$15,0)+IF(N59&lt;=0,$F$16,0)+IF(O59&lt;=0,$F$17,0)+IF(P59&lt;=0,$F$18,0)+IF(Q59&lt;=0,$F$19,0)+IF(R59&lt;=0,$F$20,0)+IF(S59&lt;=0,$F$21,0)+IF(T59&lt;=0,$F$22,0)+IF(U59&lt;=0,$F$23,0)+IF(V59&lt;=0,$F$24,0))-C59-AN60))</f>
        <v/>
      </c>
      <c r="AQ60">
        <f>IF(D59&lt;=0,0,D59*$E$6/12)</f>
        <v/>
      </c>
      <c r="AR60">
        <f>IF(D59&lt;=0,0,MIN(D59+AQ60,$F$6+AP60))</f>
        <v/>
      </c>
      <c r="AS60">
        <f>IF(D59&lt;=0,AP60,MAX(0,$F$6+AP60-D59-AQ60))</f>
        <v/>
      </c>
      <c r="AT60">
        <f>IF(E59&lt;=0,0,E59*$E$7/12)</f>
        <v/>
      </c>
      <c r="AU60">
        <f>IF(E59&lt;=0,0,MIN(E59+AT60,$F$7+AS60))</f>
        <v/>
      </c>
      <c r="AV60">
        <f>IF(E59&lt;=0,AS60,MAX(0,$F$7+AS60-E59-AT60))</f>
        <v/>
      </c>
      <c r="AW60">
        <f>IF(F59&lt;=0,0,F59*$E$8/12)</f>
        <v/>
      </c>
      <c r="AX60">
        <f>IF(F59&lt;=0,0,MIN(F59+AW60,$F$8+AV60))</f>
        <v/>
      </c>
      <c r="AY60">
        <f>IF(F59&lt;=0,AV60,MAX(0,$F$8+AV60-F59-AW60))</f>
        <v/>
      </c>
      <c r="AZ60">
        <f>IF(G59&lt;=0,0,G59*$E$9/12)</f>
        <v/>
      </c>
      <c r="BA60">
        <f>IF(G59&lt;=0,0,MIN(G59+AZ60,$F$9+AY60))</f>
        <v/>
      </c>
      <c r="BB60">
        <f>IF(G59&lt;=0,AY60,MAX(0,$F$9+AY60-G59-AZ60))</f>
        <v/>
      </c>
      <c r="BC60">
        <f>IF(H59&lt;=0,0,H59*$E$10/12)</f>
        <v/>
      </c>
      <c r="BD60">
        <f>IF(H59&lt;=0,0,MIN(H59+BC60,$F$10+BB60))</f>
        <v/>
      </c>
      <c r="BE60">
        <f>IF(H59&lt;=0,BB60,MAX(0,$F$10+BB60-H59-BC60))</f>
        <v/>
      </c>
      <c r="BF60">
        <f>IF(I59&lt;=0,0,I59*$E$11/12)</f>
        <v/>
      </c>
      <c r="BG60">
        <f>IF(I59&lt;=0,0,MIN(I59+BF60,$F$11+BE60))</f>
        <v/>
      </c>
      <c r="BH60">
        <f>IF(I59&lt;=0,BE60,MAX(0,$F$11+BE60-I59-BF60))</f>
        <v/>
      </c>
      <c r="BI60">
        <f>IF(J59&lt;=0,0,J59*$E$12/12)</f>
        <v/>
      </c>
      <c r="BJ60">
        <f>IF(J59&lt;=0,0,MIN(J59+BI60,$F$12+BH60))</f>
        <v/>
      </c>
      <c r="BK60">
        <f>IF(J59&lt;=0,BH60,MAX(0,$F$12+BH60-J59-BI60))</f>
        <v/>
      </c>
      <c r="BL60">
        <f>IF(K59&lt;=0,0,K59*$E$13/12)</f>
        <v/>
      </c>
      <c r="BM60">
        <f>IF(K59&lt;=0,0,MIN(K59+BL60,$F$13+BK60))</f>
        <v/>
      </c>
      <c r="BN60">
        <f>IF(K59&lt;=0,BK60,MAX(0,$F$13+BK60-K59-BL60))</f>
        <v/>
      </c>
      <c r="BO60">
        <f>IF(L59&lt;=0,0,L59*$E$14/12)</f>
        <v/>
      </c>
      <c r="BP60">
        <f>IF(L59&lt;=0,0,MIN(L59+BO60,$F$14+BN60))</f>
        <v/>
      </c>
      <c r="BQ60">
        <f>IF(L59&lt;=0,BN60,MAX(0,$F$14+BN60-L59-BO60))</f>
        <v/>
      </c>
      <c r="BR60">
        <f>IF(M59&lt;=0,0,M59*$E$15/12)</f>
        <v/>
      </c>
      <c r="BS60">
        <f>IF(M59&lt;=0,0,MIN(M59+BR60,$F$15+BQ60))</f>
        <v/>
      </c>
      <c r="BT60">
        <f>IF(M59&lt;=0,BQ60,MAX(0,$F$15+BQ60-M59-BR60))</f>
        <v/>
      </c>
      <c r="BU60">
        <f>IF(N59&lt;=0,0,N59*$E$16/12)</f>
        <v/>
      </c>
      <c r="BV60">
        <f>IF(N59&lt;=0,0,MIN(N59+BU60,$F$16+BT60))</f>
        <v/>
      </c>
      <c r="BW60">
        <f>IF(N59&lt;=0,BT60,MAX(0,$F$16+BT60-N59-BU60))</f>
        <v/>
      </c>
      <c r="BX60">
        <f>IF(O59&lt;=0,0,O59*$E$17/12)</f>
        <v/>
      </c>
      <c r="BY60">
        <f>IF(O59&lt;=0,0,MIN(O59+BX60,$F$17+BW60))</f>
        <v/>
      </c>
      <c r="BZ60">
        <f>IF(O59&lt;=0,BW60,MAX(0,$F$17+BW60-O59-BX60))</f>
        <v/>
      </c>
      <c r="CA60">
        <f>IF(P59&lt;=0,0,P59*$E$18/12)</f>
        <v/>
      </c>
      <c r="CB60">
        <f>IF(P59&lt;=0,0,MIN(P59+CA60,$F$18+BZ60))</f>
        <v/>
      </c>
      <c r="CC60">
        <f>IF(P59&lt;=0,BZ60,MAX(0,$F$18+BZ60-P59-CA60))</f>
        <v/>
      </c>
      <c r="CD60">
        <f>IF(Q59&lt;=0,0,Q59*$E$19/12)</f>
        <v/>
      </c>
      <c r="CE60">
        <f>IF(Q59&lt;=0,0,MIN(Q59+CD60,$F$19+CC60))</f>
        <v/>
      </c>
      <c r="CF60">
        <f>IF(Q59&lt;=0,CC60,MAX(0,$F$19+CC60-Q59-CD60))</f>
        <v/>
      </c>
      <c r="CG60">
        <f>IF(R59&lt;=0,0,R59*$E$20/12)</f>
        <v/>
      </c>
      <c r="CH60">
        <f>IF(R59&lt;=0,0,MIN(R59+CG60,$F$20+CF60))</f>
        <v/>
      </c>
      <c r="CI60">
        <f>IF(R59&lt;=0,CF60,MAX(0,$F$20+CF60-R59-CG60))</f>
        <v/>
      </c>
      <c r="CJ60">
        <f>IF(S59&lt;=0,0,S59*$E$21/12)</f>
        <v/>
      </c>
      <c r="CK60">
        <f>IF(S59&lt;=0,0,MIN(S59+CJ60,$F$21+CI60))</f>
        <v/>
      </c>
      <c r="CL60">
        <f>IF(S59&lt;=0,CI60,MAX(0,$F$21+CI60-S59-CJ60))</f>
        <v/>
      </c>
      <c r="CM60">
        <f>IF(T59&lt;=0,0,T59*$E$22/12)</f>
        <v/>
      </c>
      <c r="CN60">
        <f>IF(T59&lt;=0,0,MIN(T59+CM60,$F$22+CL60))</f>
        <v/>
      </c>
      <c r="CO60">
        <f>IF(T59&lt;=0,CL60,MAX(0,$F$22+CL60-T59-CM60))</f>
        <v/>
      </c>
      <c r="CP60">
        <f>IF(U59&lt;=0,0,U59*$E$23/12)</f>
        <v/>
      </c>
      <c r="CQ60">
        <f>IF(U59&lt;=0,0,MIN(U59+CP60,$F$23+CO60))</f>
        <v/>
      </c>
      <c r="CR60">
        <f>IF(U59&lt;=0,CO60,MAX(0,$F$23+CO60-U59-CP60))</f>
        <v/>
      </c>
      <c r="CS60">
        <f>IF(V59&lt;=0,0,V59*$E$24/12)</f>
        <v/>
      </c>
      <c r="CT60">
        <f>IF(V59&lt;=0,0,MIN(V59+CS60,$F$24+CR60))</f>
        <v/>
      </c>
      <c r="CU60">
        <f>IF(V59&lt;=0,CR60,MAX(0,$F$24+CR60-V59-CS60))</f>
        <v/>
      </c>
    </row>
    <row r="61">
      <c r="B61" s="39" t="n">
        <v>35</v>
      </c>
      <c r="C61" s="13">
        <f>IF(C60&lt;=0,0,MAX(0,C60+AN61-AO61))</f>
        <v/>
      </c>
      <c r="D61" s="13">
        <f>IF(D60&lt;=0,0,MAX(0,D60+AQ61-AR61))</f>
        <v/>
      </c>
      <c r="E61" s="13">
        <f>IF(E60&lt;=0,0,MAX(0,E60+AT61-AU61))</f>
        <v/>
      </c>
      <c r="F61" s="13">
        <f>IF(F60&lt;=0,0,MAX(0,F60+AW61-AX61))</f>
        <v/>
      </c>
      <c r="G61" s="13">
        <f>IF(G60&lt;=0,0,MAX(0,G60+AZ61-BA61))</f>
        <v/>
      </c>
      <c r="H61" s="13">
        <f>IF(H60&lt;=0,0,MAX(0,H60+BC61-BD61))</f>
        <v/>
      </c>
      <c r="I61" s="13">
        <f>IF(I60&lt;=0,0,MAX(0,I60+BF61-BG61))</f>
        <v/>
      </c>
      <c r="J61" s="13">
        <f>IF(J60&lt;=0,0,MAX(0,J60+BI61-BJ61))</f>
        <v/>
      </c>
      <c r="K61" s="13">
        <f>IF(K60&lt;=0,0,MAX(0,K60+BL61-BM61))</f>
        <v/>
      </c>
      <c r="L61" s="13">
        <f>IF(L60&lt;=0,0,MAX(0,L60+BO61-BP61))</f>
        <v/>
      </c>
      <c r="M61" s="13">
        <f>IF(M60&lt;=0,0,MAX(0,M60+BR61-BS61))</f>
        <v/>
      </c>
      <c r="N61" s="13">
        <f>IF(N60&lt;=0,0,MAX(0,N60+BU61-BV61))</f>
        <v/>
      </c>
      <c r="O61" s="13">
        <f>IF(O60&lt;=0,0,MAX(0,O60+BX61-BY61))</f>
        <v/>
      </c>
      <c r="P61" s="13">
        <f>IF(P60&lt;=0,0,MAX(0,P60+CA61-CB61))</f>
        <v/>
      </c>
      <c r="Q61" s="13">
        <f>IF(Q60&lt;=0,0,MAX(0,Q60+CD61-CE61))</f>
        <v/>
      </c>
      <c r="R61" s="13">
        <f>IF(R60&lt;=0,0,MAX(0,R60+CG61-CH61))</f>
        <v/>
      </c>
      <c r="S61" s="13">
        <f>IF(S60&lt;=0,0,MAX(0,S60+CJ61-CK61))</f>
        <v/>
      </c>
      <c r="T61" s="13">
        <f>IF(T60&lt;=0,0,MAX(0,T60+CM61-CN61))</f>
        <v/>
      </c>
      <c r="U61" s="13">
        <f>IF(U60&lt;=0,0,MAX(0,U60+CP61-CQ61))</f>
        <v/>
      </c>
      <c r="V61" s="13">
        <f>IF(V60&lt;=0,0,MAX(0,V60+CS61-CT61))</f>
        <v/>
      </c>
      <c r="W61" s="13">
        <f>AO61+AR61+AU61+AX61+BA61+BD61+BG61+BJ61+BM61+BP61+BS61+BV61+BY61+CB61+CE61+CH61+CK61+CN61+CQ61+CT61</f>
        <v/>
      </c>
      <c r="X61" s="13">
        <f>AN61+AQ61+AT61+AW61+AZ61+BC61+BF61+BI61+BL61+BO61+BR61+BU61+BX61+CA61+CD61+CG61+CJ61+CM61+CP61+CS61</f>
        <v/>
      </c>
      <c r="Y61" s="27">
        <f>C61+D61+E61+F61+G61+H61+I61+J61+K61+L61+M61+N61+O61+P61+Q61+R61+S61+T61+U61+V61</f>
        <v/>
      </c>
      <c r="AN61">
        <f>IF(C60&lt;=0,0,C60*$E$5/12)</f>
        <v/>
      </c>
      <c r="AO61">
        <f>IF(C60&lt;=0,0,MIN(C60+AN61,$F$5+(Dashboard!$C$11+IF(C60&lt;=0,$F$5,0)+IF(D60&lt;=0,$F$6,0)+IF(E60&lt;=0,$F$7,0)+IF(F60&lt;=0,$F$8,0)+IF(G60&lt;=0,$F$9,0)+IF(H60&lt;=0,$F$10,0)+IF(I60&lt;=0,$F$11,0)+IF(J60&lt;=0,$F$12,0)+IF(K60&lt;=0,$F$13,0)+IF(L60&lt;=0,$F$14,0)+IF(M60&lt;=0,$F$15,0)+IF(N60&lt;=0,$F$16,0)+IF(O60&lt;=0,$F$17,0)+IF(P60&lt;=0,$F$18,0)+IF(Q60&lt;=0,$F$19,0)+IF(R60&lt;=0,$F$20,0)+IF(S60&lt;=0,$F$21,0)+IF(T60&lt;=0,$F$22,0)+IF(U60&lt;=0,$F$23,0)+IF(V60&lt;=0,$F$24,0))))</f>
        <v/>
      </c>
      <c r="AP61">
        <f>IF(C60&lt;=0,(Dashboard!$C$11+IF(C60&lt;=0,$F$5,0)+IF(D60&lt;=0,$F$6,0)+IF(E60&lt;=0,$F$7,0)+IF(F60&lt;=0,$F$8,0)+IF(G60&lt;=0,$F$9,0)+IF(H60&lt;=0,$F$10,0)+IF(I60&lt;=0,$F$11,0)+IF(J60&lt;=0,$F$12,0)+IF(K60&lt;=0,$F$13,0)+IF(L60&lt;=0,$F$14,0)+IF(M60&lt;=0,$F$15,0)+IF(N60&lt;=0,$F$16,0)+IF(O60&lt;=0,$F$17,0)+IF(P60&lt;=0,$F$18,0)+IF(Q60&lt;=0,$F$19,0)+IF(R60&lt;=0,$F$20,0)+IF(S60&lt;=0,$F$21,0)+IF(T60&lt;=0,$F$22,0)+IF(U60&lt;=0,$F$23,0)+IF(V60&lt;=0,$F$24,0)),MAX(0,$F$5+(Dashboard!$C$11+IF(C60&lt;=0,$F$5,0)+IF(D60&lt;=0,$F$6,0)+IF(E60&lt;=0,$F$7,0)+IF(F60&lt;=0,$F$8,0)+IF(G60&lt;=0,$F$9,0)+IF(H60&lt;=0,$F$10,0)+IF(I60&lt;=0,$F$11,0)+IF(J60&lt;=0,$F$12,0)+IF(K60&lt;=0,$F$13,0)+IF(L60&lt;=0,$F$14,0)+IF(M60&lt;=0,$F$15,0)+IF(N60&lt;=0,$F$16,0)+IF(O60&lt;=0,$F$17,0)+IF(P60&lt;=0,$F$18,0)+IF(Q60&lt;=0,$F$19,0)+IF(R60&lt;=0,$F$20,0)+IF(S60&lt;=0,$F$21,0)+IF(T60&lt;=0,$F$22,0)+IF(U60&lt;=0,$F$23,0)+IF(V60&lt;=0,$F$24,0))-C60-AN61))</f>
        <v/>
      </c>
      <c r="AQ61">
        <f>IF(D60&lt;=0,0,D60*$E$6/12)</f>
        <v/>
      </c>
      <c r="AR61">
        <f>IF(D60&lt;=0,0,MIN(D60+AQ61,$F$6+AP61))</f>
        <v/>
      </c>
      <c r="AS61">
        <f>IF(D60&lt;=0,AP61,MAX(0,$F$6+AP61-D60-AQ61))</f>
        <v/>
      </c>
      <c r="AT61">
        <f>IF(E60&lt;=0,0,E60*$E$7/12)</f>
        <v/>
      </c>
      <c r="AU61">
        <f>IF(E60&lt;=0,0,MIN(E60+AT61,$F$7+AS61))</f>
        <v/>
      </c>
      <c r="AV61">
        <f>IF(E60&lt;=0,AS61,MAX(0,$F$7+AS61-E60-AT61))</f>
        <v/>
      </c>
      <c r="AW61">
        <f>IF(F60&lt;=0,0,F60*$E$8/12)</f>
        <v/>
      </c>
      <c r="AX61">
        <f>IF(F60&lt;=0,0,MIN(F60+AW61,$F$8+AV61))</f>
        <v/>
      </c>
      <c r="AY61">
        <f>IF(F60&lt;=0,AV61,MAX(0,$F$8+AV61-F60-AW61))</f>
        <v/>
      </c>
      <c r="AZ61">
        <f>IF(G60&lt;=0,0,G60*$E$9/12)</f>
        <v/>
      </c>
      <c r="BA61">
        <f>IF(G60&lt;=0,0,MIN(G60+AZ61,$F$9+AY61))</f>
        <v/>
      </c>
      <c r="BB61">
        <f>IF(G60&lt;=0,AY61,MAX(0,$F$9+AY61-G60-AZ61))</f>
        <v/>
      </c>
      <c r="BC61">
        <f>IF(H60&lt;=0,0,H60*$E$10/12)</f>
        <v/>
      </c>
      <c r="BD61">
        <f>IF(H60&lt;=0,0,MIN(H60+BC61,$F$10+BB61))</f>
        <v/>
      </c>
      <c r="BE61">
        <f>IF(H60&lt;=0,BB61,MAX(0,$F$10+BB61-H60-BC61))</f>
        <v/>
      </c>
      <c r="BF61">
        <f>IF(I60&lt;=0,0,I60*$E$11/12)</f>
        <v/>
      </c>
      <c r="BG61">
        <f>IF(I60&lt;=0,0,MIN(I60+BF61,$F$11+BE61))</f>
        <v/>
      </c>
      <c r="BH61">
        <f>IF(I60&lt;=0,BE61,MAX(0,$F$11+BE61-I60-BF61))</f>
        <v/>
      </c>
      <c r="BI61">
        <f>IF(J60&lt;=0,0,J60*$E$12/12)</f>
        <v/>
      </c>
      <c r="BJ61">
        <f>IF(J60&lt;=0,0,MIN(J60+BI61,$F$12+BH61))</f>
        <v/>
      </c>
      <c r="BK61">
        <f>IF(J60&lt;=0,BH61,MAX(0,$F$12+BH61-J60-BI61))</f>
        <v/>
      </c>
      <c r="BL61">
        <f>IF(K60&lt;=0,0,K60*$E$13/12)</f>
        <v/>
      </c>
      <c r="BM61">
        <f>IF(K60&lt;=0,0,MIN(K60+BL61,$F$13+BK61))</f>
        <v/>
      </c>
      <c r="BN61">
        <f>IF(K60&lt;=0,BK61,MAX(0,$F$13+BK61-K60-BL61))</f>
        <v/>
      </c>
      <c r="BO61">
        <f>IF(L60&lt;=0,0,L60*$E$14/12)</f>
        <v/>
      </c>
      <c r="BP61">
        <f>IF(L60&lt;=0,0,MIN(L60+BO61,$F$14+BN61))</f>
        <v/>
      </c>
      <c r="BQ61">
        <f>IF(L60&lt;=0,BN61,MAX(0,$F$14+BN61-L60-BO61))</f>
        <v/>
      </c>
      <c r="BR61">
        <f>IF(M60&lt;=0,0,M60*$E$15/12)</f>
        <v/>
      </c>
      <c r="BS61">
        <f>IF(M60&lt;=0,0,MIN(M60+BR61,$F$15+BQ61))</f>
        <v/>
      </c>
      <c r="BT61">
        <f>IF(M60&lt;=0,BQ61,MAX(0,$F$15+BQ61-M60-BR61))</f>
        <v/>
      </c>
      <c r="BU61">
        <f>IF(N60&lt;=0,0,N60*$E$16/12)</f>
        <v/>
      </c>
      <c r="BV61">
        <f>IF(N60&lt;=0,0,MIN(N60+BU61,$F$16+BT61))</f>
        <v/>
      </c>
      <c r="BW61">
        <f>IF(N60&lt;=0,BT61,MAX(0,$F$16+BT61-N60-BU61))</f>
        <v/>
      </c>
      <c r="BX61">
        <f>IF(O60&lt;=0,0,O60*$E$17/12)</f>
        <v/>
      </c>
      <c r="BY61">
        <f>IF(O60&lt;=0,0,MIN(O60+BX61,$F$17+BW61))</f>
        <v/>
      </c>
      <c r="BZ61">
        <f>IF(O60&lt;=0,BW61,MAX(0,$F$17+BW61-O60-BX61))</f>
        <v/>
      </c>
      <c r="CA61">
        <f>IF(P60&lt;=0,0,P60*$E$18/12)</f>
        <v/>
      </c>
      <c r="CB61">
        <f>IF(P60&lt;=0,0,MIN(P60+CA61,$F$18+BZ61))</f>
        <v/>
      </c>
      <c r="CC61">
        <f>IF(P60&lt;=0,BZ61,MAX(0,$F$18+BZ61-P60-CA61))</f>
        <v/>
      </c>
      <c r="CD61">
        <f>IF(Q60&lt;=0,0,Q60*$E$19/12)</f>
        <v/>
      </c>
      <c r="CE61">
        <f>IF(Q60&lt;=0,0,MIN(Q60+CD61,$F$19+CC61))</f>
        <v/>
      </c>
      <c r="CF61">
        <f>IF(Q60&lt;=0,CC61,MAX(0,$F$19+CC61-Q60-CD61))</f>
        <v/>
      </c>
      <c r="CG61">
        <f>IF(R60&lt;=0,0,R60*$E$20/12)</f>
        <v/>
      </c>
      <c r="CH61">
        <f>IF(R60&lt;=0,0,MIN(R60+CG61,$F$20+CF61))</f>
        <v/>
      </c>
      <c r="CI61">
        <f>IF(R60&lt;=0,CF61,MAX(0,$F$20+CF61-R60-CG61))</f>
        <v/>
      </c>
      <c r="CJ61">
        <f>IF(S60&lt;=0,0,S60*$E$21/12)</f>
        <v/>
      </c>
      <c r="CK61">
        <f>IF(S60&lt;=0,0,MIN(S60+CJ61,$F$21+CI61))</f>
        <v/>
      </c>
      <c r="CL61">
        <f>IF(S60&lt;=0,CI61,MAX(0,$F$21+CI61-S60-CJ61))</f>
        <v/>
      </c>
      <c r="CM61">
        <f>IF(T60&lt;=0,0,T60*$E$22/12)</f>
        <v/>
      </c>
      <c r="CN61">
        <f>IF(T60&lt;=0,0,MIN(T60+CM61,$F$22+CL61))</f>
        <v/>
      </c>
      <c r="CO61">
        <f>IF(T60&lt;=0,CL61,MAX(0,$F$22+CL61-T60-CM61))</f>
        <v/>
      </c>
      <c r="CP61">
        <f>IF(U60&lt;=0,0,U60*$E$23/12)</f>
        <v/>
      </c>
      <c r="CQ61">
        <f>IF(U60&lt;=0,0,MIN(U60+CP61,$F$23+CO61))</f>
        <v/>
      </c>
      <c r="CR61">
        <f>IF(U60&lt;=0,CO61,MAX(0,$F$23+CO61-U60-CP61))</f>
        <v/>
      </c>
      <c r="CS61">
        <f>IF(V60&lt;=0,0,V60*$E$24/12)</f>
        <v/>
      </c>
      <c r="CT61">
        <f>IF(V60&lt;=0,0,MIN(V60+CS61,$F$24+CR61))</f>
        <v/>
      </c>
      <c r="CU61">
        <f>IF(V60&lt;=0,CR61,MAX(0,$F$24+CR61-V60-CS61))</f>
        <v/>
      </c>
    </row>
    <row r="62">
      <c r="B62" s="39" t="n">
        <v>36</v>
      </c>
      <c r="C62" s="13">
        <f>IF(C61&lt;=0,0,MAX(0,C61+AN62-AO62))</f>
        <v/>
      </c>
      <c r="D62" s="13">
        <f>IF(D61&lt;=0,0,MAX(0,D61+AQ62-AR62))</f>
        <v/>
      </c>
      <c r="E62" s="13">
        <f>IF(E61&lt;=0,0,MAX(0,E61+AT62-AU62))</f>
        <v/>
      </c>
      <c r="F62" s="13">
        <f>IF(F61&lt;=0,0,MAX(0,F61+AW62-AX62))</f>
        <v/>
      </c>
      <c r="G62" s="13">
        <f>IF(G61&lt;=0,0,MAX(0,G61+AZ62-BA62))</f>
        <v/>
      </c>
      <c r="H62" s="13">
        <f>IF(H61&lt;=0,0,MAX(0,H61+BC62-BD62))</f>
        <v/>
      </c>
      <c r="I62" s="13">
        <f>IF(I61&lt;=0,0,MAX(0,I61+BF62-BG62))</f>
        <v/>
      </c>
      <c r="J62" s="13">
        <f>IF(J61&lt;=0,0,MAX(0,J61+BI62-BJ62))</f>
        <v/>
      </c>
      <c r="K62" s="13">
        <f>IF(K61&lt;=0,0,MAX(0,K61+BL62-BM62))</f>
        <v/>
      </c>
      <c r="L62" s="13">
        <f>IF(L61&lt;=0,0,MAX(0,L61+BO62-BP62))</f>
        <v/>
      </c>
      <c r="M62" s="13">
        <f>IF(M61&lt;=0,0,MAX(0,M61+BR62-BS62))</f>
        <v/>
      </c>
      <c r="N62" s="13">
        <f>IF(N61&lt;=0,0,MAX(0,N61+BU62-BV62))</f>
        <v/>
      </c>
      <c r="O62" s="13">
        <f>IF(O61&lt;=0,0,MAX(0,O61+BX62-BY62))</f>
        <v/>
      </c>
      <c r="P62" s="13">
        <f>IF(P61&lt;=0,0,MAX(0,P61+CA62-CB62))</f>
        <v/>
      </c>
      <c r="Q62" s="13">
        <f>IF(Q61&lt;=0,0,MAX(0,Q61+CD62-CE62))</f>
        <v/>
      </c>
      <c r="R62" s="13">
        <f>IF(R61&lt;=0,0,MAX(0,R61+CG62-CH62))</f>
        <v/>
      </c>
      <c r="S62" s="13">
        <f>IF(S61&lt;=0,0,MAX(0,S61+CJ62-CK62))</f>
        <v/>
      </c>
      <c r="T62" s="13">
        <f>IF(T61&lt;=0,0,MAX(0,T61+CM62-CN62))</f>
        <v/>
      </c>
      <c r="U62" s="13">
        <f>IF(U61&lt;=0,0,MAX(0,U61+CP62-CQ62))</f>
        <v/>
      </c>
      <c r="V62" s="13">
        <f>IF(V61&lt;=0,0,MAX(0,V61+CS62-CT62))</f>
        <v/>
      </c>
      <c r="W62" s="13">
        <f>AO62+AR62+AU62+AX62+BA62+BD62+BG62+BJ62+BM62+BP62+BS62+BV62+BY62+CB62+CE62+CH62+CK62+CN62+CQ62+CT62</f>
        <v/>
      </c>
      <c r="X62" s="13">
        <f>AN62+AQ62+AT62+AW62+AZ62+BC62+BF62+BI62+BL62+BO62+BR62+BU62+BX62+CA62+CD62+CG62+CJ62+CM62+CP62+CS62</f>
        <v/>
      </c>
      <c r="Y62" s="27">
        <f>C62+D62+E62+F62+G62+H62+I62+J62+K62+L62+M62+N62+O62+P62+Q62+R62+S62+T62+U62+V62</f>
        <v/>
      </c>
      <c r="AN62">
        <f>IF(C61&lt;=0,0,C61*$E$5/12)</f>
        <v/>
      </c>
      <c r="AO62">
        <f>IF(C61&lt;=0,0,MIN(C61+AN62,$F$5+(Dashboard!$C$11+IF(C61&lt;=0,$F$5,0)+IF(D61&lt;=0,$F$6,0)+IF(E61&lt;=0,$F$7,0)+IF(F61&lt;=0,$F$8,0)+IF(G61&lt;=0,$F$9,0)+IF(H61&lt;=0,$F$10,0)+IF(I61&lt;=0,$F$11,0)+IF(J61&lt;=0,$F$12,0)+IF(K61&lt;=0,$F$13,0)+IF(L61&lt;=0,$F$14,0)+IF(M61&lt;=0,$F$15,0)+IF(N61&lt;=0,$F$16,0)+IF(O61&lt;=0,$F$17,0)+IF(P61&lt;=0,$F$18,0)+IF(Q61&lt;=0,$F$19,0)+IF(R61&lt;=0,$F$20,0)+IF(S61&lt;=0,$F$21,0)+IF(T61&lt;=0,$F$22,0)+IF(U61&lt;=0,$F$23,0)+IF(V61&lt;=0,$F$24,0))))</f>
        <v/>
      </c>
      <c r="AP62">
        <f>IF(C61&lt;=0,(Dashboard!$C$11+IF(C61&lt;=0,$F$5,0)+IF(D61&lt;=0,$F$6,0)+IF(E61&lt;=0,$F$7,0)+IF(F61&lt;=0,$F$8,0)+IF(G61&lt;=0,$F$9,0)+IF(H61&lt;=0,$F$10,0)+IF(I61&lt;=0,$F$11,0)+IF(J61&lt;=0,$F$12,0)+IF(K61&lt;=0,$F$13,0)+IF(L61&lt;=0,$F$14,0)+IF(M61&lt;=0,$F$15,0)+IF(N61&lt;=0,$F$16,0)+IF(O61&lt;=0,$F$17,0)+IF(P61&lt;=0,$F$18,0)+IF(Q61&lt;=0,$F$19,0)+IF(R61&lt;=0,$F$20,0)+IF(S61&lt;=0,$F$21,0)+IF(T61&lt;=0,$F$22,0)+IF(U61&lt;=0,$F$23,0)+IF(V61&lt;=0,$F$24,0)),MAX(0,$F$5+(Dashboard!$C$11+IF(C61&lt;=0,$F$5,0)+IF(D61&lt;=0,$F$6,0)+IF(E61&lt;=0,$F$7,0)+IF(F61&lt;=0,$F$8,0)+IF(G61&lt;=0,$F$9,0)+IF(H61&lt;=0,$F$10,0)+IF(I61&lt;=0,$F$11,0)+IF(J61&lt;=0,$F$12,0)+IF(K61&lt;=0,$F$13,0)+IF(L61&lt;=0,$F$14,0)+IF(M61&lt;=0,$F$15,0)+IF(N61&lt;=0,$F$16,0)+IF(O61&lt;=0,$F$17,0)+IF(P61&lt;=0,$F$18,0)+IF(Q61&lt;=0,$F$19,0)+IF(R61&lt;=0,$F$20,0)+IF(S61&lt;=0,$F$21,0)+IF(T61&lt;=0,$F$22,0)+IF(U61&lt;=0,$F$23,0)+IF(V61&lt;=0,$F$24,0))-C61-AN62))</f>
        <v/>
      </c>
      <c r="AQ62">
        <f>IF(D61&lt;=0,0,D61*$E$6/12)</f>
        <v/>
      </c>
      <c r="AR62">
        <f>IF(D61&lt;=0,0,MIN(D61+AQ62,$F$6+AP62))</f>
        <v/>
      </c>
      <c r="AS62">
        <f>IF(D61&lt;=0,AP62,MAX(0,$F$6+AP62-D61-AQ62))</f>
        <v/>
      </c>
      <c r="AT62">
        <f>IF(E61&lt;=0,0,E61*$E$7/12)</f>
        <v/>
      </c>
      <c r="AU62">
        <f>IF(E61&lt;=0,0,MIN(E61+AT62,$F$7+AS62))</f>
        <v/>
      </c>
      <c r="AV62">
        <f>IF(E61&lt;=0,AS62,MAX(0,$F$7+AS62-E61-AT62))</f>
        <v/>
      </c>
      <c r="AW62">
        <f>IF(F61&lt;=0,0,F61*$E$8/12)</f>
        <v/>
      </c>
      <c r="AX62">
        <f>IF(F61&lt;=0,0,MIN(F61+AW62,$F$8+AV62))</f>
        <v/>
      </c>
      <c r="AY62">
        <f>IF(F61&lt;=0,AV62,MAX(0,$F$8+AV62-F61-AW62))</f>
        <v/>
      </c>
      <c r="AZ62">
        <f>IF(G61&lt;=0,0,G61*$E$9/12)</f>
        <v/>
      </c>
      <c r="BA62">
        <f>IF(G61&lt;=0,0,MIN(G61+AZ62,$F$9+AY62))</f>
        <v/>
      </c>
      <c r="BB62">
        <f>IF(G61&lt;=0,AY62,MAX(0,$F$9+AY62-G61-AZ62))</f>
        <v/>
      </c>
      <c r="BC62">
        <f>IF(H61&lt;=0,0,H61*$E$10/12)</f>
        <v/>
      </c>
      <c r="BD62">
        <f>IF(H61&lt;=0,0,MIN(H61+BC62,$F$10+BB62))</f>
        <v/>
      </c>
      <c r="BE62">
        <f>IF(H61&lt;=0,BB62,MAX(0,$F$10+BB62-H61-BC62))</f>
        <v/>
      </c>
      <c r="BF62">
        <f>IF(I61&lt;=0,0,I61*$E$11/12)</f>
        <v/>
      </c>
      <c r="BG62">
        <f>IF(I61&lt;=0,0,MIN(I61+BF62,$F$11+BE62))</f>
        <v/>
      </c>
      <c r="BH62">
        <f>IF(I61&lt;=0,BE62,MAX(0,$F$11+BE62-I61-BF62))</f>
        <v/>
      </c>
      <c r="BI62">
        <f>IF(J61&lt;=0,0,J61*$E$12/12)</f>
        <v/>
      </c>
      <c r="BJ62">
        <f>IF(J61&lt;=0,0,MIN(J61+BI62,$F$12+BH62))</f>
        <v/>
      </c>
      <c r="BK62">
        <f>IF(J61&lt;=0,BH62,MAX(0,$F$12+BH62-J61-BI62))</f>
        <v/>
      </c>
      <c r="BL62">
        <f>IF(K61&lt;=0,0,K61*$E$13/12)</f>
        <v/>
      </c>
      <c r="BM62">
        <f>IF(K61&lt;=0,0,MIN(K61+BL62,$F$13+BK62))</f>
        <v/>
      </c>
      <c r="BN62">
        <f>IF(K61&lt;=0,BK62,MAX(0,$F$13+BK62-K61-BL62))</f>
        <v/>
      </c>
      <c r="BO62">
        <f>IF(L61&lt;=0,0,L61*$E$14/12)</f>
        <v/>
      </c>
      <c r="BP62">
        <f>IF(L61&lt;=0,0,MIN(L61+BO62,$F$14+BN62))</f>
        <v/>
      </c>
      <c r="BQ62">
        <f>IF(L61&lt;=0,BN62,MAX(0,$F$14+BN62-L61-BO62))</f>
        <v/>
      </c>
      <c r="BR62">
        <f>IF(M61&lt;=0,0,M61*$E$15/12)</f>
        <v/>
      </c>
      <c r="BS62">
        <f>IF(M61&lt;=0,0,MIN(M61+BR62,$F$15+BQ62))</f>
        <v/>
      </c>
      <c r="BT62">
        <f>IF(M61&lt;=0,BQ62,MAX(0,$F$15+BQ62-M61-BR62))</f>
        <v/>
      </c>
      <c r="BU62">
        <f>IF(N61&lt;=0,0,N61*$E$16/12)</f>
        <v/>
      </c>
      <c r="BV62">
        <f>IF(N61&lt;=0,0,MIN(N61+BU62,$F$16+BT62))</f>
        <v/>
      </c>
      <c r="BW62">
        <f>IF(N61&lt;=0,BT62,MAX(0,$F$16+BT62-N61-BU62))</f>
        <v/>
      </c>
      <c r="BX62">
        <f>IF(O61&lt;=0,0,O61*$E$17/12)</f>
        <v/>
      </c>
      <c r="BY62">
        <f>IF(O61&lt;=0,0,MIN(O61+BX62,$F$17+BW62))</f>
        <v/>
      </c>
      <c r="BZ62">
        <f>IF(O61&lt;=0,BW62,MAX(0,$F$17+BW62-O61-BX62))</f>
        <v/>
      </c>
      <c r="CA62">
        <f>IF(P61&lt;=0,0,P61*$E$18/12)</f>
        <v/>
      </c>
      <c r="CB62">
        <f>IF(P61&lt;=0,0,MIN(P61+CA62,$F$18+BZ62))</f>
        <v/>
      </c>
      <c r="CC62">
        <f>IF(P61&lt;=0,BZ62,MAX(0,$F$18+BZ62-P61-CA62))</f>
        <v/>
      </c>
      <c r="CD62">
        <f>IF(Q61&lt;=0,0,Q61*$E$19/12)</f>
        <v/>
      </c>
      <c r="CE62">
        <f>IF(Q61&lt;=0,0,MIN(Q61+CD62,$F$19+CC62))</f>
        <v/>
      </c>
      <c r="CF62">
        <f>IF(Q61&lt;=0,CC62,MAX(0,$F$19+CC62-Q61-CD62))</f>
        <v/>
      </c>
      <c r="CG62">
        <f>IF(R61&lt;=0,0,R61*$E$20/12)</f>
        <v/>
      </c>
      <c r="CH62">
        <f>IF(R61&lt;=0,0,MIN(R61+CG62,$F$20+CF62))</f>
        <v/>
      </c>
      <c r="CI62">
        <f>IF(R61&lt;=0,CF62,MAX(0,$F$20+CF62-R61-CG62))</f>
        <v/>
      </c>
      <c r="CJ62">
        <f>IF(S61&lt;=0,0,S61*$E$21/12)</f>
        <v/>
      </c>
      <c r="CK62">
        <f>IF(S61&lt;=0,0,MIN(S61+CJ62,$F$21+CI62))</f>
        <v/>
      </c>
      <c r="CL62">
        <f>IF(S61&lt;=0,CI62,MAX(0,$F$21+CI62-S61-CJ62))</f>
        <v/>
      </c>
      <c r="CM62">
        <f>IF(T61&lt;=0,0,T61*$E$22/12)</f>
        <v/>
      </c>
      <c r="CN62">
        <f>IF(T61&lt;=0,0,MIN(T61+CM62,$F$22+CL62))</f>
        <v/>
      </c>
      <c r="CO62">
        <f>IF(T61&lt;=0,CL62,MAX(0,$F$22+CL62-T61-CM62))</f>
        <v/>
      </c>
      <c r="CP62">
        <f>IF(U61&lt;=0,0,U61*$E$23/12)</f>
        <v/>
      </c>
      <c r="CQ62">
        <f>IF(U61&lt;=0,0,MIN(U61+CP62,$F$23+CO62))</f>
        <v/>
      </c>
      <c r="CR62">
        <f>IF(U61&lt;=0,CO62,MAX(0,$F$23+CO62-U61-CP62))</f>
        <v/>
      </c>
      <c r="CS62">
        <f>IF(V61&lt;=0,0,V61*$E$24/12)</f>
        <v/>
      </c>
      <c r="CT62">
        <f>IF(V61&lt;=0,0,MIN(V61+CS62,$F$24+CR62))</f>
        <v/>
      </c>
      <c r="CU62">
        <f>IF(V61&lt;=0,CR62,MAX(0,$F$24+CR62-V61-CS62))</f>
        <v/>
      </c>
    </row>
    <row r="63">
      <c r="B63" s="39" t="n">
        <v>37</v>
      </c>
      <c r="C63" s="13">
        <f>IF(C62&lt;=0,0,MAX(0,C62+AN63-AO63))</f>
        <v/>
      </c>
      <c r="D63" s="13">
        <f>IF(D62&lt;=0,0,MAX(0,D62+AQ63-AR63))</f>
        <v/>
      </c>
      <c r="E63" s="13">
        <f>IF(E62&lt;=0,0,MAX(0,E62+AT63-AU63))</f>
        <v/>
      </c>
      <c r="F63" s="13">
        <f>IF(F62&lt;=0,0,MAX(0,F62+AW63-AX63))</f>
        <v/>
      </c>
      <c r="G63" s="13">
        <f>IF(G62&lt;=0,0,MAX(0,G62+AZ63-BA63))</f>
        <v/>
      </c>
      <c r="H63" s="13">
        <f>IF(H62&lt;=0,0,MAX(0,H62+BC63-BD63))</f>
        <v/>
      </c>
      <c r="I63" s="13">
        <f>IF(I62&lt;=0,0,MAX(0,I62+BF63-BG63))</f>
        <v/>
      </c>
      <c r="J63" s="13">
        <f>IF(J62&lt;=0,0,MAX(0,J62+BI63-BJ63))</f>
        <v/>
      </c>
      <c r="K63" s="13">
        <f>IF(K62&lt;=0,0,MAX(0,K62+BL63-BM63))</f>
        <v/>
      </c>
      <c r="L63" s="13">
        <f>IF(L62&lt;=0,0,MAX(0,L62+BO63-BP63))</f>
        <v/>
      </c>
      <c r="M63" s="13">
        <f>IF(M62&lt;=0,0,MAX(0,M62+BR63-BS63))</f>
        <v/>
      </c>
      <c r="N63" s="13">
        <f>IF(N62&lt;=0,0,MAX(0,N62+BU63-BV63))</f>
        <v/>
      </c>
      <c r="O63" s="13">
        <f>IF(O62&lt;=0,0,MAX(0,O62+BX63-BY63))</f>
        <v/>
      </c>
      <c r="P63" s="13">
        <f>IF(P62&lt;=0,0,MAX(0,P62+CA63-CB63))</f>
        <v/>
      </c>
      <c r="Q63" s="13">
        <f>IF(Q62&lt;=0,0,MAX(0,Q62+CD63-CE63))</f>
        <v/>
      </c>
      <c r="R63" s="13">
        <f>IF(R62&lt;=0,0,MAX(0,R62+CG63-CH63))</f>
        <v/>
      </c>
      <c r="S63" s="13">
        <f>IF(S62&lt;=0,0,MAX(0,S62+CJ63-CK63))</f>
        <v/>
      </c>
      <c r="T63" s="13">
        <f>IF(T62&lt;=0,0,MAX(0,T62+CM63-CN63))</f>
        <v/>
      </c>
      <c r="U63" s="13">
        <f>IF(U62&lt;=0,0,MAX(0,U62+CP63-CQ63))</f>
        <v/>
      </c>
      <c r="V63" s="13">
        <f>IF(V62&lt;=0,0,MAX(0,V62+CS63-CT63))</f>
        <v/>
      </c>
      <c r="W63" s="13">
        <f>AO63+AR63+AU63+AX63+BA63+BD63+BG63+BJ63+BM63+BP63+BS63+BV63+BY63+CB63+CE63+CH63+CK63+CN63+CQ63+CT63</f>
        <v/>
      </c>
      <c r="X63" s="13">
        <f>AN63+AQ63+AT63+AW63+AZ63+BC63+BF63+BI63+BL63+BO63+BR63+BU63+BX63+CA63+CD63+CG63+CJ63+CM63+CP63+CS63</f>
        <v/>
      </c>
      <c r="Y63" s="27">
        <f>C63+D63+E63+F63+G63+H63+I63+J63+K63+L63+M63+N63+O63+P63+Q63+R63+S63+T63+U63+V63</f>
        <v/>
      </c>
      <c r="AN63">
        <f>IF(C62&lt;=0,0,C62*$E$5/12)</f>
        <v/>
      </c>
      <c r="AO63">
        <f>IF(C62&lt;=0,0,MIN(C62+AN63,$F$5+(Dashboard!$C$11+IF(C62&lt;=0,$F$5,0)+IF(D62&lt;=0,$F$6,0)+IF(E62&lt;=0,$F$7,0)+IF(F62&lt;=0,$F$8,0)+IF(G62&lt;=0,$F$9,0)+IF(H62&lt;=0,$F$10,0)+IF(I62&lt;=0,$F$11,0)+IF(J62&lt;=0,$F$12,0)+IF(K62&lt;=0,$F$13,0)+IF(L62&lt;=0,$F$14,0)+IF(M62&lt;=0,$F$15,0)+IF(N62&lt;=0,$F$16,0)+IF(O62&lt;=0,$F$17,0)+IF(P62&lt;=0,$F$18,0)+IF(Q62&lt;=0,$F$19,0)+IF(R62&lt;=0,$F$20,0)+IF(S62&lt;=0,$F$21,0)+IF(T62&lt;=0,$F$22,0)+IF(U62&lt;=0,$F$23,0)+IF(V62&lt;=0,$F$24,0))))</f>
        <v/>
      </c>
      <c r="AP63">
        <f>IF(C62&lt;=0,(Dashboard!$C$11+IF(C62&lt;=0,$F$5,0)+IF(D62&lt;=0,$F$6,0)+IF(E62&lt;=0,$F$7,0)+IF(F62&lt;=0,$F$8,0)+IF(G62&lt;=0,$F$9,0)+IF(H62&lt;=0,$F$10,0)+IF(I62&lt;=0,$F$11,0)+IF(J62&lt;=0,$F$12,0)+IF(K62&lt;=0,$F$13,0)+IF(L62&lt;=0,$F$14,0)+IF(M62&lt;=0,$F$15,0)+IF(N62&lt;=0,$F$16,0)+IF(O62&lt;=0,$F$17,0)+IF(P62&lt;=0,$F$18,0)+IF(Q62&lt;=0,$F$19,0)+IF(R62&lt;=0,$F$20,0)+IF(S62&lt;=0,$F$21,0)+IF(T62&lt;=0,$F$22,0)+IF(U62&lt;=0,$F$23,0)+IF(V62&lt;=0,$F$24,0)),MAX(0,$F$5+(Dashboard!$C$11+IF(C62&lt;=0,$F$5,0)+IF(D62&lt;=0,$F$6,0)+IF(E62&lt;=0,$F$7,0)+IF(F62&lt;=0,$F$8,0)+IF(G62&lt;=0,$F$9,0)+IF(H62&lt;=0,$F$10,0)+IF(I62&lt;=0,$F$11,0)+IF(J62&lt;=0,$F$12,0)+IF(K62&lt;=0,$F$13,0)+IF(L62&lt;=0,$F$14,0)+IF(M62&lt;=0,$F$15,0)+IF(N62&lt;=0,$F$16,0)+IF(O62&lt;=0,$F$17,0)+IF(P62&lt;=0,$F$18,0)+IF(Q62&lt;=0,$F$19,0)+IF(R62&lt;=0,$F$20,0)+IF(S62&lt;=0,$F$21,0)+IF(T62&lt;=0,$F$22,0)+IF(U62&lt;=0,$F$23,0)+IF(V62&lt;=0,$F$24,0))-C62-AN63))</f>
        <v/>
      </c>
      <c r="AQ63">
        <f>IF(D62&lt;=0,0,D62*$E$6/12)</f>
        <v/>
      </c>
      <c r="AR63">
        <f>IF(D62&lt;=0,0,MIN(D62+AQ63,$F$6+AP63))</f>
        <v/>
      </c>
      <c r="AS63">
        <f>IF(D62&lt;=0,AP63,MAX(0,$F$6+AP63-D62-AQ63))</f>
        <v/>
      </c>
      <c r="AT63">
        <f>IF(E62&lt;=0,0,E62*$E$7/12)</f>
        <v/>
      </c>
      <c r="AU63">
        <f>IF(E62&lt;=0,0,MIN(E62+AT63,$F$7+AS63))</f>
        <v/>
      </c>
      <c r="AV63">
        <f>IF(E62&lt;=0,AS63,MAX(0,$F$7+AS63-E62-AT63))</f>
        <v/>
      </c>
      <c r="AW63">
        <f>IF(F62&lt;=0,0,F62*$E$8/12)</f>
        <v/>
      </c>
      <c r="AX63">
        <f>IF(F62&lt;=0,0,MIN(F62+AW63,$F$8+AV63))</f>
        <v/>
      </c>
      <c r="AY63">
        <f>IF(F62&lt;=0,AV63,MAX(0,$F$8+AV63-F62-AW63))</f>
        <v/>
      </c>
      <c r="AZ63">
        <f>IF(G62&lt;=0,0,G62*$E$9/12)</f>
        <v/>
      </c>
      <c r="BA63">
        <f>IF(G62&lt;=0,0,MIN(G62+AZ63,$F$9+AY63))</f>
        <v/>
      </c>
      <c r="BB63">
        <f>IF(G62&lt;=0,AY63,MAX(0,$F$9+AY63-G62-AZ63))</f>
        <v/>
      </c>
      <c r="BC63">
        <f>IF(H62&lt;=0,0,H62*$E$10/12)</f>
        <v/>
      </c>
      <c r="BD63">
        <f>IF(H62&lt;=0,0,MIN(H62+BC63,$F$10+BB63))</f>
        <v/>
      </c>
      <c r="BE63">
        <f>IF(H62&lt;=0,BB63,MAX(0,$F$10+BB63-H62-BC63))</f>
        <v/>
      </c>
      <c r="BF63">
        <f>IF(I62&lt;=0,0,I62*$E$11/12)</f>
        <v/>
      </c>
      <c r="BG63">
        <f>IF(I62&lt;=0,0,MIN(I62+BF63,$F$11+BE63))</f>
        <v/>
      </c>
      <c r="BH63">
        <f>IF(I62&lt;=0,BE63,MAX(0,$F$11+BE63-I62-BF63))</f>
        <v/>
      </c>
      <c r="BI63">
        <f>IF(J62&lt;=0,0,J62*$E$12/12)</f>
        <v/>
      </c>
      <c r="BJ63">
        <f>IF(J62&lt;=0,0,MIN(J62+BI63,$F$12+BH63))</f>
        <v/>
      </c>
      <c r="BK63">
        <f>IF(J62&lt;=0,BH63,MAX(0,$F$12+BH63-J62-BI63))</f>
        <v/>
      </c>
      <c r="BL63">
        <f>IF(K62&lt;=0,0,K62*$E$13/12)</f>
        <v/>
      </c>
      <c r="BM63">
        <f>IF(K62&lt;=0,0,MIN(K62+BL63,$F$13+BK63))</f>
        <v/>
      </c>
      <c r="BN63">
        <f>IF(K62&lt;=0,BK63,MAX(0,$F$13+BK63-K62-BL63))</f>
        <v/>
      </c>
      <c r="BO63">
        <f>IF(L62&lt;=0,0,L62*$E$14/12)</f>
        <v/>
      </c>
      <c r="BP63">
        <f>IF(L62&lt;=0,0,MIN(L62+BO63,$F$14+BN63))</f>
        <v/>
      </c>
      <c r="BQ63">
        <f>IF(L62&lt;=0,BN63,MAX(0,$F$14+BN63-L62-BO63))</f>
        <v/>
      </c>
      <c r="BR63">
        <f>IF(M62&lt;=0,0,M62*$E$15/12)</f>
        <v/>
      </c>
      <c r="BS63">
        <f>IF(M62&lt;=0,0,MIN(M62+BR63,$F$15+BQ63))</f>
        <v/>
      </c>
      <c r="BT63">
        <f>IF(M62&lt;=0,BQ63,MAX(0,$F$15+BQ63-M62-BR63))</f>
        <v/>
      </c>
      <c r="BU63">
        <f>IF(N62&lt;=0,0,N62*$E$16/12)</f>
        <v/>
      </c>
      <c r="BV63">
        <f>IF(N62&lt;=0,0,MIN(N62+BU63,$F$16+BT63))</f>
        <v/>
      </c>
      <c r="BW63">
        <f>IF(N62&lt;=0,BT63,MAX(0,$F$16+BT63-N62-BU63))</f>
        <v/>
      </c>
      <c r="BX63">
        <f>IF(O62&lt;=0,0,O62*$E$17/12)</f>
        <v/>
      </c>
      <c r="BY63">
        <f>IF(O62&lt;=0,0,MIN(O62+BX63,$F$17+BW63))</f>
        <v/>
      </c>
      <c r="BZ63">
        <f>IF(O62&lt;=0,BW63,MAX(0,$F$17+BW63-O62-BX63))</f>
        <v/>
      </c>
      <c r="CA63">
        <f>IF(P62&lt;=0,0,P62*$E$18/12)</f>
        <v/>
      </c>
      <c r="CB63">
        <f>IF(P62&lt;=0,0,MIN(P62+CA63,$F$18+BZ63))</f>
        <v/>
      </c>
      <c r="CC63">
        <f>IF(P62&lt;=0,BZ63,MAX(0,$F$18+BZ63-P62-CA63))</f>
        <v/>
      </c>
      <c r="CD63">
        <f>IF(Q62&lt;=0,0,Q62*$E$19/12)</f>
        <v/>
      </c>
      <c r="CE63">
        <f>IF(Q62&lt;=0,0,MIN(Q62+CD63,$F$19+CC63))</f>
        <v/>
      </c>
      <c r="CF63">
        <f>IF(Q62&lt;=0,CC63,MAX(0,$F$19+CC63-Q62-CD63))</f>
        <v/>
      </c>
      <c r="CG63">
        <f>IF(R62&lt;=0,0,R62*$E$20/12)</f>
        <v/>
      </c>
      <c r="CH63">
        <f>IF(R62&lt;=0,0,MIN(R62+CG63,$F$20+CF63))</f>
        <v/>
      </c>
      <c r="CI63">
        <f>IF(R62&lt;=0,CF63,MAX(0,$F$20+CF63-R62-CG63))</f>
        <v/>
      </c>
      <c r="CJ63">
        <f>IF(S62&lt;=0,0,S62*$E$21/12)</f>
        <v/>
      </c>
      <c r="CK63">
        <f>IF(S62&lt;=0,0,MIN(S62+CJ63,$F$21+CI63))</f>
        <v/>
      </c>
      <c r="CL63">
        <f>IF(S62&lt;=0,CI63,MAX(0,$F$21+CI63-S62-CJ63))</f>
        <v/>
      </c>
      <c r="CM63">
        <f>IF(T62&lt;=0,0,T62*$E$22/12)</f>
        <v/>
      </c>
      <c r="CN63">
        <f>IF(T62&lt;=0,0,MIN(T62+CM63,$F$22+CL63))</f>
        <v/>
      </c>
      <c r="CO63">
        <f>IF(T62&lt;=0,CL63,MAX(0,$F$22+CL63-T62-CM63))</f>
        <v/>
      </c>
      <c r="CP63">
        <f>IF(U62&lt;=0,0,U62*$E$23/12)</f>
        <v/>
      </c>
      <c r="CQ63">
        <f>IF(U62&lt;=0,0,MIN(U62+CP63,$F$23+CO63))</f>
        <v/>
      </c>
      <c r="CR63">
        <f>IF(U62&lt;=0,CO63,MAX(0,$F$23+CO63-U62-CP63))</f>
        <v/>
      </c>
      <c r="CS63">
        <f>IF(V62&lt;=0,0,V62*$E$24/12)</f>
        <v/>
      </c>
      <c r="CT63">
        <f>IF(V62&lt;=0,0,MIN(V62+CS63,$F$24+CR63))</f>
        <v/>
      </c>
      <c r="CU63">
        <f>IF(V62&lt;=0,CR63,MAX(0,$F$24+CR63-V62-CS63))</f>
        <v/>
      </c>
    </row>
    <row r="64">
      <c r="B64" s="39" t="n">
        <v>38</v>
      </c>
      <c r="C64" s="13">
        <f>IF(C63&lt;=0,0,MAX(0,C63+AN64-AO64))</f>
        <v/>
      </c>
      <c r="D64" s="13">
        <f>IF(D63&lt;=0,0,MAX(0,D63+AQ64-AR64))</f>
        <v/>
      </c>
      <c r="E64" s="13">
        <f>IF(E63&lt;=0,0,MAX(0,E63+AT64-AU64))</f>
        <v/>
      </c>
      <c r="F64" s="13">
        <f>IF(F63&lt;=0,0,MAX(0,F63+AW64-AX64))</f>
        <v/>
      </c>
      <c r="G64" s="13">
        <f>IF(G63&lt;=0,0,MAX(0,G63+AZ64-BA64))</f>
        <v/>
      </c>
      <c r="H64" s="13">
        <f>IF(H63&lt;=0,0,MAX(0,H63+BC64-BD64))</f>
        <v/>
      </c>
      <c r="I64" s="13">
        <f>IF(I63&lt;=0,0,MAX(0,I63+BF64-BG64))</f>
        <v/>
      </c>
      <c r="J64" s="13">
        <f>IF(J63&lt;=0,0,MAX(0,J63+BI64-BJ64))</f>
        <v/>
      </c>
      <c r="K64" s="13">
        <f>IF(K63&lt;=0,0,MAX(0,K63+BL64-BM64))</f>
        <v/>
      </c>
      <c r="L64" s="13">
        <f>IF(L63&lt;=0,0,MAX(0,L63+BO64-BP64))</f>
        <v/>
      </c>
      <c r="M64" s="13">
        <f>IF(M63&lt;=0,0,MAX(0,M63+BR64-BS64))</f>
        <v/>
      </c>
      <c r="N64" s="13">
        <f>IF(N63&lt;=0,0,MAX(0,N63+BU64-BV64))</f>
        <v/>
      </c>
      <c r="O64" s="13">
        <f>IF(O63&lt;=0,0,MAX(0,O63+BX64-BY64))</f>
        <v/>
      </c>
      <c r="P64" s="13">
        <f>IF(P63&lt;=0,0,MAX(0,P63+CA64-CB64))</f>
        <v/>
      </c>
      <c r="Q64" s="13">
        <f>IF(Q63&lt;=0,0,MAX(0,Q63+CD64-CE64))</f>
        <v/>
      </c>
      <c r="R64" s="13">
        <f>IF(R63&lt;=0,0,MAX(0,R63+CG64-CH64))</f>
        <v/>
      </c>
      <c r="S64" s="13">
        <f>IF(S63&lt;=0,0,MAX(0,S63+CJ64-CK64))</f>
        <v/>
      </c>
      <c r="T64" s="13">
        <f>IF(T63&lt;=0,0,MAX(0,T63+CM64-CN64))</f>
        <v/>
      </c>
      <c r="U64" s="13">
        <f>IF(U63&lt;=0,0,MAX(0,U63+CP64-CQ64))</f>
        <v/>
      </c>
      <c r="V64" s="13">
        <f>IF(V63&lt;=0,0,MAX(0,V63+CS64-CT64))</f>
        <v/>
      </c>
      <c r="W64" s="13">
        <f>AO64+AR64+AU64+AX64+BA64+BD64+BG64+BJ64+BM64+BP64+BS64+BV64+BY64+CB64+CE64+CH64+CK64+CN64+CQ64+CT64</f>
        <v/>
      </c>
      <c r="X64" s="13">
        <f>AN64+AQ64+AT64+AW64+AZ64+BC64+BF64+BI64+BL64+BO64+BR64+BU64+BX64+CA64+CD64+CG64+CJ64+CM64+CP64+CS64</f>
        <v/>
      </c>
      <c r="Y64" s="27">
        <f>C64+D64+E64+F64+G64+H64+I64+J64+K64+L64+M64+N64+O64+P64+Q64+R64+S64+T64+U64+V64</f>
        <v/>
      </c>
      <c r="AN64">
        <f>IF(C63&lt;=0,0,C63*$E$5/12)</f>
        <v/>
      </c>
      <c r="AO64">
        <f>IF(C63&lt;=0,0,MIN(C63+AN64,$F$5+(Dashboard!$C$11+IF(C63&lt;=0,$F$5,0)+IF(D63&lt;=0,$F$6,0)+IF(E63&lt;=0,$F$7,0)+IF(F63&lt;=0,$F$8,0)+IF(G63&lt;=0,$F$9,0)+IF(H63&lt;=0,$F$10,0)+IF(I63&lt;=0,$F$11,0)+IF(J63&lt;=0,$F$12,0)+IF(K63&lt;=0,$F$13,0)+IF(L63&lt;=0,$F$14,0)+IF(M63&lt;=0,$F$15,0)+IF(N63&lt;=0,$F$16,0)+IF(O63&lt;=0,$F$17,0)+IF(P63&lt;=0,$F$18,0)+IF(Q63&lt;=0,$F$19,0)+IF(R63&lt;=0,$F$20,0)+IF(S63&lt;=0,$F$21,0)+IF(T63&lt;=0,$F$22,0)+IF(U63&lt;=0,$F$23,0)+IF(V63&lt;=0,$F$24,0))))</f>
        <v/>
      </c>
      <c r="AP64">
        <f>IF(C63&lt;=0,(Dashboard!$C$11+IF(C63&lt;=0,$F$5,0)+IF(D63&lt;=0,$F$6,0)+IF(E63&lt;=0,$F$7,0)+IF(F63&lt;=0,$F$8,0)+IF(G63&lt;=0,$F$9,0)+IF(H63&lt;=0,$F$10,0)+IF(I63&lt;=0,$F$11,0)+IF(J63&lt;=0,$F$12,0)+IF(K63&lt;=0,$F$13,0)+IF(L63&lt;=0,$F$14,0)+IF(M63&lt;=0,$F$15,0)+IF(N63&lt;=0,$F$16,0)+IF(O63&lt;=0,$F$17,0)+IF(P63&lt;=0,$F$18,0)+IF(Q63&lt;=0,$F$19,0)+IF(R63&lt;=0,$F$20,0)+IF(S63&lt;=0,$F$21,0)+IF(T63&lt;=0,$F$22,0)+IF(U63&lt;=0,$F$23,0)+IF(V63&lt;=0,$F$24,0)),MAX(0,$F$5+(Dashboard!$C$11+IF(C63&lt;=0,$F$5,0)+IF(D63&lt;=0,$F$6,0)+IF(E63&lt;=0,$F$7,0)+IF(F63&lt;=0,$F$8,0)+IF(G63&lt;=0,$F$9,0)+IF(H63&lt;=0,$F$10,0)+IF(I63&lt;=0,$F$11,0)+IF(J63&lt;=0,$F$12,0)+IF(K63&lt;=0,$F$13,0)+IF(L63&lt;=0,$F$14,0)+IF(M63&lt;=0,$F$15,0)+IF(N63&lt;=0,$F$16,0)+IF(O63&lt;=0,$F$17,0)+IF(P63&lt;=0,$F$18,0)+IF(Q63&lt;=0,$F$19,0)+IF(R63&lt;=0,$F$20,0)+IF(S63&lt;=0,$F$21,0)+IF(T63&lt;=0,$F$22,0)+IF(U63&lt;=0,$F$23,0)+IF(V63&lt;=0,$F$24,0))-C63-AN64))</f>
        <v/>
      </c>
      <c r="AQ64">
        <f>IF(D63&lt;=0,0,D63*$E$6/12)</f>
        <v/>
      </c>
      <c r="AR64">
        <f>IF(D63&lt;=0,0,MIN(D63+AQ64,$F$6+AP64))</f>
        <v/>
      </c>
      <c r="AS64">
        <f>IF(D63&lt;=0,AP64,MAX(0,$F$6+AP64-D63-AQ64))</f>
        <v/>
      </c>
      <c r="AT64">
        <f>IF(E63&lt;=0,0,E63*$E$7/12)</f>
        <v/>
      </c>
      <c r="AU64">
        <f>IF(E63&lt;=0,0,MIN(E63+AT64,$F$7+AS64))</f>
        <v/>
      </c>
      <c r="AV64">
        <f>IF(E63&lt;=0,AS64,MAX(0,$F$7+AS64-E63-AT64))</f>
        <v/>
      </c>
      <c r="AW64">
        <f>IF(F63&lt;=0,0,F63*$E$8/12)</f>
        <v/>
      </c>
      <c r="AX64">
        <f>IF(F63&lt;=0,0,MIN(F63+AW64,$F$8+AV64))</f>
        <v/>
      </c>
      <c r="AY64">
        <f>IF(F63&lt;=0,AV64,MAX(0,$F$8+AV64-F63-AW64))</f>
        <v/>
      </c>
      <c r="AZ64">
        <f>IF(G63&lt;=0,0,G63*$E$9/12)</f>
        <v/>
      </c>
      <c r="BA64">
        <f>IF(G63&lt;=0,0,MIN(G63+AZ64,$F$9+AY64))</f>
        <v/>
      </c>
      <c r="BB64">
        <f>IF(G63&lt;=0,AY64,MAX(0,$F$9+AY64-G63-AZ64))</f>
        <v/>
      </c>
      <c r="BC64">
        <f>IF(H63&lt;=0,0,H63*$E$10/12)</f>
        <v/>
      </c>
      <c r="BD64">
        <f>IF(H63&lt;=0,0,MIN(H63+BC64,$F$10+BB64))</f>
        <v/>
      </c>
      <c r="BE64">
        <f>IF(H63&lt;=0,BB64,MAX(0,$F$10+BB64-H63-BC64))</f>
        <v/>
      </c>
      <c r="BF64">
        <f>IF(I63&lt;=0,0,I63*$E$11/12)</f>
        <v/>
      </c>
      <c r="BG64">
        <f>IF(I63&lt;=0,0,MIN(I63+BF64,$F$11+BE64))</f>
        <v/>
      </c>
      <c r="BH64">
        <f>IF(I63&lt;=0,BE64,MAX(0,$F$11+BE64-I63-BF64))</f>
        <v/>
      </c>
      <c r="BI64">
        <f>IF(J63&lt;=0,0,J63*$E$12/12)</f>
        <v/>
      </c>
      <c r="BJ64">
        <f>IF(J63&lt;=0,0,MIN(J63+BI64,$F$12+BH64))</f>
        <v/>
      </c>
      <c r="BK64">
        <f>IF(J63&lt;=0,BH64,MAX(0,$F$12+BH64-J63-BI64))</f>
        <v/>
      </c>
      <c r="BL64">
        <f>IF(K63&lt;=0,0,K63*$E$13/12)</f>
        <v/>
      </c>
      <c r="BM64">
        <f>IF(K63&lt;=0,0,MIN(K63+BL64,$F$13+BK64))</f>
        <v/>
      </c>
      <c r="BN64">
        <f>IF(K63&lt;=0,BK64,MAX(0,$F$13+BK64-K63-BL64))</f>
        <v/>
      </c>
      <c r="BO64">
        <f>IF(L63&lt;=0,0,L63*$E$14/12)</f>
        <v/>
      </c>
      <c r="BP64">
        <f>IF(L63&lt;=0,0,MIN(L63+BO64,$F$14+BN64))</f>
        <v/>
      </c>
      <c r="BQ64">
        <f>IF(L63&lt;=0,BN64,MAX(0,$F$14+BN64-L63-BO64))</f>
        <v/>
      </c>
      <c r="BR64">
        <f>IF(M63&lt;=0,0,M63*$E$15/12)</f>
        <v/>
      </c>
      <c r="BS64">
        <f>IF(M63&lt;=0,0,MIN(M63+BR64,$F$15+BQ64))</f>
        <v/>
      </c>
      <c r="BT64">
        <f>IF(M63&lt;=0,BQ64,MAX(0,$F$15+BQ64-M63-BR64))</f>
        <v/>
      </c>
      <c r="BU64">
        <f>IF(N63&lt;=0,0,N63*$E$16/12)</f>
        <v/>
      </c>
      <c r="BV64">
        <f>IF(N63&lt;=0,0,MIN(N63+BU64,$F$16+BT64))</f>
        <v/>
      </c>
      <c r="BW64">
        <f>IF(N63&lt;=0,BT64,MAX(0,$F$16+BT64-N63-BU64))</f>
        <v/>
      </c>
      <c r="BX64">
        <f>IF(O63&lt;=0,0,O63*$E$17/12)</f>
        <v/>
      </c>
      <c r="BY64">
        <f>IF(O63&lt;=0,0,MIN(O63+BX64,$F$17+BW64))</f>
        <v/>
      </c>
      <c r="BZ64">
        <f>IF(O63&lt;=0,BW64,MAX(0,$F$17+BW64-O63-BX64))</f>
        <v/>
      </c>
      <c r="CA64">
        <f>IF(P63&lt;=0,0,P63*$E$18/12)</f>
        <v/>
      </c>
      <c r="CB64">
        <f>IF(P63&lt;=0,0,MIN(P63+CA64,$F$18+BZ64))</f>
        <v/>
      </c>
      <c r="CC64">
        <f>IF(P63&lt;=0,BZ64,MAX(0,$F$18+BZ64-P63-CA64))</f>
        <v/>
      </c>
      <c r="CD64">
        <f>IF(Q63&lt;=0,0,Q63*$E$19/12)</f>
        <v/>
      </c>
      <c r="CE64">
        <f>IF(Q63&lt;=0,0,MIN(Q63+CD64,$F$19+CC64))</f>
        <v/>
      </c>
      <c r="CF64">
        <f>IF(Q63&lt;=0,CC64,MAX(0,$F$19+CC64-Q63-CD64))</f>
        <v/>
      </c>
      <c r="CG64">
        <f>IF(R63&lt;=0,0,R63*$E$20/12)</f>
        <v/>
      </c>
      <c r="CH64">
        <f>IF(R63&lt;=0,0,MIN(R63+CG64,$F$20+CF64))</f>
        <v/>
      </c>
      <c r="CI64">
        <f>IF(R63&lt;=0,CF64,MAX(0,$F$20+CF64-R63-CG64))</f>
        <v/>
      </c>
      <c r="CJ64">
        <f>IF(S63&lt;=0,0,S63*$E$21/12)</f>
        <v/>
      </c>
      <c r="CK64">
        <f>IF(S63&lt;=0,0,MIN(S63+CJ64,$F$21+CI64))</f>
        <v/>
      </c>
      <c r="CL64">
        <f>IF(S63&lt;=0,CI64,MAX(0,$F$21+CI64-S63-CJ64))</f>
        <v/>
      </c>
      <c r="CM64">
        <f>IF(T63&lt;=0,0,T63*$E$22/12)</f>
        <v/>
      </c>
      <c r="CN64">
        <f>IF(T63&lt;=0,0,MIN(T63+CM64,$F$22+CL64))</f>
        <v/>
      </c>
      <c r="CO64">
        <f>IF(T63&lt;=0,CL64,MAX(0,$F$22+CL64-T63-CM64))</f>
        <v/>
      </c>
      <c r="CP64">
        <f>IF(U63&lt;=0,0,U63*$E$23/12)</f>
        <v/>
      </c>
      <c r="CQ64">
        <f>IF(U63&lt;=0,0,MIN(U63+CP64,$F$23+CO64))</f>
        <v/>
      </c>
      <c r="CR64">
        <f>IF(U63&lt;=0,CO64,MAX(0,$F$23+CO64-U63-CP64))</f>
        <v/>
      </c>
      <c r="CS64">
        <f>IF(V63&lt;=0,0,V63*$E$24/12)</f>
        <v/>
      </c>
      <c r="CT64">
        <f>IF(V63&lt;=0,0,MIN(V63+CS64,$F$24+CR64))</f>
        <v/>
      </c>
      <c r="CU64">
        <f>IF(V63&lt;=0,CR64,MAX(0,$F$24+CR64-V63-CS64))</f>
        <v/>
      </c>
    </row>
    <row r="65">
      <c r="B65" s="39" t="n">
        <v>39</v>
      </c>
      <c r="C65" s="13">
        <f>IF(C64&lt;=0,0,MAX(0,C64+AN65-AO65))</f>
        <v/>
      </c>
      <c r="D65" s="13">
        <f>IF(D64&lt;=0,0,MAX(0,D64+AQ65-AR65))</f>
        <v/>
      </c>
      <c r="E65" s="13">
        <f>IF(E64&lt;=0,0,MAX(0,E64+AT65-AU65))</f>
        <v/>
      </c>
      <c r="F65" s="13">
        <f>IF(F64&lt;=0,0,MAX(0,F64+AW65-AX65))</f>
        <v/>
      </c>
      <c r="G65" s="13">
        <f>IF(G64&lt;=0,0,MAX(0,G64+AZ65-BA65))</f>
        <v/>
      </c>
      <c r="H65" s="13">
        <f>IF(H64&lt;=0,0,MAX(0,H64+BC65-BD65))</f>
        <v/>
      </c>
      <c r="I65" s="13">
        <f>IF(I64&lt;=0,0,MAX(0,I64+BF65-BG65))</f>
        <v/>
      </c>
      <c r="J65" s="13">
        <f>IF(J64&lt;=0,0,MAX(0,J64+BI65-BJ65))</f>
        <v/>
      </c>
      <c r="K65" s="13">
        <f>IF(K64&lt;=0,0,MAX(0,K64+BL65-BM65))</f>
        <v/>
      </c>
      <c r="L65" s="13">
        <f>IF(L64&lt;=0,0,MAX(0,L64+BO65-BP65))</f>
        <v/>
      </c>
      <c r="M65" s="13">
        <f>IF(M64&lt;=0,0,MAX(0,M64+BR65-BS65))</f>
        <v/>
      </c>
      <c r="N65" s="13">
        <f>IF(N64&lt;=0,0,MAX(0,N64+BU65-BV65))</f>
        <v/>
      </c>
      <c r="O65" s="13">
        <f>IF(O64&lt;=0,0,MAX(0,O64+BX65-BY65))</f>
        <v/>
      </c>
      <c r="P65" s="13">
        <f>IF(P64&lt;=0,0,MAX(0,P64+CA65-CB65))</f>
        <v/>
      </c>
      <c r="Q65" s="13">
        <f>IF(Q64&lt;=0,0,MAX(0,Q64+CD65-CE65))</f>
        <v/>
      </c>
      <c r="R65" s="13">
        <f>IF(R64&lt;=0,0,MAX(0,R64+CG65-CH65))</f>
        <v/>
      </c>
      <c r="S65" s="13">
        <f>IF(S64&lt;=0,0,MAX(0,S64+CJ65-CK65))</f>
        <v/>
      </c>
      <c r="T65" s="13">
        <f>IF(T64&lt;=0,0,MAX(0,T64+CM65-CN65))</f>
        <v/>
      </c>
      <c r="U65" s="13">
        <f>IF(U64&lt;=0,0,MAX(0,U64+CP65-CQ65))</f>
        <v/>
      </c>
      <c r="V65" s="13">
        <f>IF(V64&lt;=0,0,MAX(0,V64+CS65-CT65))</f>
        <v/>
      </c>
      <c r="W65" s="13">
        <f>AO65+AR65+AU65+AX65+BA65+BD65+BG65+BJ65+BM65+BP65+BS65+BV65+BY65+CB65+CE65+CH65+CK65+CN65+CQ65+CT65</f>
        <v/>
      </c>
      <c r="X65" s="13">
        <f>AN65+AQ65+AT65+AW65+AZ65+BC65+BF65+BI65+BL65+BO65+BR65+BU65+BX65+CA65+CD65+CG65+CJ65+CM65+CP65+CS65</f>
        <v/>
      </c>
      <c r="Y65" s="27">
        <f>C65+D65+E65+F65+G65+H65+I65+J65+K65+L65+M65+N65+O65+P65+Q65+R65+S65+T65+U65+V65</f>
        <v/>
      </c>
      <c r="AN65">
        <f>IF(C64&lt;=0,0,C64*$E$5/12)</f>
        <v/>
      </c>
      <c r="AO65">
        <f>IF(C64&lt;=0,0,MIN(C64+AN65,$F$5+(Dashboard!$C$11+IF(C64&lt;=0,$F$5,0)+IF(D64&lt;=0,$F$6,0)+IF(E64&lt;=0,$F$7,0)+IF(F64&lt;=0,$F$8,0)+IF(G64&lt;=0,$F$9,0)+IF(H64&lt;=0,$F$10,0)+IF(I64&lt;=0,$F$11,0)+IF(J64&lt;=0,$F$12,0)+IF(K64&lt;=0,$F$13,0)+IF(L64&lt;=0,$F$14,0)+IF(M64&lt;=0,$F$15,0)+IF(N64&lt;=0,$F$16,0)+IF(O64&lt;=0,$F$17,0)+IF(P64&lt;=0,$F$18,0)+IF(Q64&lt;=0,$F$19,0)+IF(R64&lt;=0,$F$20,0)+IF(S64&lt;=0,$F$21,0)+IF(T64&lt;=0,$F$22,0)+IF(U64&lt;=0,$F$23,0)+IF(V64&lt;=0,$F$24,0))))</f>
        <v/>
      </c>
      <c r="AP65">
        <f>IF(C64&lt;=0,(Dashboard!$C$11+IF(C64&lt;=0,$F$5,0)+IF(D64&lt;=0,$F$6,0)+IF(E64&lt;=0,$F$7,0)+IF(F64&lt;=0,$F$8,0)+IF(G64&lt;=0,$F$9,0)+IF(H64&lt;=0,$F$10,0)+IF(I64&lt;=0,$F$11,0)+IF(J64&lt;=0,$F$12,0)+IF(K64&lt;=0,$F$13,0)+IF(L64&lt;=0,$F$14,0)+IF(M64&lt;=0,$F$15,0)+IF(N64&lt;=0,$F$16,0)+IF(O64&lt;=0,$F$17,0)+IF(P64&lt;=0,$F$18,0)+IF(Q64&lt;=0,$F$19,0)+IF(R64&lt;=0,$F$20,0)+IF(S64&lt;=0,$F$21,0)+IF(T64&lt;=0,$F$22,0)+IF(U64&lt;=0,$F$23,0)+IF(V64&lt;=0,$F$24,0)),MAX(0,$F$5+(Dashboard!$C$11+IF(C64&lt;=0,$F$5,0)+IF(D64&lt;=0,$F$6,0)+IF(E64&lt;=0,$F$7,0)+IF(F64&lt;=0,$F$8,0)+IF(G64&lt;=0,$F$9,0)+IF(H64&lt;=0,$F$10,0)+IF(I64&lt;=0,$F$11,0)+IF(J64&lt;=0,$F$12,0)+IF(K64&lt;=0,$F$13,0)+IF(L64&lt;=0,$F$14,0)+IF(M64&lt;=0,$F$15,0)+IF(N64&lt;=0,$F$16,0)+IF(O64&lt;=0,$F$17,0)+IF(P64&lt;=0,$F$18,0)+IF(Q64&lt;=0,$F$19,0)+IF(R64&lt;=0,$F$20,0)+IF(S64&lt;=0,$F$21,0)+IF(T64&lt;=0,$F$22,0)+IF(U64&lt;=0,$F$23,0)+IF(V64&lt;=0,$F$24,0))-C64-AN65))</f>
        <v/>
      </c>
      <c r="AQ65">
        <f>IF(D64&lt;=0,0,D64*$E$6/12)</f>
        <v/>
      </c>
      <c r="AR65">
        <f>IF(D64&lt;=0,0,MIN(D64+AQ65,$F$6+AP65))</f>
        <v/>
      </c>
      <c r="AS65">
        <f>IF(D64&lt;=0,AP65,MAX(0,$F$6+AP65-D64-AQ65))</f>
        <v/>
      </c>
      <c r="AT65">
        <f>IF(E64&lt;=0,0,E64*$E$7/12)</f>
        <v/>
      </c>
      <c r="AU65">
        <f>IF(E64&lt;=0,0,MIN(E64+AT65,$F$7+AS65))</f>
        <v/>
      </c>
      <c r="AV65">
        <f>IF(E64&lt;=0,AS65,MAX(0,$F$7+AS65-E64-AT65))</f>
        <v/>
      </c>
      <c r="AW65">
        <f>IF(F64&lt;=0,0,F64*$E$8/12)</f>
        <v/>
      </c>
      <c r="AX65">
        <f>IF(F64&lt;=0,0,MIN(F64+AW65,$F$8+AV65))</f>
        <v/>
      </c>
      <c r="AY65">
        <f>IF(F64&lt;=0,AV65,MAX(0,$F$8+AV65-F64-AW65))</f>
        <v/>
      </c>
      <c r="AZ65">
        <f>IF(G64&lt;=0,0,G64*$E$9/12)</f>
        <v/>
      </c>
      <c r="BA65">
        <f>IF(G64&lt;=0,0,MIN(G64+AZ65,$F$9+AY65))</f>
        <v/>
      </c>
      <c r="BB65">
        <f>IF(G64&lt;=0,AY65,MAX(0,$F$9+AY65-G64-AZ65))</f>
        <v/>
      </c>
      <c r="BC65">
        <f>IF(H64&lt;=0,0,H64*$E$10/12)</f>
        <v/>
      </c>
      <c r="BD65">
        <f>IF(H64&lt;=0,0,MIN(H64+BC65,$F$10+BB65))</f>
        <v/>
      </c>
      <c r="BE65">
        <f>IF(H64&lt;=0,BB65,MAX(0,$F$10+BB65-H64-BC65))</f>
        <v/>
      </c>
      <c r="BF65">
        <f>IF(I64&lt;=0,0,I64*$E$11/12)</f>
        <v/>
      </c>
      <c r="BG65">
        <f>IF(I64&lt;=0,0,MIN(I64+BF65,$F$11+BE65))</f>
        <v/>
      </c>
      <c r="BH65">
        <f>IF(I64&lt;=0,BE65,MAX(0,$F$11+BE65-I64-BF65))</f>
        <v/>
      </c>
      <c r="BI65">
        <f>IF(J64&lt;=0,0,J64*$E$12/12)</f>
        <v/>
      </c>
      <c r="BJ65">
        <f>IF(J64&lt;=0,0,MIN(J64+BI65,$F$12+BH65))</f>
        <v/>
      </c>
      <c r="BK65">
        <f>IF(J64&lt;=0,BH65,MAX(0,$F$12+BH65-J64-BI65))</f>
        <v/>
      </c>
      <c r="BL65">
        <f>IF(K64&lt;=0,0,K64*$E$13/12)</f>
        <v/>
      </c>
      <c r="BM65">
        <f>IF(K64&lt;=0,0,MIN(K64+BL65,$F$13+BK65))</f>
        <v/>
      </c>
      <c r="BN65">
        <f>IF(K64&lt;=0,BK65,MAX(0,$F$13+BK65-K64-BL65))</f>
        <v/>
      </c>
      <c r="BO65">
        <f>IF(L64&lt;=0,0,L64*$E$14/12)</f>
        <v/>
      </c>
      <c r="BP65">
        <f>IF(L64&lt;=0,0,MIN(L64+BO65,$F$14+BN65))</f>
        <v/>
      </c>
      <c r="BQ65">
        <f>IF(L64&lt;=0,BN65,MAX(0,$F$14+BN65-L64-BO65))</f>
        <v/>
      </c>
      <c r="BR65">
        <f>IF(M64&lt;=0,0,M64*$E$15/12)</f>
        <v/>
      </c>
      <c r="BS65">
        <f>IF(M64&lt;=0,0,MIN(M64+BR65,$F$15+BQ65))</f>
        <v/>
      </c>
      <c r="BT65">
        <f>IF(M64&lt;=0,BQ65,MAX(0,$F$15+BQ65-M64-BR65))</f>
        <v/>
      </c>
      <c r="BU65">
        <f>IF(N64&lt;=0,0,N64*$E$16/12)</f>
        <v/>
      </c>
      <c r="BV65">
        <f>IF(N64&lt;=0,0,MIN(N64+BU65,$F$16+BT65))</f>
        <v/>
      </c>
      <c r="BW65">
        <f>IF(N64&lt;=0,BT65,MAX(0,$F$16+BT65-N64-BU65))</f>
        <v/>
      </c>
      <c r="BX65">
        <f>IF(O64&lt;=0,0,O64*$E$17/12)</f>
        <v/>
      </c>
      <c r="BY65">
        <f>IF(O64&lt;=0,0,MIN(O64+BX65,$F$17+BW65))</f>
        <v/>
      </c>
      <c r="BZ65">
        <f>IF(O64&lt;=0,BW65,MAX(0,$F$17+BW65-O64-BX65))</f>
        <v/>
      </c>
      <c r="CA65">
        <f>IF(P64&lt;=0,0,P64*$E$18/12)</f>
        <v/>
      </c>
      <c r="CB65">
        <f>IF(P64&lt;=0,0,MIN(P64+CA65,$F$18+BZ65))</f>
        <v/>
      </c>
      <c r="CC65">
        <f>IF(P64&lt;=0,BZ65,MAX(0,$F$18+BZ65-P64-CA65))</f>
        <v/>
      </c>
      <c r="CD65">
        <f>IF(Q64&lt;=0,0,Q64*$E$19/12)</f>
        <v/>
      </c>
      <c r="CE65">
        <f>IF(Q64&lt;=0,0,MIN(Q64+CD65,$F$19+CC65))</f>
        <v/>
      </c>
      <c r="CF65">
        <f>IF(Q64&lt;=0,CC65,MAX(0,$F$19+CC65-Q64-CD65))</f>
        <v/>
      </c>
      <c r="CG65">
        <f>IF(R64&lt;=0,0,R64*$E$20/12)</f>
        <v/>
      </c>
      <c r="CH65">
        <f>IF(R64&lt;=0,0,MIN(R64+CG65,$F$20+CF65))</f>
        <v/>
      </c>
      <c r="CI65">
        <f>IF(R64&lt;=0,CF65,MAX(0,$F$20+CF65-R64-CG65))</f>
        <v/>
      </c>
      <c r="CJ65">
        <f>IF(S64&lt;=0,0,S64*$E$21/12)</f>
        <v/>
      </c>
      <c r="CK65">
        <f>IF(S64&lt;=0,0,MIN(S64+CJ65,$F$21+CI65))</f>
        <v/>
      </c>
      <c r="CL65">
        <f>IF(S64&lt;=0,CI65,MAX(0,$F$21+CI65-S64-CJ65))</f>
        <v/>
      </c>
      <c r="CM65">
        <f>IF(T64&lt;=0,0,T64*$E$22/12)</f>
        <v/>
      </c>
      <c r="CN65">
        <f>IF(T64&lt;=0,0,MIN(T64+CM65,$F$22+CL65))</f>
        <v/>
      </c>
      <c r="CO65">
        <f>IF(T64&lt;=0,CL65,MAX(0,$F$22+CL65-T64-CM65))</f>
        <v/>
      </c>
      <c r="CP65">
        <f>IF(U64&lt;=0,0,U64*$E$23/12)</f>
        <v/>
      </c>
      <c r="CQ65">
        <f>IF(U64&lt;=0,0,MIN(U64+CP65,$F$23+CO65))</f>
        <v/>
      </c>
      <c r="CR65">
        <f>IF(U64&lt;=0,CO65,MAX(0,$F$23+CO65-U64-CP65))</f>
        <v/>
      </c>
      <c r="CS65">
        <f>IF(V64&lt;=0,0,V64*$E$24/12)</f>
        <v/>
      </c>
      <c r="CT65">
        <f>IF(V64&lt;=0,0,MIN(V64+CS65,$F$24+CR65))</f>
        <v/>
      </c>
      <c r="CU65">
        <f>IF(V64&lt;=0,CR65,MAX(0,$F$24+CR65-V64-CS65))</f>
        <v/>
      </c>
    </row>
    <row r="66">
      <c r="B66" s="39" t="n">
        <v>40</v>
      </c>
      <c r="C66" s="13">
        <f>IF(C65&lt;=0,0,MAX(0,C65+AN66-AO66))</f>
        <v/>
      </c>
      <c r="D66" s="13">
        <f>IF(D65&lt;=0,0,MAX(0,D65+AQ66-AR66))</f>
        <v/>
      </c>
      <c r="E66" s="13">
        <f>IF(E65&lt;=0,0,MAX(0,E65+AT66-AU66))</f>
        <v/>
      </c>
      <c r="F66" s="13">
        <f>IF(F65&lt;=0,0,MAX(0,F65+AW66-AX66))</f>
        <v/>
      </c>
      <c r="G66" s="13">
        <f>IF(G65&lt;=0,0,MAX(0,G65+AZ66-BA66))</f>
        <v/>
      </c>
      <c r="H66" s="13">
        <f>IF(H65&lt;=0,0,MAX(0,H65+BC66-BD66))</f>
        <v/>
      </c>
      <c r="I66" s="13">
        <f>IF(I65&lt;=0,0,MAX(0,I65+BF66-BG66))</f>
        <v/>
      </c>
      <c r="J66" s="13">
        <f>IF(J65&lt;=0,0,MAX(0,J65+BI66-BJ66))</f>
        <v/>
      </c>
      <c r="K66" s="13">
        <f>IF(K65&lt;=0,0,MAX(0,K65+BL66-BM66))</f>
        <v/>
      </c>
      <c r="L66" s="13">
        <f>IF(L65&lt;=0,0,MAX(0,L65+BO66-BP66))</f>
        <v/>
      </c>
      <c r="M66" s="13">
        <f>IF(M65&lt;=0,0,MAX(0,M65+BR66-BS66))</f>
        <v/>
      </c>
      <c r="N66" s="13">
        <f>IF(N65&lt;=0,0,MAX(0,N65+BU66-BV66))</f>
        <v/>
      </c>
      <c r="O66" s="13">
        <f>IF(O65&lt;=0,0,MAX(0,O65+BX66-BY66))</f>
        <v/>
      </c>
      <c r="P66" s="13">
        <f>IF(P65&lt;=0,0,MAX(0,P65+CA66-CB66))</f>
        <v/>
      </c>
      <c r="Q66" s="13">
        <f>IF(Q65&lt;=0,0,MAX(0,Q65+CD66-CE66))</f>
        <v/>
      </c>
      <c r="R66" s="13">
        <f>IF(R65&lt;=0,0,MAX(0,R65+CG66-CH66))</f>
        <v/>
      </c>
      <c r="S66" s="13">
        <f>IF(S65&lt;=0,0,MAX(0,S65+CJ66-CK66))</f>
        <v/>
      </c>
      <c r="T66" s="13">
        <f>IF(T65&lt;=0,0,MAX(0,T65+CM66-CN66))</f>
        <v/>
      </c>
      <c r="U66" s="13">
        <f>IF(U65&lt;=0,0,MAX(0,U65+CP66-CQ66))</f>
        <v/>
      </c>
      <c r="V66" s="13">
        <f>IF(V65&lt;=0,0,MAX(0,V65+CS66-CT66))</f>
        <v/>
      </c>
      <c r="W66" s="13">
        <f>AO66+AR66+AU66+AX66+BA66+BD66+BG66+BJ66+BM66+BP66+BS66+BV66+BY66+CB66+CE66+CH66+CK66+CN66+CQ66+CT66</f>
        <v/>
      </c>
      <c r="X66" s="13">
        <f>AN66+AQ66+AT66+AW66+AZ66+BC66+BF66+BI66+BL66+BO66+BR66+BU66+BX66+CA66+CD66+CG66+CJ66+CM66+CP66+CS66</f>
        <v/>
      </c>
      <c r="Y66" s="27">
        <f>C66+D66+E66+F66+G66+H66+I66+J66+K66+L66+M66+N66+O66+P66+Q66+R66+S66+T66+U66+V66</f>
        <v/>
      </c>
      <c r="AN66">
        <f>IF(C65&lt;=0,0,C65*$E$5/12)</f>
        <v/>
      </c>
      <c r="AO66">
        <f>IF(C65&lt;=0,0,MIN(C65+AN66,$F$5+(Dashboard!$C$11+IF(C65&lt;=0,$F$5,0)+IF(D65&lt;=0,$F$6,0)+IF(E65&lt;=0,$F$7,0)+IF(F65&lt;=0,$F$8,0)+IF(G65&lt;=0,$F$9,0)+IF(H65&lt;=0,$F$10,0)+IF(I65&lt;=0,$F$11,0)+IF(J65&lt;=0,$F$12,0)+IF(K65&lt;=0,$F$13,0)+IF(L65&lt;=0,$F$14,0)+IF(M65&lt;=0,$F$15,0)+IF(N65&lt;=0,$F$16,0)+IF(O65&lt;=0,$F$17,0)+IF(P65&lt;=0,$F$18,0)+IF(Q65&lt;=0,$F$19,0)+IF(R65&lt;=0,$F$20,0)+IF(S65&lt;=0,$F$21,0)+IF(T65&lt;=0,$F$22,0)+IF(U65&lt;=0,$F$23,0)+IF(V65&lt;=0,$F$24,0))))</f>
        <v/>
      </c>
      <c r="AP66">
        <f>IF(C65&lt;=0,(Dashboard!$C$11+IF(C65&lt;=0,$F$5,0)+IF(D65&lt;=0,$F$6,0)+IF(E65&lt;=0,$F$7,0)+IF(F65&lt;=0,$F$8,0)+IF(G65&lt;=0,$F$9,0)+IF(H65&lt;=0,$F$10,0)+IF(I65&lt;=0,$F$11,0)+IF(J65&lt;=0,$F$12,0)+IF(K65&lt;=0,$F$13,0)+IF(L65&lt;=0,$F$14,0)+IF(M65&lt;=0,$F$15,0)+IF(N65&lt;=0,$F$16,0)+IF(O65&lt;=0,$F$17,0)+IF(P65&lt;=0,$F$18,0)+IF(Q65&lt;=0,$F$19,0)+IF(R65&lt;=0,$F$20,0)+IF(S65&lt;=0,$F$21,0)+IF(T65&lt;=0,$F$22,0)+IF(U65&lt;=0,$F$23,0)+IF(V65&lt;=0,$F$24,0)),MAX(0,$F$5+(Dashboard!$C$11+IF(C65&lt;=0,$F$5,0)+IF(D65&lt;=0,$F$6,0)+IF(E65&lt;=0,$F$7,0)+IF(F65&lt;=0,$F$8,0)+IF(G65&lt;=0,$F$9,0)+IF(H65&lt;=0,$F$10,0)+IF(I65&lt;=0,$F$11,0)+IF(J65&lt;=0,$F$12,0)+IF(K65&lt;=0,$F$13,0)+IF(L65&lt;=0,$F$14,0)+IF(M65&lt;=0,$F$15,0)+IF(N65&lt;=0,$F$16,0)+IF(O65&lt;=0,$F$17,0)+IF(P65&lt;=0,$F$18,0)+IF(Q65&lt;=0,$F$19,0)+IF(R65&lt;=0,$F$20,0)+IF(S65&lt;=0,$F$21,0)+IF(T65&lt;=0,$F$22,0)+IF(U65&lt;=0,$F$23,0)+IF(V65&lt;=0,$F$24,0))-C65-AN66))</f>
        <v/>
      </c>
      <c r="AQ66">
        <f>IF(D65&lt;=0,0,D65*$E$6/12)</f>
        <v/>
      </c>
      <c r="AR66">
        <f>IF(D65&lt;=0,0,MIN(D65+AQ66,$F$6+AP66))</f>
        <v/>
      </c>
      <c r="AS66">
        <f>IF(D65&lt;=0,AP66,MAX(0,$F$6+AP66-D65-AQ66))</f>
        <v/>
      </c>
      <c r="AT66">
        <f>IF(E65&lt;=0,0,E65*$E$7/12)</f>
        <v/>
      </c>
      <c r="AU66">
        <f>IF(E65&lt;=0,0,MIN(E65+AT66,$F$7+AS66))</f>
        <v/>
      </c>
      <c r="AV66">
        <f>IF(E65&lt;=0,AS66,MAX(0,$F$7+AS66-E65-AT66))</f>
        <v/>
      </c>
      <c r="AW66">
        <f>IF(F65&lt;=0,0,F65*$E$8/12)</f>
        <v/>
      </c>
      <c r="AX66">
        <f>IF(F65&lt;=0,0,MIN(F65+AW66,$F$8+AV66))</f>
        <v/>
      </c>
      <c r="AY66">
        <f>IF(F65&lt;=0,AV66,MAX(0,$F$8+AV66-F65-AW66))</f>
        <v/>
      </c>
      <c r="AZ66">
        <f>IF(G65&lt;=0,0,G65*$E$9/12)</f>
        <v/>
      </c>
      <c r="BA66">
        <f>IF(G65&lt;=0,0,MIN(G65+AZ66,$F$9+AY66))</f>
        <v/>
      </c>
      <c r="BB66">
        <f>IF(G65&lt;=0,AY66,MAX(0,$F$9+AY66-G65-AZ66))</f>
        <v/>
      </c>
      <c r="BC66">
        <f>IF(H65&lt;=0,0,H65*$E$10/12)</f>
        <v/>
      </c>
      <c r="BD66">
        <f>IF(H65&lt;=0,0,MIN(H65+BC66,$F$10+BB66))</f>
        <v/>
      </c>
      <c r="BE66">
        <f>IF(H65&lt;=0,BB66,MAX(0,$F$10+BB66-H65-BC66))</f>
        <v/>
      </c>
      <c r="BF66">
        <f>IF(I65&lt;=0,0,I65*$E$11/12)</f>
        <v/>
      </c>
      <c r="BG66">
        <f>IF(I65&lt;=0,0,MIN(I65+BF66,$F$11+BE66))</f>
        <v/>
      </c>
      <c r="BH66">
        <f>IF(I65&lt;=0,BE66,MAX(0,$F$11+BE66-I65-BF66))</f>
        <v/>
      </c>
      <c r="BI66">
        <f>IF(J65&lt;=0,0,J65*$E$12/12)</f>
        <v/>
      </c>
      <c r="BJ66">
        <f>IF(J65&lt;=0,0,MIN(J65+BI66,$F$12+BH66))</f>
        <v/>
      </c>
      <c r="BK66">
        <f>IF(J65&lt;=0,BH66,MAX(0,$F$12+BH66-J65-BI66))</f>
        <v/>
      </c>
      <c r="BL66">
        <f>IF(K65&lt;=0,0,K65*$E$13/12)</f>
        <v/>
      </c>
      <c r="BM66">
        <f>IF(K65&lt;=0,0,MIN(K65+BL66,$F$13+BK66))</f>
        <v/>
      </c>
      <c r="BN66">
        <f>IF(K65&lt;=0,BK66,MAX(0,$F$13+BK66-K65-BL66))</f>
        <v/>
      </c>
      <c r="BO66">
        <f>IF(L65&lt;=0,0,L65*$E$14/12)</f>
        <v/>
      </c>
      <c r="BP66">
        <f>IF(L65&lt;=0,0,MIN(L65+BO66,$F$14+BN66))</f>
        <v/>
      </c>
      <c r="BQ66">
        <f>IF(L65&lt;=0,BN66,MAX(0,$F$14+BN66-L65-BO66))</f>
        <v/>
      </c>
      <c r="BR66">
        <f>IF(M65&lt;=0,0,M65*$E$15/12)</f>
        <v/>
      </c>
      <c r="BS66">
        <f>IF(M65&lt;=0,0,MIN(M65+BR66,$F$15+BQ66))</f>
        <v/>
      </c>
      <c r="BT66">
        <f>IF(M65&lt;=0,BQ66,MAX(0,$F$15+BQ66-M65-BR66))</f>
        <v/>
      </c>
      <c r="BU66">
        <f>IF(N65&lt;=0,0,N65*$E$16/12)</f>
        <v/>
      </c>
      <c r="BV66">
        <f>IF(N65&lt;=0,0,MIN(N65+BU66,$F$16+BT66))</f>
        <v/>
      </c>
      <c r="BW66">
        <f>IF(N65&lt;=0,BT66,MAX(0,$F$16+BT66-N65-BU66))</f>
        <v/>
      </c>
      <c r="BX66">
        <f>IF(O65&lt;=0,0,O65*$E$17/12)</f>
        <v/>
      </c>
      <c r="BY66">
        <f>IF(O65&lt;=0,0,MIN(O65+BX66,$F$17+BW66))</f>
        <v/>
      </c>
      <c r="BZ66">
        <f>IF(O65&lt;=0,BW66,MAX(0,$F$17+BW66-O65-BX66))</f>
        <v/>
      </c>
      <c r="CA66">
        <f>IF(P65&lt;=0,0,P65*$E$18/12)</f>
        <v/>
      </c>
      <c r="CB66">
        <f>IF(P65&lt;=0,0,MIN(P65+CA66,$F$18+BZ66))</f>
        <v/>
      </c>
      <c r="CC66">
        <f>IF(P65&lt;=0,BZ66,MAX(0,$F$18+BZ66-P65-CA66))</f>
        <v/>
      </c>
      <c r="CD66">
        <f>IF(Q65&lt;=0,0,Q65*$E$19/12)</f>
        <v/>
      </c>
      <c r="CE66">
        <f>IF(Q65&lt;=0,0,MIN(Q65+CD66,$F$19+CC66))</f>
        <v/>
      </c>
      <c r="CF66">
        <f>IF(Q65&lt;=0,CC66,MAX(0,$F$19+CC66-Q65-CD66))</f>
        <v/>
      </c>
      <c r="CG66">
        <f>IF(R65&lt;=0,0,R65*$E$20/12)</f>
        <v/>
      </c>
      <c r="CH66">
        <f>IF(R65&lt;=0,0,MIN(R65+CG66,$F$20+CF66))</f>
        <v/>
      </c>
      <c r="CI66">
        <f>IF(R65&lt;=0,CF66,MAX(0,$F$20+CF66-R65-CG66))</f>
        <v/>
      </c>
      <c r="CJ66">
        <f>IF(S65&lt;=0,0,S65*$E$21/12)</f>
        <v/>
      </c>
      <c r="CK66">
        <f>IF(S65&lt;=0,0,MIN(S65+CJ66,$F$21+CI66))</f>
        <v/>
      </c>
      <c r="CL66">
        <f>IF(S65&lt;=0,CI66,MAX(0,$F$21+CI66-S65-CJ66))</f>
        <v/>
      </c>
      <c r="CM66">
        <f>IF(T65&lt;=0,0,T65*$E$22/12)</f>
        <v/>
      </c>
      <c r="CN66">
        <f>IF(T65&lt;=0,0,MIN(T65+CM66,$F$22+CL66))</f>
        <v/>
      </c>
      <c r="CO66">
        <f>IF(T65&lt;=0,CL66,MAX(0,$F$22+CL66-T65-CM66))</f>
        <v/>
      </c>
      <c r="CP66">
        <f>IF(U65&lt;=0,0,U65*$E$23/12)</f>
        <v/>
      </c>
      <c r="CQ66">
        <f>IF(U65&lt;=0,0,MIN(U65+CP66,$F$23+CO66))</f>
        <v/>
      </c>
      <c r="CR66">
        <f>IF(U65&lt;=0,CO66,MAX(0,$F$23+CO66-U65-CP66))</f>
        <v/>
      </c>
      <c r="CS66">
        <f>IF(V65&lt;=0,0,V65*$E$24/12)</f>
        <v/>
      </c>
      <c r="CT66">
        <f>IF(V65&lt;=0,0,MIN(V65+CS66,$F$24+CR66))</f>
        <v/>
      </c>
      <c r="CU66">
        <f>IF(V65&lt;=0,CR66,MAX(0,$F$24+CR66-V65-CS66))</f>
        <v/>
      </c>
    </row>
    <row r="67">
      <c r="B67" s="39" t="n">
        <v>41</v>
      </c>
      <c r="C67" s="13">
        <f>IF(C66&lt;=0,0,MAX(0,C66+AN67-AO67))</f>
        <v/>
      </c>
      <c r="D67" s="13">
        <f>IF(D66&lt;=0,0,MAX(0,D66+AQ67-AR67))</f>
        <v/>
      </c>
      <c r="E67" s="13">
        <f>IF(E66&lt;=0,0,MAX(0,E66+AT67-AU67))</f>
        <v/>
      </c>
      <c r="F67" s="13">
        <f>IF(F66&lt;=0,0,MAX(0,F66+AW67-AX67))</f>
        <v/>
      </c>
      <c r="G67" s="13">
        <f>IF(G66&lt;=0,0,MAX(0,G66+AZ67-BA67))</f>
        <v/>
      </c>
      <c r="H67" s="13">
        <f>IF(H66&lt;=0,0,MAX(0,H66+BC67-BD67))</f>
        <v/>
      </c>
      <c r="I67" s="13">
        <f>IF(I66&lt;=0,0,MAX(0,I66+BF67-BG67))</f>
        <v/>
      </c>
      <c r="J67" s="13">
        <f>IF(J66&lt;=0,0,MAX(0,J66+BI67-BJ67))</f>
        <v/>
      </c>
      <c r="K67" s="13">
        <f>IF(K66&lt;=0,0,MAX(0,K66+BL67-BM67))</f>
        <v/>
      </c>
      <c r="L67" s="13">
        <f>IF(L66&lt;=0,0,MAX(0,L66+BO67-BP67))</f>
        <v/>
      </c>
      <c r="M67" s="13">
        <f>IF(M66&lt;=0,0,MAX(0,M66+BR67-BS67))</f>
        <v/>
      </c>
      <c r="N67" s="13">
        <f>IF(N66&lt;=0,0,MAX(0,N66+BU67-BV67))</f>
        <v/>
      </c>
      <c r="O67" s="13">
        <f>IF(O66&lt;=0,0,MAX(0,O66+BX67-BY67))</f>
        <v/>
      </c>
      <c r="P67" s="13">
        <f>IF(P66&lt;=0,0,MAX(0,P66+CA67-CB67))</f>
        <v/>
      </c>
      <c r="Q67" s="13">
        <f>IF(Q66&lt;=0,0,MAX(0,Q66+CD67-CE67))</f>
        <v/>
      </c>
      <c r="R67" s="13">
        <f>IF(R66&lt;=0,0,MAX(0,R66+CG67-CH67))</f>
        <v/>
      </c>
      <c r="S67" s="13">
        <f>IF(S66&lt;=0,0,MAX(0,S66+CJ67-CK67))</f>
        <v/>
      </c>
      <c r="T67" s="13">
        <f>IF(T66&lt;=0,0,MAX(0,T66+CM67-CN67))</f>
        <v/>
      </c>
      <c r="U67" s="13">
        <f>IF(U66&lt;=0,0,MAX(0,U66+CP67-CQ67))</f>
        <v/>
      </c>
      <c r="V67" s="13">
        <f>IF(V66&lt;=0,0,MAX(0,V66+CS67-CT67))</f>
        <v/>
      </c>
      <c r="W67" s="13">
        <f>AO67+AR67+AU67+AX67+BA67+BD67+BG67+BJ67+BM67+BP67+BS67+BV67+BY67+CB67+CE67+CH67+CK67+CN67+CQ67+CT67</f>
        <v/>
      </c>
      <c r="X67" s="13">
        <f>AN67+AQ67+AT67+AW67+AZ67+BC67+BF67+BI67+BL67+BO67+BR67+BU67+BX67+CA67+CD67+CG67+CJ67+CM67+CP67+CS67</f>
        <v/>
      </c>
      <c r="Y67" s="27">
        <f>C67+D67+E67+F67+G67+H67+I67+J67+K67+L67+M67+N67+O67+P67+Q67+R67+S67+T67+U67+V67</f>
        <v/>
      </c>
      <c r="AN67">
        <f>IF(C66&lt;=0,0,C66*$E$5/12)</f>
        <v/>
      </c>
      <c r="AO67">
        <f>IF(C66&lt;=0,0,MIN(C66+AN67,$F$5+(Dashboard!$C$11+IF(C66&lt;=0,$F$5,0)+IF(D66&lt;=0,$F$6,0)+IF(E66&lt;=0,$F$7,0)+IF(F66&lt;=0,$F$8,0)+IF(G66&lt;=0,$F$9,0)+IF(H66&lt;=0,$F$10,0)+IF(I66&lt;=0,$F$11,0)+IF(J66&lt;=0,$F$12,0)+IF(K66&lt;=0,$F$13,0)+IF(L66&lt;=0,$F$14,0)+IF(M66&lt;=0,$F$15,0)+IF(N66&lt;=0,$F$16,0)+IF(O66&lt;=0,$F$17,0)+IF(P66&lt;=0,$F$18,0)+IF(Q66&lt;=0,$F$19,0)+IF(R66&lt;=0,$F$20,0)+IF(S66&lt;=0,$F$21,0)+IF(T66&lt;=0,$F$22,0)+IF(U66&lt;=0,$F$23,0)+IF(V66&lt;=0,$F$24,0))))</f>
        <v/>
      </c>
      <c r="AP67">
        <f>IF(C66&lt;=0,(Dashboard!$C$11+IF(C66&lt;=0,$F$5,0)+IF(D66&lt;=0,$F$6,0)+IF(E66&lt;=0,$F$7,0)+IF(F66&lt;=0,$F$8,0)+IF(G66&lt;=0,$F$9,0)+IF(H66&lt;=0,$F$10,0)+IF(I66&lt;=0,$F$11,0)+IF(J66&lt;=0,$F$12,0)+IF(K66&lt;=0,$F$13,0)+IF(L66&lt;=0,$F$14,0)+IF(M66&lt;=0,$F$15,0)+IF(N66&lt;=0,$F$16,0)+IF(O66&lt;=0,$F$17,0)+IF(P66&lt;=0,$F$18,0)+IF(Q66&lt;=0,$F$19,0)+IF(R66&lt;=0,$F$20,0)+IF(S66&lt;=0,$F$21,0)+IF(T66&lt;=0,$F$22,0)+IF(U66&lt;=0,$F$23,0)+IF(V66&lt;=0,$F$24,0)),MAX(0,$F$5+(Dashboard!$C$11+IF(C66&lt;=0,$F$5,0)+IF(D66&lt;=0,$F$6,0)+IF(E66&lt;=0,$F$7,0)+IF(F66&lt;=0,$F$8,0)+IF(G66&lt;=0,$F$9,0)+IF(H66&lt;=0,$F$10,0)+IF(I66&lt;=0,$F$11,0)+IF(J66&lt;=0,$F$12,0)+IF(K66&lt;=0,$F$13,0)+IF(L66&lt;=0,$F$14,0)+IF(M66&lt;=0,$F$15,0)+IF(N66&lt;=0,$F$16,0)+IF(O66&lt;=0,$F$17,0)+IF(P66&lt;=0,$F$18,0)+IF(Q66&lt;=0,$F$19,0)+IF(R66&lt;=0,$F$20,0)+IF(S66&lt;=0,$F$21,0)+IF(T66&lt;=0,$F$22,0)+IF(U66&lt;=0,$F$23,0)+IF(V66&lt;=0,$F$24,0))-C66-AN67))</f>
        <v/>
      </c>
      <c r="AQ67">
        <f>IF(D66&lt;=0,0,D66*$E$6/12)</f>
        <v/>
      </c>
      <c r="AR67">
        <f>IF(D66&lt;=0,0,MIN(D66+AQ67,$F$6+AP67))</f>
        <v/>
      </c>
      <c r="AS67">
        <f>IF(D66&lt;=0,AP67,MAX(0,$F$6+AP67-D66-AQ67))</f>
        <v/>
      </c>
      <c r="AT67">
        <f>IF(E66&lt;=0,0,E66*$E$7/12)</f>
        <v/>
      </c>
      <c r="AU67">
        <f>IF(E66&lt;=0,0,MIN(E66+AT67,$F$7+AS67))</f>
        <v/>
      </c>
      <c r="AV67">
        <f>IF(E66&lt;=0,AS67,MAX(0,$F$7+AS67-E66-AT67))</f>
        <v/>
      </c>
      <c r="AW67">
        <f>IF(F66&lt;=0,0,F66*$E$8/12)</f>
        <v/>
      </c>
      <c r="AX67">
        <f>IF(F66&lt;=0,0,MIN(F66+AW67,$F$8+AV67))</f>
        <v/>
      </c>
      <c r="AY67">
        <f>IF(F66&lt;=0,AV67,MAX(0,$F$8+AV67-F66-AW67))</f>
        <v/>
      </c>
      <c r="AZ67">
        <f>IF(G66&lt;=0,0,G66*$E$9/12)</f>
        <v/>
      </c>
      <c r="BA67">
        <f>IF(G66&lt;=0,0,MIN(G66+AZ67,$F$9+AY67))</f>
        <v/>
      </c>
      <c r="BB67">
        <f>IF(G66&lt;=0,AY67,MAX(0,$F$9+AY67-G66-AZ67))</f>
        <v/>
      </c>
      <c r="BC67">
        <f>IF(H66&lt;=0,0,H66*$E$10/12)</f>
        <v/>
      </c>
      <c r="BD67">
        <f>IF(H66&lt;=0,0,MIN(H66+BC67,$F$10+BB67))</f>
        <v/>
      </c>
      <c r="BE67">
        <f>IF(H66&lt;=0,BB67,MAX(0,$F$10+BB67-H66-BC67))</f>
        <v/>
      </c>
      <c r="BF67">
        <f>IF(I66&lt;=0,0,I66*$E$11/12)</f>
        <v/>
      </c>
      <c r="BG67">
        <f>IF(I66&lt;=0,0,MIN(I66+BF67,$F$11+BE67))</f>
        <v/>
      </c>
      <c r="BH67">
        <f>IF(I66&lt;=0,BE67,MAX(0,$F$11+BE67-I66-BF67))</f>
        <v/>
      </c>
      <c r="BI67">
        <f>IF(J66&lt;=0,0,J66*$E$12/12)</f>
        <v/>
      </c>
      <c r="BJ67">
        <f>IF(J66&lt;=0,0,MIN(J66+BI67,$F$12+BH67))</f>
        <v/>
      </c>
      <c r="BK67">
        <f>IF(J66&lt;=0,BH67,MAX(0,$F$12+BH67-J66-BI67))</f>
        <v/>
      </c>
      <c r="BL67">
        <f>IF(K66&lt;=0,0,K66*$E$13/12)</f>
        <v/>
      </c>
      <c r="BM67">
        <f>IF(K66&lt;=0,0,MIN(K66+BL67,$F$13+BK67))</f>
        <v/>
      </c>
      <c r="BN67">
        <f>IF(K66&lt;=0,BK67,MAX(0,$F$13+BK67-K66-BL67))</f>
        <v/>
      </c>
      <c r="BO67">
        <f>IF(L66&lt;=0,0,L66*$E$14/12)</f>
        <v/>
      </c>
      <c r="BP67">
        <f>IF(L66&lt;=0,0,MIN(L66+BO67,$F$14+BN67))</f>
        <v/>
      </c>
      <c r="BQ67">
        <f>IF(L66&lt;=0,BN67,MAX(0,$F$14+BN67-L66-BO67))</f>
        <v/>
      </c>
      <c r="BR67">
        <f>IF(M66&lt;=0,0,M66*$E$15/12)</f>
        <v/>
      </c>
      <c r="BS67">
        <f>IF(M66&lt;=0,0,MIN(M66+BR67,$F$15+BQ67))</f>
        <v/>
      </c>
      <c r="BT67">
        <f>IF(M66&lt;=0,BQ67,MAX(0,$F$15+BQ67-M66-BR67))</f>
        <v/>
      </c>
      <c r="BU67">
        <f>IF(N66&lt;=0,0,N66*$E$16/12)</f>
        <v/>
      </c>
      <c r="BV67">
        <f>IF(N66&lt;=0,0,MIN(N66+BU67,$F$16+BT67))</f>
        <v/>
      </c>
      <c r="BW67">
        <f>IF(N66&lt;=0,BT67,MAX(0,$F$16+BT67-N66-BU67))</f>
        <v/>
      </c>
      <c r="BX67">
        <f>IF(O66&lt;=0,0,O66*$E$17/12)</f>
        <v/>
      </c>
      <c r="BY67">
        <f>IF(O66&lt;=0,0,MIN(O66+BX67,$F$17+BW67))</f>
        <v/>
      </c>
      <c r="BZ67">
        <f>IF(O66&lt;=0,BW67,MAX(0,$F$17+BW67-O66-BX67))</f>
        <v/>
      </c>
      <c r="CA67">
        <f>IF(P66&lt;=0,0,P66*$E$18/12)</f>
        <v/>
      </c>
      <c r="CB67">
        <f>IF(P66&lt;=0,0,MIN(P66+CA67,$F$18+BZ67))</f>
        <v/>
      </c>
      <c r="CC67">
        <f>IF(P66&lt;=0,BZ67,MAX(0,$F$18+BZ67-P66-CA67))</f>
        <v/>
      </c>
      <c r="CD67">
        <f>IF(Q66&lt;=0,0,Q66*$E$19/12)</f>
        <v/>
      </c>
      <c r="CE67">
        <f>IF(Q66&lt;=0,0,MIN(Q66+CD67,$F$19+CC67))</f>
        <v/>
      </c>
      <c r="CF67">
        <f>IF(Q66&lt;=0,CC67,MAX(0,$F$19+CC67-Q66-CD67))</f>
        <v/>
      </c>
      <c r="CG67">
        <f>IF(R66&lt;=0,0,R66*$E$20/12)</f>
        <v/>
      </c>
      <c r="CH67">
        <f>IF(R66&lt;=0,0,MIN(R66+CG67,$F$20+CF67))</f>
        <v/>
      </c>
      <c r="CI67">
        <f>IF(R66&lt;=0,CF67,MAX(0,$F$20+CF67-R66-CG67))</f>
        <v/>
      </c>
      <c r="CJ67">
        <f>IF(S66&lt;=0,0,S66*$E$21/12)</f>
        <v/>
      </c>
      <c r="CK67">
        <f>IF(S66&lt;=0,0,MIN(S66+CJ67,$F$21+CI67))</f>
        <v/>
      </c>
      <c r="CL67">
        <f>IF(S66&lt;=0,CI67,MAX(0,$F$21+CI67-S66-CJ67))</f>
        <v/>
      </c>
      <c r="CM67">
        <f>IF(T66&lt;=0,0,T66*$E$22/12)</f>
        <v/>
      </c>
      <c r="CN67">
        <f>IF(T66&lt;=0,0,MIN(T66+CM67,$F$22+CL67))</f>
        <v/>
      </c>
      <c r="CO67">
        <f>IF(T66&lt;=0,CL67,MAX(0,$F$22+CL67-T66-CM67))</f>
        <v/>
      </c>
      <c r="CP67">
        <f>IF(U66&lt;=0,0,U66*$E$23/12)</f>
        <v/>
      </c>
      <c r="CQ67">
        <f>IF(U66&lt;=0,0,MIN(U66+CP67,$F$23+CO67))</f>
        <v/>
      </c>
      <c r="CR67">
        <f>IF(U66&lt;=0,CO67,MAX(0,$F$23+CO67-U66-CP67))</f>
        <v/>
      </c>
      <c r="CS67">
        <f>IF(V66&lt;=0,0,V66*$E$24/12)</f>
        <v/>
      </c>
      <c r="CT67">
        <f>IF(V66&lt;=0,0,MIN(V66+CS67,$F$24+CR67))</f>
        <v/>
      </c>
      <c r="CU67">
        <f>IF(V66&lt;=0,CR67,MAX(0,$F$24+CR67-V66-CS67))</f>
        <v/>
      </c>
    </row>
    <row r="68">
      <c r="B68" s="39" t="n">
        <v>42</v>
      </c>
      <c r="C68" s="13">
        <f>IF(C67&lt;=0,0,MAX(0,C67+AN68-AO68))</f>
        <v/>
      </c>
      <c r="D68" s="13">
        <f>IF(D67&lt;=0,0,MAX(0,D67+AQ68-AR68))</f>
        <v/>
      </c>
      <c r="E68" s="13">
        <f>IF(E67&lt;=0,0,MAX(0,E67+AT68-AU68))</f>
        <v/>
      </c>
      <c r="F68" s="13">
        <f>IF(F67&lt;=0,0,MAX(0,F67+AW68-AX68))</f>
        <v/>
      </c>
      <c r="G68" s="13">
        <f>IF(G67&lt;=0,0,MAX(0,G67+AZ68-BA68))</f>
        <v/>
      </c>
      <c r="H68" s="13">
        <f>IF(H67&lt;=0,0,MAX(0,H67+BC68-BD68))</f>
        <v/>
      </c>
      <c r="I68" s="13">
        <f>IF(I67&lt;=0,0,MAX(0,I67+BF68-BG68))</f>
        <v/>
      </c>
      <c r="J68" s="13">
        <f>IF(J67&lt;=0,0,MAX(0,J67+BI68-BJ68))</f>
        <v/>
      </c>
      <c r="K68" s="13">
        <f>IF(K67&lt;=0,0,MAX(0,K67+BL68-BM68))</f>
        <v/>
      </c>
      <c r="L68" s="13">
        <f>IF(L67&lt;=0,0,MAX(0,L67+BO68-BP68))</f>
        <v/>
      </c>
      <c r="M68" s="13">
        <f>IF(M67&lt;=0,0,MAX(0,M67+BR68-BS68))</f>
        <v/>
      </c>
      <c r="N68" s="13">
        <f>IF(N67&lt;=0,0,MAX(0,N67+BU68-BV68))</f>
        <v/>
      </c>
      <c r="O68" s="13">
        <f>IF(O67&lt;=0,0,MAX(0,O67+BX68-BY68))</f>
        <v/>
      </c>
      <c r="P68" s="13">
        <f>IF(P67&lt;=0,0,MAX(0,P67+CA68-CB68))</f>
        <v/>
      </c>
      <c r="Q68" s="13">
        <f>IF(Q67&lt;=0,0,MAX(0,Q67+CD68-CE68))</f>
        <v/>
      </c>
      <c r="R68" s="13">
        <f>IF(R67&lt;=0,0,MAX(0,R67+CG68-CH68))</f>
        <v/>
      </c>
      <c r="S68" s="13">
        <f>IF(S67&lt;=0,0,MAX(0,S67+CJ68-CK68))</f>
        <v/>
      </c>
      <c r="T68" s="13">
        <f>IF(T67&lt;=0,0,MAX(0,T67+CM68-CN68))</f>
        <v/>
      </c>
      <c r="U68" s="13">
        <f>IF(U67&lt;=0,0,MAX(0,U67+CP68-CQ68))</f>
        <v/>
      </c>
      <c r="V68" s="13">
        <f>IF(V67&lt;=0,0,MAX(0,V67+CS68-CT68))</f>
        <v/>
      </c>
      <c r="W68" s="13">
        <f>AO68+AR68+AU68+AX68+BA68+BD68+BG68+BJ68+BM68+BP68+BS68+BV68+BY68+CB68+CE68+CH68+CK68+CN68+CQ68+CT68</f>
        <v/>
      </c>
      <c r="X68" s="13">
        <f>AN68+AQ68+AT68+AW68+AZ68+BC68+BF68+BI68+BL68+BO68+BR68+BU68+BX68+CA68+CD68+CG68+CJ68+CM68+CP68+CS68</f>
        <v/>
      </c>
      <c r="Y68" s="27">
        <f>C68+D68+E68+F68+G68+H68+I68+J68+K68+L68+M68+N68+O68+P68+Q68+R68+S68+T68+U68+V68</f>
        <v/>
      </c>
      <c r="AN68">
        <f>IF(C67&lt;=0,0,C67*$E$5/12)</f>
        <v/>
      </c>
      <c r="AO68">
        <f>IF(C67&lt;=0,0,MIN(C67+AN68,$F$5+(Dashboard!$C$11+IF(C67&lt;=0,$F$5,0)+IF(D67&lt;=0,$F$6,0)+IF(E67&lt;=0,$F$7,0)+IF(F67&lt;=0,$F$8,0)+IF(G67&lt;=0,$F$9,0)+IF(H67&lt;=0,$F$10,0)+IF(I67&lt;=0,$F$11,0)+IF(J67&lt;=0,$F$12,0)+IF(K67&lt;=0,$F$13,0)+IF(L67&lt;=0,$F$14,0)+IF(M67&lt;=0,$F$15,0)+IF(N67&lt;=0,$F$16,0)+IF(O67&lt;=0,$F$17,0)+IF(P67&lt;=0,$F$18,0)+IF(Q67&lt;=0,$F$19,0)+IF(R67&lt;=0,$F$20,0)+IF(S67&lt;=0,$F$21,0)+IF(T67&lt;=0,$F$22,0)+IF(U67&lt;=0,$F$23,0)+IF(V67&lt;=0,$F$24,0))))</f>
        <v/>
      </c>
      <c r="AP68">
        <f>IF(C67&lt;=0,(Dashboard!$C$11+IF(C67&lt;=0,$F$5,0)+IF(D67&lt;=0,$F$6,0)+IF(E67&lt;=0,$F$7,0)+IF(F67&lt;=0,$F$8,0)+IF(G67&lt;=0,$F$9,0)+IF(H67&lt;=0,$F$10,0)+IF(I67&lt;=0,$F$11,0)+IF(J67&lt;=0,$F$12,0)+IF(K67&lt;=0,$F$13,0)+IF(L67&lt;=0,$F$14,0)+IF(M67&lt;=0,$F$15,0)+IF(N67&lt;=0,$F$16,0)+IF(O67&lt;=0,$F$17,0)+IF(P67&lt;=0,$F$18,0)+IF(Q67&lt;=0,$F$19,0)+IF(R67&lt;=0,$F$20,0)+IF(S67&lt;=0,$F$21,0)+IF(T67&lt;=0,$F$22,0)+IF(U67&lt;=0,$F$23,0)+IF(V67&lt;=0,$F$24,0)),MAX(0,$F$5+(Dashboard!$C$11+IF(C67&lt;=0,$F$5,0)+IF(D67&lt;=0,$F$6,0)+IF(E67&lt;=0,$F$7,0)+IF(F67&lt;=0,$F$8,0)+IF(G67&lt;=0,$F$9,0)+IF(H67&lt;=0,$F$10,0)+IF(I67&lt;=0,$F$11,0)+IF(J67&lt;=0,$F$12,0)+IF(K67&lt;=0,$F$13,0)+IF(L67&lt;=0,$F$14,0)+IF(M67&lt;=0,$F$15,0)+IF(N67&lt;=0,$F$16,0)+IF(O67&lt;=0,$F$17,0)+IF(P67&lt;=0,$F$18,0)+IF(Q67&lt;=0,$F$19,0)+IF(R67&lt;=0,$F$20,0)+IF(S67&lt;=0,$F$21,0)+IF(T67&lt;=0,$F$22,0)+IF(U67&lt;=0,$F$23,0)+IF(V67&lt;=0,$F$24,0))-C67-AN68))</f>
        <v/>
      </c>
      <c r="AQ68">
        <f>IF(D67&lt;=0,0,D67*$E$6/12)</f>
        <v/>
      </c>
      <c r="AR68">
        <f>IF(D67&lt;=0,0,MIN(D67+AQ68,$F$6+AP68))</f>
        <v/>
      </c>
      <c r="AS68">
        <f>IF(D67&lt;=0,AP68,MAX(0,$F$6+AP68-D67-AQ68))</f>
        <v/>
      </c>
      <c r="AT68">
        <f>IF(E67&lt;=0,0,E67*$E$7/12)</f>
        <v/>
      </c>
      <c r="AU68">
        <f>IF(E67&lt;=0,0,MIN(E67+AT68,$F$7+AS68))</f>
        <v/>
      </c>
      <c r="AV68">
        <f>IF(E67&lt;=0,AS68,MAX(0,$F$7+AS68-E67-AT68))</f>
        <v/>
      </c>
      <c r="AW68">
        <f>IF(F67&lt;=0,0,F67*$E$8/12)</f>
        <v/>
      </c>
      <c r="AX68">
        <f>IF(F67&lt;=0,0,MIN(F67+AW68,$F$8+AV68))</f>
        <v/>
      </c>
      <c r="AY68">
        <f>IF(F67&lt;=0,AV68,MAX(0,$F$8+AV68-F67-AW68))</f>
        <v/>
      </c>
      <c r="AZ68">
        <f>IF(G67&lt;=0,0,G67*$E$9/12)</f>
        <v/>
      </c>
      <c r="BA68">
        <f>IF(G67&lt;=0,0,MIN(G67+AZ68,$F$9+AY68))</f>
        <v/>
      </c>
      <c r="BB68">
        <f>IF(G67&lt;=0,AY68,MAX(0,$F$9+AY68-G67-AZ68))</f>
        <v/>
      </c>
      <c r="BC68">
        <f>IF(H67&lt;=0,0,H67*$E$10/12)</f>
        <v/>
      </c>
      <c r="BD68">
        <f>IF(H67&lt;=0,0,MIN(H67+BC68,$F$10+BB68))</f>
        <v/>
      </c>
      <c r="BE68">
        <f>IF(H67&lt;=0,BB68,MAX(0,$F$10+BB68-H67-BC68))</f>
        <v/>
      </c>
      <c r="BF68">
        <f>IF(I67&lt;=0,0,I67*$E$11/12)</f>
        <v/>
      </c>
      <c r="BG68">
        <f>IF(I67&lt;=0,0,MIN(I67+BF68,$F$11+BE68))</f>
        <v/>
      </c>
      <c r="BH68">
        <f>IF(I67&lt;=0,BE68,MAX(0,$F$11+BE68-I67-BF68))</f>
        <v/>
      </c>
      <c r="BI68">
        <f>IF(J67&lt;=0,0,J67*$E$12/12)</f>
        <v/>
      </c>
      <c r="BJ68">
        <f>IF(J67&lt;=0,0,MIN(J67+BI68,$F$12+BH68))</f>
        <v/>
      </c>
      <c r="BK68">
        <f>IF(J67&lt;=0,BH68,MAX(0,$F$12+BH68-J67-BI68))</f>
        <v/>
      </c>
      <c r="BL68">
        <f>IF(K67&lt;=0,0,K67*$E$13/12)</f>
        <v/>
      </c>
      <c r="BM68">
        <f>IF(K67&lt;=0,0,MIN(K67+BL68,$F$13+BK68))</f>
        <v/>
      </c>
      <c r="BN68">
        <f>IF(K67&lt;=0,BK68,MAX(0,$F$13+BK68-K67-BL68))</f>
        <v/>
      </c>
      <c r="BO68">
        <f>IF(L67&lt;=0,0,L67*$E$14/12)</f>
        <v/>
      </c>
      <c r="BP68">
        <f>IF(L67&lt;=0,0,MIN(L67+BO68,$F$14+BN68))</f>
        <v/>
      </c>
      <c r="BQ68">
        <f>IF(L67&lt;=0,BN68,MAX(0,$F$14+BN68-L67-BO68))</f>
        <v/>
      </c>
      <c r="BR68">
        <f>IF(M67&lt;=0,0,M67*$E$15/12)</f>
        <v/>
      </c>
      <c r="BS68">
        <f>IF(M67&lt;=0,0,MIN(M67+BR68,$F$15+BQ68))</f>
        <v/>
      </c>
      <c r="BT68">
        <f>IF(M67&lt;=0,BQ68,MAX(0,$F$15+BQ68-M67-BR68))</f>
        <v/>
      </c>
      <c r="BU68">
        <f>IF(N67&lt;=0,0,N67*$E$16/12)</f>
        <v/>
      </c>
      <c r="BV68">
        <f>IF(N67&lt;=0,0,MIN(N67+BU68,$F$16+BT68))</f>
        <v/>
      </c>
      <c r="BW68">
        <f>IF(N67&lt;=0,BT68,MAX(0,$F$16+BT68-N67-BU68))</f>
        <v/>
      </c>
      <c r="BX68">
        <f>IF(O67&lt;=0,0,O67*$E$17/12)</f>
        <v/>
      </c>
      <c r="BY68">
        <f>IF(O67&lt;=0,0,MIN(O67+BX68,$F$17+BW68))</f>
        <v/>
      </c>
      <c r="BZ68">
        <f>IF(O67&lt;=0,BW68,MAX(0,$F$17+BW68-O67-BX68))</f>
        <v/>
      </c>
      <c r="CA68">
        <f>IF(P67&lt;=0,0,P67*$E$18/12)</f>
        <v/>
      </c>
      <c r="CB68">
        <f>IF(P67&lt;=0,0,MIN(P67+CA68,$F$18+BZ68))</f>
        <v/>
      </c>
      <c r="CC68">
        <f>IF(P67&lt;=0,BZ68,MAX(0,$F$18+BZ68-P67-CA68))</f>
        <v/>
      </c>
      <c r="CD68">
        <f>IF(Q67&lt;=0,0,Q67*$E$19/12)</f>
        <v/>
      </c>
      <c r="CE68">
        <f>IF(Q67&lt;=0,0,MIN(Q67+CD68,$F$19+CC68))</f>
        <v/>
      </c>
      <c r="CF68">
        <f>IF(Q67&lt;=0,CC68,MAX(0,$F$19+CC68-Q67-CD68))</f>
        <v/>
      </c>
      <c r="CG68">
        <f>IF(R67&lt;=0,0,R67*$E$20/12)</f>
        <v/>
      </c>
      <c r="CH68">
        <f>IF(R67&lt;=0,0,MIN(R67+CG68,$F$20+CF68))</f>
        <v/>
      </c>
      <c r="CI68">
        <f>IF(R67&lt;=0,CF68,MAX(0,$F$20+CF68-R67-CG68))</f>
        <v/>
      </c>
      <c r="CJ68">
        <f>IF(S67&lt;=0,0,S67*$E$21/12)</f>
        <v/>
      </c>
      <c r="CK68">
        <f>IF(S67&lt;=0,0,MIN(S67+CJ68,$F$21+CI68))</f>
        <v/>
      </c>
      <c r="CL68">
        <f>IF(S67&lt;=0,CI68,MAX(0,$F$21+CI68-S67-CJ68))</f>
        <v/>
      </c>
      <c r="CM68">
        <f>IF(T67&lt;=0,0,T67*$E$22/12)</f>
        <v/>
      </c>
      <c r="CN68">
        <f>IF(T67&lt;=0,0,MIN(T67+CM68,$F$22+CL68))</f>
        <v/>
      </c>
      <c r="CO68">
        <f>IF(T67&lt;=0,CL68,MAX(0,$F$22+CL68-T67-CM68))</f>
        <v/>
      </c>
      <c r="CP68">
        <f>IF(U67&lt;=0,0,U67*$E$23/12)</f>
        <v/>
      </c>
      <c r="CQ68">
        <f>IF(U67&lt;=0,0,MIN(U67+CP68,$F$23+CO68))</f>
        <v/>
      </c>
      <c r="CR68">
        <f>IF(U67&lt;=0,CO68,MAX(0,$F$23+CO68-U67-CP68))</f>
        <v/>
      </c>
      <c r="CS68">
        <f>IF(V67&lt;=0,0,V67*$E$24/12)</f>
        <v/>
      </c>
      <c r="CT68">
        <f>IF(V67&lt;=0,0,MIN(V67+CS68,$F$24+CR68))</f>
        <v/>
      </c>
      <c r="CU68">
        <f>IF(V67&lt;=0,CR68,MAX(0,$F$24+CR68-V67-CS68))</f>
        <v/>
      </c>
    </row>
    <row r="69">
      <c r="B69" s="39" t="n">
        <v>43</v>
      </c>
      <c r="C69" s="13">
        <f>IF(C68&lt;=0,0,MAX(0,C68+AN69-AO69))</f>
        <v/>
      </c>
      <c r="D69" s="13">
        <f>IF(D68&lt;=0,0,MAX(0,D68+AQ69-AR69))</f>
        <v/>
      </c>
      <c r="E69" s="13">
        <f>IF(E68&lt;=0,0,MAX(0,E68+AT69-AU69))</f>
        <v/>
      </c>
      <c r="F69" s="13">
        <f>IF(F68&lt;=0,0,MAX(0,F68+AW69-AX69))</f>
        <v/>
      </c>
      <c r="G69" s="13">
        <f>IF(G68&lt;=0,0,MAX(0,G68+AZ69-BA69))</f>
        <v/>
      </c>
      <c r="H69" s="13">
        <f>IF(H68&lt;=0,0,MAX(0,H68+BC69-BD69))</f>
        <v/>
      </c>
      <c r="I69" s="13">
        <f>IF(I68&lt;=0,0,MAX(0,I68+BF69-BG69))</f>
        <v/>
      </c>
      <c r="J69" s="13">
        <f>IF(J68&lt;=0,0,MAX(0,J68+BI69-BJ69))</f>
        <v/>
      </c>
      <c r="K69" s="13">
        <f>IF(K68&lt;=0,0,MAX(0,K68+BL69-BM69))</f>
        <v/>
      </c>
      <c r="L69" s="13">
        <f>IF(L68&lt;=0,0,MAX(0,L68+BO69-BP69))</f>
        <v/>
      </c>
      <c r="M69" s="13">
        <f>IF(M68&lt;=0,0,MAX(0,M68+BR69-BS69))</f>
        <v/>
      </c>
      <c r="N69" s="13">
        <f>IF(N68&lt;=0,0,MAX(0,N68+BU69-BV69))</f>
        <v/>
      </c>
      <c r="O69" s="13">
        <f>IF(O68&lt;=0,0,MAX(0,O68+BX69-BY69))</f>
        <v/>
      </c>
      <c r="P69" s="13">
        <f>IF(P68&lt;=0,0,MAX(0,P68+CA69-CB69))</f>
        <v/>
      </c>
      <c r="Q69" s="13">
        <f>IF(Q68&lt;=0,0,MAX(0,Q68+CD69-CE69))</f>
        <v/>
      </c>
      <c r="R69" s="13">
        <f>IF(R68&lt;=0,0,MAX(0,R68+CG69-CH69))</f>
        <v/>
      </c>
      <c r="S69" s="13">
        <f>IF(S68&lt;=0,0,MAX(0,S68+CJ69-CK69))</f>
        <v/>
      </c>
      <c r="T69" s="13">
        <f>IF(T68&lt;=0,0,MAX(0,T68+CM69-CN69))</f>
        <v/>
      </c>
      <c r="U69" s="13">
        <f>IF(U68&lt;=0,0,MAX(0,U68+CP69-CQ69))</f>
        <v/>
      </c>
      <c r="V69" s="13">
        <f>IF(V68&lt;=0,0,MAX(0,V68+CS69-CT69))</f>
        <v/>
      </c>
      <c r="W69" s="13">
        <f>AO69+AR69+AU69+AX69+BA69+BD69+BG69+BJ69+BM69+BP69+BS69+BV69+BY69+CB69+CE69+CH69+CK69+CN69+CQ69+CT69</f>
        <v/>
      </c>
      <c r="X69" s="13">
        <f>AN69+AQ69+AT69+AW69+AZ69+BC69+BF69+BI69+BL69+BO69+BR69+BU69+BX69+CA69+CD69+CG69+CJ69+CM69+CP69+CS69</f>
        <v/>
      </c>
      <c r="Y69" s="27">
        <f>C69+D69+E69+F69+G69+H69+I69+J69+K69+L69+M69+N69+O69+P69+Q69+R69+S69+T69+U69+V69</f>
        <v/>
      </c>
      <c r="AN69">
        <f>IF(C68&lt;=0,0,C68*$E$5/12)</f>
        <v/>
      </c>
      <c r="AO69">
        <f>IF(C68&lt;=0,0,MIN(C68+AN69,$F$5+(Dashboard!$C$11+IF(C68&lt;=0,$F$5,0)+IF(D68&lt;=0,$F$6,0)+IF(E68&lt;=0,$F$7,0)+IF(F68&lt;=0,$F$8,0)+IF(G68&lt;=0,$F$9,0)+IF(H68&lt;=0,$F$10,0)+IF(I68&lt;=0,$F$11,0)+IF(J68&lt;=0,$F$12,0)+IF(K68&lt;=0,$F$13,0)+IF(L68&lt;=0,$F$14,0)+IF(M68&lt;=0,$F$15,0)+IF(N68&lt;=0,$F$16,0)+IF(O68&lt;=0,$F$17,0)+IF(P68&lt;=0,$F$18,0)+IF(Q68&lt;=0,$F$19,0)+IF(R68&lt;=0,$F$20,0)+IF(S68&lt;=0,$F$21,0)+IF(T68&lt;=0,$F$22,0)+IF(U68&lt;=0,$F$23,0)+IF(V68&lt;=0,$F$24,0))))</f>
        <v/>
      </c>
      <c r="AP69">
        <f>IF(C68&lt;=0,(Dashboard!$C$11+IF(C68&lt;=0,$F$5,0)+IF(D68&lt;=0,$F$6,0)+IF(E68&lt;=0,$F$7,0)+IF(F68&lt;=0,$F$8,0)+IF(G68&lt;=0,$F$9,0)+IF(H68&lt;=0,$F$10,0)+IF(I68&lt;=0,$F$11,0)+IF(J68&lt;=0,$F$12,0)+IF(K68&lt;=0,$F$13,0)+IF(L68&lt;=0,$F$14,0)+IF(M68&lt;=0,$F$15,0)+IF(N68&lt;=0,$F$16,0)+IF(O68&lt;=0,$F$17,0)+IF(P68&lt;=0,$F$18,0)+IF(Q68&lt;=0,$F$19,0)+IF(R68&lt;=0,$F$20,0)+IF(S68&lt;=0,$F$21,0)+IF(T68&lt;=0,$F$22,0)+IF(U68&lt;=0,$F$23,0)+IF(V68&lt;=0,$F$24,0)),MAX(0,$F$5+(Dashboard!$C$11+IF(C68&lt;=0,$F$5,0)+IF(D68&lt;=0,$F$6,0)+IF(E68&lt;=0,$F$7,0)+IF(F68&lt;=0,$F$8,0)+IF(G68&lt;=0,$F$9,0)+IF(H68&lt;=0,$F$10,0)+IF(I68&lt;=0,$F$11,0)+IF(J68&lt;=0,$F$12,0)+IF(K68&lt;=0,$F$13,0)+IF(L68&lt;=0,$F$14,0)+IF(M68&lt;=0,$F$15,0)+IF(N68&lt;=0,$F$16,0)+IF(O68&lt;=0,$F$17,0)+IF(P68&lt;=0,$F$18,0)+IF(Q68&lt;=0,$F$19,0)+IF(R68&lt;=0,$F$20,0)+IF(S68&lt;=0,$F$21,0)+IF(T68&lt;=0,$F$22,0)+IF(U68&lt;=0,$F$23,0)+IF(V68&lt;=0,$F$24,0))-C68-AN69))</f>
        <v/>
      </c>
      <c r="AQ69">
        <f>IF(D68&lt;=0,0,D68*$E$6/12)</f>
        <v/>
      </c>
      <c r="AR69">
        <f>IF(D68&lt;=0,0,MIN(D68+AQ69,$F$6+AP69))</f>
        <v/>
      </c>
      <c r="AS69">
        <f>IF(D68&lt;=0,AP69,MAX(0,$F$6+AP69-D68-AQ69))</f>
        <v/>
      </c>
      <c r="AT69">
        <f>IF(E68&lt;=0,0,E68*$E$7/12)</f>
        <v/>
      </c>
      <c r="AU69">
        <f>IF(E68&lt;=0,0,MIN(E68+AT69,$F$7+AS69))</f>
        <v/>
      </c>
      <c r="AV69">
        <f>IF(E68&lt;=0,AS69,MAX(0,$F$7+AS69-E68-AT69))</f>
        <v/>
      </c>
      <c r="AW69">
        <f>IF(F68&lt;=0,0,F68*$E$8/12)</f>
        <v/>
      </c>
      <c r="AX69">
        <f>IF(F68&lt;=0,0,MIN(F68+AW69,$F$8+AV69))</f>
        <v/>
      </c>
      <c r="AY69">
        <f>IF(F68&lt;=0,AV69,MAX(0,$F$8+AV69-F68-AW69))</f>
        <v/>
      </c>
      <c r="AZ69">
        <f>IF(G68&lt;=0,0,G68*$E$9/12)</f>
        <v/>
      </c>
      <c r="BA69">
        <f>IF(G68&lt;=0,0,MIN(G68+AZ69,$F$9+AY69))</f>
        <v/>
      </c>
      <c r="BB69">
        <f>IF(G68&lt;=0,AY69,MAX(0,$F$9+AY69-G68-AZ69))</f>
        <v/>
      </c>
      <c r="BC69">
        <f>IF(H68&lt;=0,0,H68*$E$10/12)</f>
        <v/>
      </c>
      <c r="BD69">
        <f>IF(H68&lt;=0,0,MIN(H68+BC69,$F$10+BB69))</f>
        <v/>
      </c>
      <c r="BE69">
        <f>IF(H68&lt;=0,BB69,MAX(0,$F$10+BB69-H68-BC69))</f>
        <v/>
      </c>
      <c r="BF69">
        <f>IF(I68&lt;=0,0,I68*$E$11/12)</f>
        <v/>
      </c>
      <c r="BG69">
        <f>IF(I68&lt;=0,0,MIN(I68+BF69,$F$11+BE69))</f>
        <v/>
      </c>
      <c r="BH69">
        <f>IF(I68&lt;=0,BE69,MAX(0,$F$11+BE69-I68-BF69))</f>
        <v/>
      </c>
      <c r="BI69">
        <f>IF(J68&lt;=0,0,J68*$E$12/12)</f>
        <v/>
      </c>
      <c r="BJ69">
        <f>IF(J68&lt;=0,0,MIN(J68+BI69,$F$12+BH69))</f>
        <v/>
      </c>
      <c r="BK69">
        <f>IF(J68&lt;=0,BH69,MAX(0,$F$12+BH69-J68-BI69))</f>
        <v/>
      </c>
      <c r="BL69">
        <f>IF(K68&lt;=0,0,K68*$E$13/12)</f>
        <v/>
      </c>
      <c r="BM69">
        <f>IF(K68&lt;=0,0,MIN(K68+BL69,$F$13+BK69))</f>
        <v/>
      </c>
      <c r="BN69">
        <f>IF(K68&lt;=0,BK69,MAX(0,$F$13+BK69-K68-BL69))</f>
        <v/>
      </c>
      <c r="BO69">
        <f>IF(L68&lt;=0,0,L68*$E$14/12)</f>
        <v/>
      </c>
      <c r="BP69">
        <f>IF(L68&lt;=0,0,MIN(L68+BO69,$F$14+BN69))</f>
        <v/>
      </c>
      <c r="BQ69">
        <f>IF(L68&lt;=0,BN69,MAX(0,$F$14+BN69-L68-BO69))</f>
        <v/>
      </c>
      <c r="BR69">
        <f>IF(M68&lt;=0,0,M68*$E$15/12)</f>
        <v/>
      </c>
      <c r="BS69">
        <f>IF(M68&lt;=0,0,MIN(M68+BR69,$F$15+BQ69))</f>
        <v/>
      </c>
      <c r="BT69">
        <f>IF(M68&lt;=0,BQ69,MAX(0,$F$15+BQ69-M68-BR69))</f>
        <v/>
      </c>
      <c r="BU69">
        <f>IF(N68&lt;=0,0,N68*$E$16/12)</f>
        <v/>
      </c>
      <c r="BV69">
        <f>IF(N68&lt;=0,0,MIN(N68+BU69,$F$16+BT69))</f>
        <v/>
      </c>
      <c r="BW69">
        <f>IF(N68&lt;=0,BT69,MAX(0,$F$16+BT69-N68-BU69))</f>
        <v/>
      </c>
      <c r="BX69">
        <f>IF(O68&lt;=0,0,O68*$E$17/12)</f>
        <v/>
      </c>
      <c r="BY69">
        <f>IF(O68&lt;=0,0,MIN(O68+BX69,$F$17+BW69))</f>
        <v/>
      </c>
      <c r="BZ69">
        <f>IF(O68&lt;=0,BW69,MAX(0,$F$17+BW69-O68-BX69))</f>
        <v/>
      </c>
      <c r="CA69">
        <f>IF(P68&lt;=0,0,P68*$E$18/12)</f>
        <v/>
      </c>
      <c r="CB69">
        <f>IF(P68&lt;=0,0,MIN(P68+CA69,$F$18+BZ69))</f>
        <v/>
      </c>
      <c r="CC69">
        <f>IF(P68&lt;=0,BZ69,MAX(0,$F$18+BZ69-P68-CA69))</f>
        <v/>
      </c>
      <c r="CD69">
        <f>IF(Q68&lt;=0,0,Q68*$E$19/12)</f>
        <v/>
      </c>
      <c r="CE69">
        <f>IF(Q68&lt;=0,0,MIN(Q68+CD69,$F$19+CC69))</f>
        <v/>
      </c>
      <c r="CF69">
        <f>IF(Q68&lt;=0,CC69,MAX(0,$F$19+CC69-Q68-CD69))</f>
        <v/>
      </c>
      <c r="CG69">
        <f>IF(R68&lt;=0,0,R68*$E$20/12)</f>
        <v/>
      </c>
      <c r="CH69">
        <f>IF(R68&lt;=0,0,MIN(R68+CG69,$F$20+CF69))</f>
        <v/>
      </c>
      <c r="CI69">
        <f>IF(R68&lt;=0,CF69,MAX(0,$F$20+CF69-R68-CG69))</f>
        <v/>
      </c>
      <c r="CJ69">
        <f>IF(S68&lt;=0,0,S68*$E$21/12)</f>
        <v/>
      </c>
      <c r="CK69">
        <f>IF(S68&lt;=0,0,MIN(S68+CJ69,$F$21+CI69))</f>
        <v/>
      </c>
      <c r="CL69">
        <f>IF(S68&lt;=0,CI69,MAX(0,$F$21+CI69-S68-CJ69))</f>
        <v/>
      </c>
      <c r="CM69">
        <f>IF(T68&lt;=0,0,T68*$E$22/12)</f>
        <v/>
      </c>
      <c r="CN69">
        <f>IF(T68&lt;=0,0,MIN(T68+CM69,$F$22+CL69))</f>
        <v/>
      </c>
      <c r="CO69">
        <f>IF(T68&lt;=0,CL69,MAX(0,$F$22+CL69-T68-CM69))</f>
        <v/>
      </c>
      <c r="CP69">
        <f>IF(U68&lt;=0,0,U68*$E$23/12)</f>
        <v/>
      </c>
      <c r="CQ69">
        <f>IF(U68&lt;=0,0,MIN(U68+CP69,$F$23+CO69))</f>
        <v/>
      </c>
      <c r="CR69">
        <f>IF(U68&lt;=0,CO69,MAX(0,$F$23+CO69-U68-CP69))</f>
        <v/>
      </c>
      <c r="CS69">
        <f>IF(V68&lt;=0,0,V68*$E$24/12)</f>
        <v/>
      </c>
      <c r="CT69">
        <f>IF(V68&lt;=0,0,MIN(V68+CS69,$F$24+CR69))</f>
        <v/>
      </c>
      <c r="CU69">
        <f>IF(V68&lt;=0,CR69,MAX(0,$F$24+CR69-V68-CS69))</f>
        <v/>
      </c>
    </row>
    <row r="70">
      <c r="B70" s="39" t="n">
        <v>44</v>
      </c>
      <c r="C70" s="13">
        <f>IF(C69&lt;=0,0,MAX(0,C69+AN70-AO70))</f>
        <v/>
      </c>
      <c r="D70" s="13">
        <f>IF(D69&lt;=0,0,MAX(0,D69+AQ70-AR70))</f>
        <v/>
      </c>
      <c r="E70" s="13">
        <f>IF(E69&lt;=0,0,MAX(0,E69+AT70-AU70))</f>
        <v/>
      </c>
      <c r="F70" s="13">
        <f>IF(F69&lt;=0,0,MAX(0,F69+AW70-AX70))</f>
        <v/>
      </c>
      <c r="G70" s="13">
        <f>IF(G69&lt;=0,0,MAX(0,G69+AZ70-BA70))</f>
        <v/>
      </c>
      <c r="H70" s="13">
        <f>IF(H69&lt;=0,0,MAX(0,H69+BC70-BD70))</f>
        <v/>
      </c>
      <c r="I70" s="13">
        <f>IF(I69&lt;=0,0,MAX(0,I69+BF70-BG70))</f>
        <v/>
      </c>
      <c r="J70" s="13">
        <f>IF(J69&lt;=0,0,MAX(0,J69+BI70-BJ70))</f>
        <v/>
      </c>
      <c r="K70" s="13">
        <f>IF(K69&lt;=0,0,MAX(0,K69+BL70-BM70))</f>
        <v/>
      </c>
      <c r="L70" s="13">
        <f>IF(L69&lt;=0,0,MAX(0,L69+BO70-BP70))</f>
        <v/>
      </c>
      <c r="M70" s="13">
        <f>IF(M69&lt;=0,0,MAX(0,M69+BR70-BS70))</f>
        <v/>
      </c>
      <c r="N70" s="13">
        <f>IF(N69&lt;=0,0,MAX(0,N69+BU70-BV70))</f>
        <v/>
      </c>
      <c r="O70" s="13">
        <f>IF(O69&lt;=0,0,MAX(0,O69+BX70-BY70))</f>
        <v/>
      </c>
      <c r="P70" s="13">
        <f>IF(P69&lt;=0,0,MAX(0,P69+CA70-CB70))</f>
        <v/>
      </c>
      <c r="Q70" s="13">
        <f>IF(Q69&lt;=0,0,MAX(0,Q69+CD70-CE70))</f>
        <v/>
      </c>
      <c r="R70" s="13">
        <f>IF(R69&lt;=0,0,MAX(0,R69+CG70-CH70))</f>
        <v/>
      </c>
      <c r="S70" s="13">
        <f>IF(S69&lt;=0,0,MAX(0,S69+CJ70-CK70))</f>
        <v/>
      </c>
      <c r="T70" s="13">
        <f>IF(T69&lt;=0,0,MAX(0,T69+CM70-CN70))</f>
        <v/>
      </c>
      <c r="U70" s="13">
        <f>IF(U69&lt;=0,0,MAX(0,U69+CP70-CQ70))</f>
        <v/>
      </c>
      <c r="V70" s="13">
        <f>IF(V69&lt;=0,0,MAX(0,V69+CS70-CT70))</f>
        <v/>
      </c>
      <c r="W70" s="13">
        <f>AO70+AR70+AU70+AX70+BA70+BD70+BG70+BJ70+BM70+BP70+BS70+BV70+BY70+CB70+CE70+CH70+CK70+CN70+CQ70+CT70</f>
        <v/>
      </c>
      <c r="X70" s="13">
        <f>AN70+AQ70+AT70+AW70+AZ70+BC70+BF70+BI70+BL70+BO70+BR70+BU70+BX70+CA70+CD70+CG70+CJ70+CM70+CP70+CS70</f>
        <v/>
      </c>
      <c r="Y70" s="27">
        <f>C70+D70+E70+F70+G70+H70+I70+J70+K70+L70+M70+N70+O70+P70+Q70+R70+S70+T70+U70+V70</f>
        <v/>
      </c>
      <c r="AN70">
        <f>IF(C69&lt;=0,0,C69*$E$5/12)</f>
        <v/>
      </c>
      <c r="AO70">
        <f>IF(C69&lt;=0,0,MIN(C69+AN70,$F$5+(Dashboard!$C$11+IF(C69&lt;=0,$F$5,0)+IF(D69&lt;=0,$F$6,0)+IF(E69&lt;=0,$F$7,0)+IF(F69&lt;=0,$F$8,0)+IF(G69&lt;=0,$F$9,0)+IF(H69&lt;=0,$F$10,0)+IF(I69&lt;=0,$F$11,0)+IF(J69&lt;=0,$F$12,0)+IF(K69&lt;=0,$F$13,0)+IF(L69&lt;=0,$F$14,0)+IF(M69&lt;=0,$F$15,0)+IF(N69&lt;=0,$F$16,0)+IF(O69&lt;=0,$F$17,0)+IF(P69&lt;=0,$F$18,0)+IF(Q69&lt;=0,$F$19,0)+IF(R69&lt;=0,$F$20,0)+IF(S69&lt;=0,$F$21,0)+IF(T69&lt;=0,$F$22,0)+IF(U69&lt;=0,$F$23,0)+IF(V69&lt;=0,$F$24,0))))</f>
        <v/>
      </c>
      <c r="AP70">
        <f>IF(C69&lt;=0,(Dashboard!$C$11+IF(C69&lt;=0,$F$5,0)+IF(D69&lt;=0,$F$6,0)+IF(E69&lt;=0,$F$7,0)+IF(F69&lt;=0,$F$8,0)+IF(G69&lt;=0,$F$9,0)+IF(H69&lt;=0,$F$10,0)+IF(I69&lt;=0,$F$11,0)+IF(J69&lt;=0,$F$12,0)+IF(K69&lt;=0,$F$13,0)+IF(L69&lt;=0,$F$14,0)+IF(M69&lt;=0,$F$15,0)+IF(N69&lt;=0,$F$16,0)+IF(O69&lt;=0,$F$17,0)+IF(P69&lt;=0,$F$18,0)+IF(Q69&lt;=0,$F$19,0)+IF(R69&lt;=0,$F$20,0)+IF(S69&lt;=0,$F$21,0)+IF(T69&lt;=0,$F$22,0)+IF(U69&lt;=0,$F$23,0)+IF(V69&lt;=0,$F$24,0)),MAX(0,$F$5+(Dashboard!$C$11+IF(C69&lt;=0,$F$5,0)+IF(D69&lt;=0,$F$6,0)+IF(E69&lt;=0,$F$7,0)+IF(F69&lt;=0,$F$8,0)+IF(G69&lt;=0,$F$9,0)+IF(H69&lt;=0,$F$10,0)+IF(I69&lt;=0,$F$11,0)+IF(J69&lt;=0,$F$12,0)+IF(K69&lt;=0,$F$13,0)+IF(L69&lt;=0,$F$14,0)+IF(M69&lt;=0,$F$15,0)+IF(N69&lt;=0,$F$16,0)+IF(O69&lt;=0,$F$17,0)+IF(P69&lt;=0,$F$18,0)+IF(Q69&lt;=0,$F$19,0)+IF(R69&lt;=0,$F$20,0)+IF(S69&lt;=0,$F$21,0)+IF(T69&lt;=0,$F$22,0)+IF(U69&lt;=0,$F$23,0)+IF(V69&lt;=0,$F$24,0))-C69-AN70))</f>
        <v/>
      </c>
      <c r="AQ70">
        <f>IF(D69&lt;=0,0,D69*$E$6/12)</f>
        <v/>
      </c>
      <c r="AR70">
        <f>IF(D69&lt;=0,0,MIN(D69+AQ70,$F$6+AP70))</f>
        <v/>
      </c>
      <c r="AS70">
        <f>IF(D69&lt;=0,AP70,MAX(0,$F$6+AP70-D69-AQ70))</f>
        <v/>
      </c>
      <c r="AT70">
        <f>IF(E69&lt;=0,0,E69*$E$7/12)</f>
        <v/>
      </c>
      <c r="AU70">
        <f>IF(E69&lt;=0,0,MIN(E69+AT70,$F$7+AS70))</f>
        <v/>
      </c>
      <c r="AV70">
        <f>IF(E69&lt;=0,AS70,MAX(0,$F$7+AS70-E69-AT70))</f>
        <v/>
      </c>
      <c r="AW70">
        <f>IF(F69&lt;=0,0,F69*$E$8/12)</f>
        <v/>
      </c>
      <c r="AX70">
        <f>IF(F69&lt;=0,0,MIN(F69+AW70,$F$8+AV70))</f>
        <v/>
      </c>
      <c r="AY70">
        <f>IF(F69&lt;=0,AV70,MAX(0,$F$8+AV70-F69-AW70))</f>
        <v/>
      </c>
      <c r="AZ70">
        <f>IF(G69&lt;=0,0,G69*$E$9/12)</f>
        <v/>
      </c>
      <c r="BA70">
        <f>IF(G69&lt;=0,0,MIN(G69+AZ70,$F$9+AY70))</f>
        <v/>
      </c>
      <c r="BB70">
        <f>IF(G69&lt;=0,AY70,MAX(0,$F$9+AY70-G69-AZ70))</f>
        <v/>
      </c>
      <c r="BC70">
        <f>IF(H69&lt;=0,0,H69*$E$10/12)</f>
        <v/>
      </c>
      <c r="BD70">
        <f>IF(H69&lt;=0,0,MIN(H69+BC70,$F$10+BB70))</f>
        <v/>
      </c>
      <c r="BE70">
        <f>IF(H69&lt;=0,BB70,MAX(0,$F$10+BB70-H69-BC70))</f>
        <v/>
      </c>
      <c r="BF70">
        <f>IF(I69&lt;=0,0,I69*$E$11/12)</f>
        <v/>
      </c>
      <c r="BG70">
        <f>IF(I69&lt;=0,0,MIN(I69+BF70,$F$11+BE70))</f>
        <v/>
      </c>
      <c r="BH70">
        <f>IF(I69&lt;=0,BE70,MAX(0,$F$11+BE70-I69-BF70))</f>
        <v/>
      </c>
      <c r="BI70">
        <f>IF(J69&lt;=0,0,J69*$E$12/12)</f>
        <v/>
      </c>
      <c r="BJ70">
        <f>IF(J69&lt;=0,0,MIN(J69+BI70,$F$12+BH70))</f>
        <v/>
      </c>
      <c r="BK70">
        <f>IF(J69&lt;=0,BH70,MAX(0,$F$12+BH70-J69-BI70))</f>
        <v/>
      </c>
      <c r="BL70">
        <f>IF(K69&lt;=0,0,K69*$E$13/12)</f>
        <v/>
      </c>
      <c r="BM70">
        <f>IF(K69&lt;=0,0,MIN(K69+BL70,$F$13+BK70))</f>
        <v/>
      </c>
      <c r="BN70">
        <f>IF(K69&lt;=0,BK70,MAX(0,$F$13+BK70-K69-BL70))</f>
        <v/>
      </c>
      <c r="BO70">
        <f>IF(L69&lt;=0,0,L69*$E$14/12)</f>
        <v/>
      </c>
      <c r="BP70">
        <f>IF(L69&lt;=0,0,MIN(L69+BO70,$F$14+BN70))</f>
        <v/>
      </c>
      <c r="BQ70">
        <f>IF(L69&lt;=0,BN70,MAX(0,$F$14+BN70-L69-BO70))</f>
        <v/>
      </c>
      <c r="BR70">
        <f>IF(M69&lt;=0,0,M69*$E$15/12)</f>
        <v/>
      </c>
      <c r="BS70">
        <f>IF(M69&lt;=0,0,MIN(M69+BR70,$F$15+BQ70))</f>
        <v/>
      </c>
      <c r="BT70">
        <f>IF(M69&lt;=0,BQ70,MAX(0,$F$15+BQ70-M69-BR70))</f>
        <v/>
      </c>
      <c r="BU70">
        <f>IF(N69&lt;=0,0,N69*$E$16/12)</f>
        <v/>
      </c>
      <c r="BV70">
        <f>IF(N69&lt;=0,0,MIN(N69+BU70,$F$16+BT70))</f>
        <v/>
      </c>
      <c r="BW70">
        <f>IF(N69&lt;=0,BT70,MAX(0,$F$16+BT70-N69-BU70))</f>
        <v/>
      </c>
      <c r="BX70">
        <f>IF(O69&lt;=0,0,O69*$E$17/12)</f>
        <v/>
      </c>
      <c r="BY70">
        <f>IF(O69&lt;=0,0,MIN(O69+BX70,$F$17+BW70))</f>
        <v/>
      </c>
      <c r="BZ70">
        <f>IF(O69&lt;=0,BW70,MAX(0,$F$17+BW70-O69-BX70))</f>
        <v/>
      </c>
      <c r="CA70">
        <f>IF(P69&lt;=0,0,P69*$E$18/12)</f>
        <v/>
      </c>
      <c r="CB70">
        <f>IF(P69&lt;=0,0,MIN(P69+CA70,$F$18+BZ70))</f>
        <v/>
      </c>
      <c r="CC70">
        <f>IF(P69&lt;=0,BZ70,MAX(0,$F$18+BZ70-P69-CA70))</f>
        <v/>
      </c>
      <c r="CD70">
        <f>IF(Q69&lt;=0,0,Q69*$E$19/12)</f>
        <v/>
      </c>
      <c r="CE70">
        <f>IF(Q69&lt;=0,0,MIN(Q69+CD70,$F$19+CC70))</f>
        <v/>
      </c>
      <c r="CF70">
        <f>IF(Q69&lt;=0,CC70,MAX(0,$F$19+CC70-Q69-CD70))</f>
        <v/>
      </c>
      <c r="CG70">
        <f>IF(R69&lt;=0,0,R69*$E$20/12)</f>
        <v/>
      </c>
      <c r="CH70">
        <f>IF(R69&lt;=0,0,MIN(R69+CG70,$F$20+CF70))</f>
        <v/>
      </c>
      <c r="CI70">
        <f>IF(R69&lt;=0,CF70,MAX(0,$F$20+CF70-R69-CG70))</f>
        <v/>
      </c>
      <c r="CJ70">
        <f>IF(S69&lt;=0,0,S69*$E$21/12)</f>
        <v/>
      </c>
      <c r="CK70">
        <f>IF(S69&lt;=0,0,MIN(S69+CJ70,$F$21+CI70))</f>
        <v/>
      </c>
      <c r="CL70">
        <f>IF(S69&lt;=0,CI70,MAX(0,$F$21+CI70-S69-CJ70))</f>
        <v/>
      </c>
      <c r="CM70">
        <f>IF(T69&lt;=0,0,T69*$E$22/12)</f>
        <v/>
      </c>
      <c r="CN70">
        <f>IF(T69&lt;=0,0,MIN(T69+CM70,$F$22+CL70))</f>
        <v/>
      </c>
      <c r="CO70">
        <f>IF(T69&lt;=0,CL70,MAX(0,$F$22+CL70-T69-CM70))</f>
        <v/>
      </c>
      <c r="CP70">
        <f>IF(U69&lt;=0,0,U69*$E$23/12)</f>
        <v/>
      </c>
      <c r="CQ70">
        <f>IF(U69&lt;=0,0,MIN(U69+CP70,$F$23+CO70))</f>
        <v/>
      </c>
      <c r="CR70">
        <f>IF(U69&lt;=0,CO70,MAX(0,$F$23+CO70-U69-CP70))</f>
        <v/>
      </c>
      <c r="CS70">
        <f>IF(V69&lt;=0,0,V69*$E$24/12)</f>
        <v/>
      </c>
      <c r="CT70">
        <f>IF(V69&lt;=0,0,MIN(V69+CS70,$F$24+CR70))</f>
        <v/>
      </c>
      <c r="CU70">
        <f>IF(V69&lt;=0,CR70,MAX(0,$F$24+CR70-V69-CS70))</f>
        <v/>
      </c>
    </row>
    <row r="71">
      <c r="B71" s="39" t="n">
        <v>45</v>
      </c>
      <c r="C71" s="13">
        <f>IF(C70&lt;=0,0,MAX(0,C70+AN71-AO71))</f>
        <v/>
      </c>
      <c r="D71" s="13">
        <f>IF(D70&lt;=0,0,MAX(0,D70+AQ71-AR71))</f>
        <v/>
      </c>
      <c r="E71" s="13">
        <f>IF(E70&lt;=0,0,MAX(0,E70+AT71-AU71))</f>
        <v/>
      </c>
      <c r="F71" s="13">
        <f>IF(F70&lt;=0,0,MAX(0,F70+AW71-AX71))</f>
        <v/>
      </c>
      <c r="G71" s="13">
        <f>IF(G70&lt;=0,0,MAX(0,G70+AZ71-BA71))</f>
        <v/>
      </c>
      <c r="H71" s="13">
        <f>IF(H70&lt;=0,0,MAX(0,H70+BC71-BD71))</f>
        <v/>
      </c>
      <c r="I71" s="13">
        <f>IF(I70&lt;=0,0,MAX(0,I70+BF71-BG71))</f>
        <v/>
      </c>
      <c r="J71" s="13">
        <f>IF(J70&lt;=0,0,MAX(0,J70+BI71-BJ71))</f>
        <v/>
      </c>
      <c r="K71" s="13">
        <f>IF(K70&lt;=0,0,MAX(0,K70+BL71-BM71))</f>
        <v/>
      </c>
      <c r="L71" s="13">
        <f>IF(L70&lt;=0,0,MAX(0,L70+BO71-BP71))</f>
        <v/>
      </c>
      <c r="M71" s="13">
        <f>IF(M70&lt;=0,0,MAX(0,M70+BR71-BS71))</f>
        <v/>
      </c>
      <c r="N71" s="13">
        <f>IF(N70&lt;=0,0,MAX(0,N70+BU71-BV71))</f>
        <v/>
      </c>
      <c r="O71" s="13">
        <f>IF(O70&lt;=0,0,MAX(0,O70+BX71-BY71))</f>
        <v/>
      </c>
      <c r="P71" s="13">
        <f>IF(P70&lt;=0,0,MAX(0,P70+CA71-CB71))</f>
        <v/>
      </c>
      <c r="Q71" s="13">
        <f>IF(Q70&lt;=0,0,MAX(0,Q70+CD71-CE71))</f>
        <v/>
      </c>
      <c r="R71" s="13">
        <f>IF(R70&lt;=0,0,MAX(0,R70+CG71-CH71))</f>
        <v/>
      </c>
      <c r="S71" s="13">
        <f>IF(S70&lt;=0,0,MAX(0,S70+CJ71-CK71))</f>
        <v/>
      </c>
      <c r="T71" s="13">
        <f>IF(T70&lt;=0,0,MAX(0,T70+CM71-CN71))</f>
        <v/>
      </c>
      <c r="U71" s="13">
        <f>IF(U70&lt;=0,0,MAX(0,U70+CP71-CQ71))</f>
        <v/>
      </c>
      <c r="V71" s="13">
        <f>IF(V70&lt;=0,0,MAX(0,V70+CS71-CT71))</f>
        <v/>
      </c>
      <c r="W71" s="13">
        <f>AO71+AR71+AU71+AX71+BA71+BD71+BG71+BJ71+BM71+BP71+BS71+BV71+BY71+CB71+CE71+CH71+CK71+CN71+CQ71+CT71</f>
        <v/>
      </c>
      <c r="X71" s="13">
        <f>AN71+AQ71+AT71+AW71+AZ71+BC71+BF71+BI71+BL71+BO71+BR71+BU71+BX71+CA71+CD71+CG71+CJ71+CM71+CP71+CS71</f>
        <v/>
      </c>
      <c r="Y71" s="27">
        <f>C71+D71+E71+F71+G71+H71+I71+J71+K71+L71+M71+N71+O71+P71+Q71+R71+S71+T71+U71+V71</f>
        <v/>
      </c>
      <c r="AN71">
        <f>IF(C70&lt;=0,0,C70*$E$5/12)</f>
        <v/>
      </c>
      <c r="AO71">
        <f>IF(C70&lt;=0,0,MIN(C70+AN71,$F$5+(Dashboard!$C$11+IF(C70&lt;=0,$F$5,0)+IF(D70&lt;=0,$F$6,0)+IF(E70&lt;=0,$F$7,0)+IF(F70&lt;=0,$F$8,0)+IF(G70&lt;=0,$F$9,0)+IF(H70&lt;=0,$F$10,0)+IF(I70&lt;=0,$F$11,0)+IF(J70&lt;=0,$F$12,0)+IF(K70&lt;=0,$F$13,0)+IF(L70&lt;=0,$F$14,0)+IF(M70&lt;=0,$F$15,0)+IF(N70&lt;=0,$F$16,0)+IF(O70&lt;=0,$F$17,0)+IF(P70&lt;=0,$F$18,0)+IF(Q70&lt;=0,$F$19,0)+IF(R70&lt;=0,$F$20,0)+IF(S70&lt;=0,$F$21,0)+IF(T70&lt;=0,$F$22,0)+IF(U70&lt;=0,$F$23,0)+IF(V70&lt;=0,$F$24,0))))</f>
        <v/>
      </c>
      <c r="AP71">
        <f>IF(C70&lt;=0,(Dashboard!$C$11+IF(C70&lt;=0,$F$5,0)+IF(D70&lt;=0,$F$6,0)+IF(E70&lt;=0,$F$7,0)+IF(F70&lt;=0,$F$8,0)+IF(G70&lt;=0,$F$9,0)+IF(H70&lt;=0,$F$10,0)+IF(I70&lt;=0,$F$11,0)+IF(J70&lt;=0,$F$12,0)+IF(K70&lt;=0,$F$13,0)+IF(L70&lt;=0,$F$14,0)+IF(M70&lt;=0,$F$15,0)+IF(N70&lt;=0,$F$16,0)+IF(O70&lt;=0,$F$17,0)+IF(P70&lt;=0,$F$18,0)+IF(Q70&lt;=0,$F$19,0)+IF(R70&lt;=0,$F$20,0)+IF(S70&lt;=0,$F$21,0)+IF(T70&lt;=0,$F$22,0)+IF(U70&lt;=0,$F$23,0)+IF(V70&lt;=0,$F$24,0)),MAX(0,$F$5+(Dashboard!$C$11+IF(C70&lt;=0,$F$5,0)+IF(D70&lt;=0,$F$6,0)+IF(E70&lt;=0,$F$7,0)+IF(F70&lt;=0,$F$8,0)+IF(G70&lt;=0,$F$9,0)+IF(H70&lt;=0,$F$10,0)+IF(I70&lt;=0,$F$11,0)+IF(J70&lt;=0,$F$12,0)+IF(K70&lt;=0,$F$13,0)+IF(L70&lt;=0,$F$14,0)+IF(M70&lt;=0,$F$15,0)+IF(N70&lt;=0,$F$16,0)+IF(O70&lt;=0,$F$17,0)+IF(P70&lt;=0,$F$18,0)+IF(Q70&lt;=0,$F$19,0)+IF(R70&lt;=0,$F$20,0)+IF(S70&lt;=0,$F$21,0)+IF(T70&lt;=0,$F$22,0)+IF(U70&lt;=0,$F$23,0)+IF(V70&lt;=0,$F$24,0))-C70-AN71))</f>
        <v/>
      </c>
      <c r="AQ71">
        <f>IF(D70&lt;=0,0,D70*$E$6/12)</f>
        <v/>
      </c>
      <c r="AR71">
        <f>IF(D70&lt;=0,0,MIN(D70+AQ71,$F$6+AP71))</f>
        <v/>
      </c>
      <c r="AS71">
        <f>IF(D70&lt;=0,AP71,MAX(0,$F$6+AP71-D70-AQ71))</f>
        <v/>
      </c>
      <c r="AT71">
        <f>IF(E70&lt;=0,0,E70*$E$7/12)</f>
        <v/>
      </c>
      <c r="AU71">
        <f>IF(E70&lt;=0,0,MIN(E70+AT71,$F$7+AS71))</f>
        <v/>
      </c>
      <c r="AV71">
        <f>IF(E70&lt;=0,AS71,MAX(0,$F$7+AS71-E70-AT71))</f>
        <v/>
      </c>
      <c r="AW71">
        <f>IF(F70&lt;=0,0,F70*$E$8/12)</f>
        <v/>
      </c>
      <c r="AX71">
        <f>IF(F70&lt;=0,0,MIN(F70+AW71,$F$8+AV71))</f>
        <v/>
      </c>
      <c r="AY71">
        <f>IF(F70&lt;=0,AV71,MAX(0,$F$8+AV71-F70-AW71))</f>
        <v/>
      </c>
      <c r="AZ71">
        <f>IF(G70&lt;=0,0,G70*$E$9/12)</f>
        <v/>
      </c>
      <c r="BA71">
        <f>IF(G70&lt;=0,0,MIN(G70+AZ71,$F$9+AY71))</f>
        <v/>
      </c>
      <c r="BB71">
        <f>IF(G70&lt;=0,AY71,MAX(0,$F$9+AY71-G70-AZ71))</f>
        <v/>
      </c>
      <c r="BC71">
        <f>IF(H70&lt;=0,0,H70*$E$10/12)</f>
        <v/>
      </c>
      <c r="BD71">
        <f>IF(H70&lt;=0,0,MIN(H70+BC71,$F$10+BB71))</f>
        <v/>
      </c>
      <c r="BE71">
        <f>IF(H70&lt;=0,BB71,MAX(0,$F$10+BB71-H70-BC71))</f>
        <v/>
      </c>
      <c r="BF71">
        <f>IF(I70&lt;=0,0,I70*$E$11/12)</f>
        <v/>
      </c>
      <c r="BG71">
        <f>IF(I70&lt;=0,0,MIN(I70+BF71,$F$11+BE71))</f>
        <v/>
      </c>
      <c r="BH71">
        <f>IF(I70&lt;=0,BE71,MAX(0,$F$11+BE71-I70-BF71))</f>
        <v/>
      </c>
      <c r="BI71">
        <f>IF(J70&lt;=0,0,J70*$E$12/12)</f>
        <v/>
      </c>
      <c r="BJ71">
        <f>IF(J70&lt;=0,0,MIN(J70+BI71,$F$12+BH71))</f>
        <v/>
      </c>
      <c r="BK71">
        <f>IF(J70&lt;=0,BH71,MAX(0,$F$12+BH71-J70-BI71))</f>
        <v/>
      </c>
      <c r="BL71">
        <f>IF(K70&lt;=0,0,K70*$E$13/12)</f>
        <v/>
      </c>
      <c r="BM71">
        <f>IF(K70&lt;=0,0,MIN(K70+BL71,$F$13+BK71))</f>
        <v/>
      </c>
      <c r="BN71">
        <f>IF(K70&lt;=0,BK71,MAX(0,$F$13+BK71-K70-BL71))</f>
        <v/>
      </c>
      <c r="BO71">
        <f>IF(L70&lt;=0,0,L70*$E$14/12)</f>
        <v/>
      </c>
      <c r="BP71">
        <f>IF(L70&lt;=0,0,MIN(L70+BO71,$F$14+BN71))</f>
        <v/>
      </c>
      <c r="BQ71">
        <f>IF(L70&lt;=0,BN71,MAX(0,$F$14+BN71-L70-BO71))</f>
        <v/>
      </c>
      <c r="BR71">
        <f>IF(M70&lt;=0,0,M70*$E$15/12)</f>
        <v/>
      </c>
      <c r="BS71">
        <f>IF(M70&lt;=0,0,MIN(M70+BR71,$F$15+BQ71))</f>
        <v/>
      </c>
      <c r="BT71">
        <f>IF(M70&lt;=0,BQ71,MAX(0,$F$15+BQ71-M70-BR71))</f>
        <v/>
      </c>
      <c r="BU71">
        <f>IF(N70&lt;=0,0,N70*$E$16/12)</f>
        <v/>
      </c>
      <c r="BV71">
        <f>IF(N70&lt;=0,0,MIN(N70+BU71,$F$16+BT71))</f>
        <v/>
      </c>
      <c r="BW71">
        <f>IF(N70&lt;=0,BT71,MAX(0,$F$16+BT71-N70-BU71))</f>
        <v/>
      </c>
      <c r="BX71">
        <f>IF(O70&lt;=0,0,O70*$E$17/12)</f>
        <v/>
      </c>
      <c r="BY71">
        <f>IF(O70&lt;=0,0,MIN(O70+BX71,$F$17+BW71))</f>
        <v/>
      </c>
      <c r="BZ71">
        <f>IF(O70&lt;=0,BW71,MAX(0,$F$17+BW71-O70-BX71))</f>
        <v/>
      </c>
      <c r="CA71">
        <f>IF(P70&lt;=0,0,P70*$E$18/12)</f>
        <v/>
      </c>
      <c r="CB71">
        <f>IF(P70&lt;=0,0,MIN(P70+CA71,$F$18+BZ71))</f>
        <v/>
      </c>
      <c r="CC71">
        <f>IF(P70&lt;=0,BZ71,MAX(0,$F$18+BZ71-P70-CA71))</f>
        <v/>
      </c>
      <c r="CD71">
        <f>IF(Q70&lt;=0,0,Q70*$E$19/12)</f>
        <v/>
      </c>
      <c r="CE71">
        <f>IF(Q70&lt;=0,0,MIN(Q70+CD71,$F$19+CC71))</f>
        <v/>
      </c>
      <c r="CF71">
        <f>IF(Q70&lt;=0,CC71,MAX(0,$F$19+CC71-Q70-CD71))</f>
        <v/>
      </c>
      <c r="CG71">
        <f>IF(R70&lt;=0,0,R70*$E$20/12)</f>
        <v/>
      </c>
      <c r="CH71">
        <f>IF(R70&lt;=0,0,MIN(R70+CG71,$F$20+CF71))</f>
        <v/>
      </c>
      <c r="CI71">
        <f>IF(R70&lt;=0,CF71,MAX(0,$F$20+CF71-R70-CG71))</f>
        <v/>
      </c>
      <c r="CJ71">
        <f>IF(S70&lt;=0,0,S70*$E$21/12)</f>
        <v/>
      </c>
      <c r="CK71">
        <f>IF(S70&lt;=0,0,MIN(S70+CJ71,$F$21+CI71))</f>
        <v/>
      </c>
      <c r="CL71">
        <f>IF(S70&lt;=0,CI71,MAX(0,$F$21+CI71-S70-CJ71))</f>
        <v/>
      </c>
      <c r="CM71">
        <f>IF(T70&lt;=0,0,T70*$E$22/12)</f>
        <v/>
      </c>
      <c r="CN71">
        <f>IF(T70&lt;=0,0,MIN(T70+CM71,$F$22+CL71))</f>
        <v/>
      </c>
      <c r="CO71">
        <f>IF(T70&lt;=0,CL71,MAX(0,$F$22+CL71-T70-CM71))</f>
        <v/>
      </c>
      <c r="CP71">
        <f>IF(U70&lt;=0,0,U70*$E$23/12)</f>
        <v/>
      </c>
      <c r="CQ71">
        <f>IF(U70&lt;=0,0,MIN(U70+CP71,$F$23+CO71))</f>
        <v/>
      </c>
      <c r="CR71">
        <f>IF(U70&lt;=0,CO71,MAX(0,$F$23+CO71-U70-CP71))</f>
        <v/>
      </c>
      <c r="CS71">
        <f>IF(V70&lt;=0,0,V70*$E$24/12)</f>
        <v/>
      </c>
      <c r="CT71">
        <f>IF(V70&lt;=0,0,MIN(V70+CS71,$F$24+CR71))</f>
        <v/>
      </c>
      <c r="CU71">
        <f>IF(V70&lt;=0,CR71,MAX(0,$F$24+CR71-V70-CS71))</f>
        <v/>
      </c>
    </row>
    <row r="72">
      <c r="B72" s="39" t="n">
        <v>46</v>
      </c>
      <c r="C72" s="13">
        <f>IF(C71&lt;=0,0,MAX(0,C71+AN72-AO72))</f>
        <v/>
      </c>
      <c r="D72" s="13">
        <f>IF(D71&lt;=0,0,MAX(0,D71+AQ72-AR72))</f>
        <v/>
      </c>
      <c r="E72" s="13">
        <f>IF(E71&lt;=0,0,MAX(0,E71+AT72-AU72))</f>
        <v/>
      </c>
      <c r="F72" s="13">
        <f>IF(F71&lt;=0,0,MAX(0,F71+AW72-AX72))</f>
        <v/>
      </c>
      <c r="G72" s="13">
        <f>IF(G71&lt;=0,0,MAX(0,G71+AZ72-BA72))</f>
        <v/>
      </c>
      <c r="H72" s="13">
        <f>IF(H71&lt;=0,0,MAX(0,H71+BC72-BD72))</f>
        <v/>
      </c>
      <c r="I72" s="13">
        <f>IF(I71&lt;=0,0,MAX(0,I71+BF72-BG72))</f>
        <v/>
      </c>
      <c r="J72" s="13">
        <f>IF(J71&lt;=0,0,MAX(0,J71+BI72-BJ72))</f>
        <v/>
      </c>
      <c r="K72" s="13">
        <f>IF(K71&lt;=0,0,MAX(0,K71+BL72-BM72))</f>
        <v/>
      </c>
      <c r="L72" s="13">
        <f>IF(L71&lt;=0,0,MAX(0,L71+BO72-BP72))</f>
        <v/>
      </c>
      <c r="M72" s="13">
        <f>IF(M71&lt;=0,0,MAX(0,M71+BR72-BS72))</f>
        <v/>
      </c>
      <c r="N72" s="13">
        <f>IF(N71&lt;=0,0,MAX(0,N71+BU72-BV72))</f>
        <v/>
      </c>
      <c r="O72" s="13">
        <f>IF(O71&lt;=0,0,MAX(0,O71+BX72-BY72))</f>
        <v/>
      </c>
      <c r="P72" s="13">
        <f>IF(P71&lt;=0,0,MAX(0,P71+CA72-CB72))</f>
        <v/>
      </c>
      <c r="Q72" s="13">
        <f>IF(Q71&lt;=0,0,MAX(0,Q71+CD72-CE72))</f>
        <v/>
      </c>
      <c r="R72" s="13">
        <f>IF(R71&lt;=0,0,MAX(0,R71+CG72-CH72))</f>
        <v/>
      </c>
      <c r="S72" s="13">
        <f>IF(S71&lt;=0,0,MAX(0,S71+CJ72-CK72))</f>
        <v/>
      </c>
      <c r="T72" s="13">
        <f>IF(T71&lt;=0,0,MAX(0,T71+CM72-CN72))</f>
        <v/>
      </c>
      <c r="U72" s="13">
        <f>IF(U71&lt;=0,0,MAX(0,U71+CP72-CQ72))</f>
        <v/>
      </c>
      <c r="V72" s="13">
        <f>IF(V71&lt;=0,0,MAX(0,V71+CS72-CT72))</f>
        <v/>
      </c>
      <c r="W72" s="13">
        <f>AO72+AR72+AU72+AX72+BA72+BD72+BG72+BJ72+BM72+BP72+BS72+BV72+BY72+CB72+CE72+CH72+CK72+CN72+CQ72+CT72</f>
        <v/>
      </c>
      <c r="X72" s="13">
        <f>AN72+AQ72+AT72+AW72+AZ72+BC72+BF72+BI72+BL72+BO72+BR72+BU72+BX72+CA72+CD72+CG72+CJ72+CM72+CP72+CS72</f>
        <v/>
      </c>
      <c r="Y72" s="27">
        <f>C72+D72+E72+F72+G72+H72+I72+J72+K72+L72+M72+N72+O72+P72+Q72+R72+S72+T72+U72+V72</f>
        <v/>
      </c>
      <c r="AN72">
        <f>IF(C71&lt;=0,0,C71*$E$5/12)</f>
        <v/>
      </c>
      <c r="AO72">
        <f>IF(C71&lt;=0,0,MIN(C71+AN72,$F$5+(Dashboard!$C$11+IF(C71&lt;=0,$F$5,0)+IF(D71&lt;=0,$F$6,0)+IF(E71&lt;=0,$F$7,0)+IF(F71&lt;=0,$F$8,0)+IF(G71&lt;=0,$F$9,0)+IF(H71&lt;=0,$F$10,0)+IF(I71&lt;=0,$F$11,0)+IF(J71&lt;=0,$F$12,0)+IF(K71&lt;=0,$F$13,0)+IF(L71&lt;=0,$F$14,0)+IF(M71&lt;=0,$F$15,0)+IF(N71&lt;=0,$F$16,0)+IF(O71&lt;=0,$F$17,0)+IF(P71&lt;=0,$F$18,0)+IF(Q71&lt;=0,$F$19,0)+IF(R71&lt;=0,$F$20,0)+IF(S71&lt;=0,$F$21,0)+IF(T71&lt;=0,$F$22,0)+IF(U71&lt;=0,$F$23,0)+IF(V71&lt;=0,$F$24,0))))</f>
        <v/>
      </c>
      <c r="AP72">
        <f>IF(C71&lt;=0,(Dashboard!$C$11+IF(C71&lt;=0,$F$5,0)+IF(D71&lt;=0,$F$6,0)+IF(E71&lt;=0,$F$7,0)+IF(F71&lt;=0,$F$8,0)+IF(G71&lt;=0,$F$9,0)+IF(H71&lt;=0,$F$10,0)+IF(I71&lt;=0,$F$11,0)+IF(J71&lt;=0,$F$12,0)+IF(K71&lt;=0,$F$13,0)+IF(L71&lt;=0,$F$14,0)+IF(M71&lt;=0,$F$15,0)+IF(N71&lt;=0,$F$16,0)+IF(O71&lt;=0,$F$17,0)+IF(P71&lt;=0,$F$18,0)+IF(Q71&lt;=0,$F$19,0)+IF(R71&lt;=0,$F$20,0)+IF(S71&lt;=0,$F$21,0)+IF(T71&lt;=0,$F$22,0)+IF(U71&lt;=0,$F$23,0)+IF(V71&lt;=0,$F$24,0)),MAX(0,$F$5+(Dashboard!$C$11+IF(C71&lt;=0,$F$5,0)+IF(D71&lt;=0,$F$6,0)+IF(E71&lt;=0,$F$7,0)+IF(F71&lt;=0,$F$8,0)+IF(G71&lt;=0,$F$9,0)+IF(H71&lt;=0,$F$10,0)+IF(I71&lt;=0,$F$11,0)+IF(J71&lt;=0,$F$12,0)+IF(K71&lt;=0,$F$13,0)+IF(L71&lt;=0,$F$14,0)+IF(M71&lt;=0,$F$15,0)+IF(N71&lt;=0,$F$16,0)+IF(O71&lt;=0,$F$17,0)+IF(P71&lt;=0,$F$18,0)+IF(Q71&lt;=0,$F$19,0)+IF(R71&lt;=0,$F$20,0)+IF(S71&lt;=0,$F$21,0)+IF(T71&lt;=0,$F$22,0)+IF(U71&lt;=0,$F$23,0)+IF(V71&lt;=0,$F$24,0))-C71-AN72))</f>
        <v/>
      </c>
      <c r="AQ72">
        <f>IF(D71&lt;=0,0,D71*$E$6/12)</f>
        <v/>
      </c>
      <c r="AR72">
        <f>IF(D71&lt;=0,0,MIN(D71+AQ72,$F$6+AP72))</f>
        <v/>
      </c>
      <c r="AS72">
        <f>IF(D71&lt;=0,AP72,MAX(0,$F$6+AP72-D71-AQ72))</f>
        <v/>
      </c>
      <c r="AT72">
        <f>IF(E71&lt;=0,0,E71*$E$7/12)</f>
        <v/>
      </c>
      <c r="AU72">
        <f>IF(E71&lt;=0,0,MIN(E71+AT72,$F$7+AS72))</f>
        <v/>
      </c>
      <c r="AV72">
        <f>IF(E71&lt;=0,AS72,MAX(0,$F$7+AS72-E71-AT72))</f>
        <v/>
      </c>
      <c r="AW72">
        <f>IF(F71&lt;=0,0,F71*$E$8/12)</f>
        <v/>
      </c>
      <c r="AX72">
        <f>IF(F71&lt;=0,0,MIN(F71+AW72,$F$8+AV72))</f>
        <v/>
      </c>
      <c r="AY72">
        <f>IF(F71&lt;=0,AV72,MAX(0,$F$8+AV72-F71-AW72))</f>
        <v/>
      </c>
      <c r="AZ72">
        <f>IF(G71&lt;=0,0,G71*$E$9/12)</f>
        <v/>
      </c>
      <c r="BA72">
        <f>IF(G71&lt;=0,0,MIN(G71+AZ72,$F$9+AY72))</f>
        <v/>
      </c>
      <c r="BB72">
        <f>IF(G71&lt;=0,AY72,MAX(0,$F$9+AY72-G71-AZ72))</f>
        <v/>
      </c>
      <c r="BC72">
        <f>IF(H71&lt;=0,0,H71*$E$10/12)</f>
        <v/>
      </c>
      <c r="BD72">
        <f>IF(H71&lt;=0,0,MIN(H71+BC72,$F$10+BB72))</f>
        <v/>
      </c>
      <c r="BE72">
        <f>IF(H71&lt;=0,BB72,MAX(0,$F$10+BB72-H71-BC72))</f>
        <v/>
      </c>
      <c r="BF72">
        <f>IF(I71&lt;=0,0,I71*$E$11/12)</f>
        <v/>
      </c>
      <c r="BG72">
        <f>IF(I71&lt;=0,0,MIN(I71+BF72,$F$11+BE72))</f>
        <v/>
      </c>
      <c r="BH72">
        <f>IF(I71&lt;=0,BE72,MAX(0,$F$11+BE72-I71-BF72))</f>
        <v/>
      </c>
      <c r="BI72">
        <f>IF(J71&lt;=0,0,J71*$E$12/12)</f>
        <v/>
      </c>
      <c r="BJ72">
        <f>IF(J71&lt;=0,0,MIN(J71+BI72,$F$12+BH72))</f>
        <v/>
      </c>
      <c r="BK72">
        <f>IF(J71&lt;=0,BH72,MAX(0,$F$12+BH72-J71-BI72))</f>
        <v/>
      </c>
      <c r="BL72">
        <f>IF(K71&lt;=0,0,K71*$E$13/12)</f>
        <v/>
      </c>
      <c r="BM72">
        <f>IF(K71&lt;=0,0,MIN(K71+BL72,$F$13+BK72))</f>
        <v/>
      </c>
      <c r="BN72">
        <f>IF(K71&lt;=0,BK72,MAX(0,$F$13+BK72-K71-BL72))</f>
        <v/>
      </c>
      <c r="BO72">
        <f>IF(L71&lt;=0,0,L71*$E$14/12)</f>
        <v/>
      </c>
      <c r="BP72">
        <f>IF(L71&lt;=0,0,MIN(L71+BO72,$F$14+BN72))</f>
        <v/>
      </c>
      <c r="BQ72">
        <f>IF(L71&lt;=0,BN72,MAX(0,$F$14+BN72-L71-BO72))</f>
        <v/>
      </c>
      <c r="BR72">
        <f>IF(M71&lt;=0,0,M71*$E$15/12)</f>
        <v/>
      </c>
      <c r="BS72">
        <f>IF(M71&lt;=0,0,MIN(M71+BR72,$F$15+BQ72))</f>
        <v/>
      </c>
      <c r="BT72">
        <f>IF(M71&lt;=0,BQ72,MAX(0,$F$15+BQ72-M71-BR72))</f>
        <v/>
      </c>
      <c r="BU72">
        <f>IF(N71&lt;=0,0,N71*$E$16/12)</f>
        <v/>
      </c>
      <c r="BV72">
        <f>IF(N71&lt;=0,0,MIN(N71+BU72,$F$16+BT72))</f>
        <v/>
      </c>
      <c r="BW72">
        <f>IF(N71&lt;=0,BT72,MAX(0,$F$16+BT72-N71-BU72))</f>
        <v/>
      </c>
      <c r="BX72">
        <f>IF(O71&lt;=0,0,O71*$E$17/12)</f>
        <v/>
      </c>
      <c r="BY72">
        <f>IF(O71&lt;=0,0,MIN(O71+BX72,$F$17+BW72))</f>
        <v/>
      </c>
      <c r="BZ72">
        <f>IF(O71&lt;=0,BW72,MAX(0,$F$17+BW72-O71-BX72))</f>
        <v/>
      </c>
      <c r="CA72">
        <f>IF(P71&lt;=0,0,P71*$E$18/12)</f>
        <v/>
      </c>
      <c r="CB72">
        <f>IF(P71&lt;=0,0,MIN(P71+CA72,$F$18+BZ72))</f>
        <v/>
      </c>
      <c r="CC72">
        <f>IF(P71&lt;=0,BZ72,MAX(0,$F$18+BZ72-P71-CA72))</f>
        <v/>
      </c>
      <c r="CD72">
        <f>IF(Q71&lt;=0,0,Q71*$E$19/12)</f>
        <v/>
      </c>
      <c r="CE72">
        <f>IF(Q71&lt;=0,0,MIN(Q71+CD72,$F$19+CC72))</f>
        <v/>
      </c>
      <c r="CF72">
        <f>IF(Q71&lt;=0,CC72,MAX(0,$F$19+CC72-Q71-CD72))</f>
        <v/>
      </c>
      <c r="CG72">
        <f>IF(R71&lt;=0,0,R71*$E$20/12)</f>
        <v/>
      </c>
      <c r="CH72">
        <f>IF(R71&lt;=0,0,MIN(R71+CG72,$F$20+CF72))</f>
        <v/>
      </c>
      <c r="CI72">
        <f>IF(R71&lt;=0,CF72,MAX(0,$F$20+CF72-R71-CG72))</f>
        <v/>
      </c>
      <c r="CJ72">
        <f>IF(S71&lt;=0,0,S71*$E$21/12)</f>
        <v/>
      </c>
      <c r="CK72">
        <f>IF(S71&lt;=0,0,MIN(S71+CJ72,$F$21+CI72))</f>
        <v/>
      </c>
      <c r="CL72">
        <f>IF(S71&lt;=0,CI72,MAX(0,$F$21+CI72-S71-CJ72))</f>
        <v/>
      </c>
      <c r="CM72">
        <f>IF(T71&lt;=0,0,T71*$E$22/12)</f>
        <v/>
      </c>
      <c r="CN72">
        <f>IF(T71&lt;=0,0,MIN(T71+CM72,$F$22+CL72))</f>
        <v/>
      </c>
      <c r="CO72">
        <f>IF(T71&lt;=0,CL72,MAX(0,$F$22+CL72-T71-CM72))</f>
        <v/>
      </c>
      <c r="CP72">
        <f>IF(U71&lt;=0,0,U71*$E$23/12)</f>
        <v/>
      </c>
      <c r="CQ72">
        <f>IF(U71&lt;=0,0,MIN(U71+CP72,$F$23+CO72))</f>
        <v/>
      </c>
      <c r="CR72">
        <f>IF(U71&lt;=0,CO72,MAX(0,$F$23+CO72-U71-CP72))</f>
        <v/>
      </c>
      <c r="CS72">
        <f>IF(V71&lt;=0,0,V71*$E$24/12)</f>
        <v/>
      </c>
      <c r="CT72">
        <f>IF(V71&lt;=0,0,MIN(V71+CS72,$F$24+CR72))</f>
        <v/>
      </c>
      <c r="CU72">
        <f>IF(V71&lt;=0,CR72,MAX(0,$F$24+CR72-V71-CS72))</f>
        <v/>
      </c>
    </row>
    <row r="73">
      <c r="B73" s="39" t="n">
        <v>47</v>
      </c>
      <c r="C73" s="13">
        <f>IF(C72&lt;=0,0,MAX(0,C72+AN73-AO73))</f>
        <v/>
      </c>
      <c r="D73" s="13">
        <f>IF(D72&lt;=0,0,MAX(0,D72+AQ73-AR73))</f>
        <v/>
      </c>
      <c r="E73" s="13">
        <f>IF(E72&lt;=0,0,MAX(0,E72+AT73-AU73))</f>
        <v/>
      </c>
      <c r="F73" s="13">
        <f>IF(F72&lt;=0,0,MAX(0,F72+AW73-AX73))</f>
        <v/>
      </c>
      <c r="G73" s="13">
        <f>IF(G72&lt;=0,0,MAX(0,G72+AZ73-BA73))</f>
        <v/>
      </c>
      <c r="H73" s="13">
        <f>IF(H72&lt;=0,0,MAX(0,H72+BC73-BD73))</f>
        <v/>
      </c>
      <c r="I73" s="13">
        <f>IF(I72&lt;=0,0,MAX(0,I72+BF73-BG73))</f>
        <v/>
      </c>
      <c r="J73" s="13">
        <f>IF(J72&lt;=0,0,MAX(0,J72+BI73-BJ73))</f>
        <v/>
      </c>
      <c r="K73" s="13">
        <f>IF(K72&lt;=0,0,MAX(0,K72+BL73-BM73))</f>
        <v/>
      </c>
      <c r="L73" s="13">
        <f>IF(L72&lt;=0,0,MAX(0,L72+BO73-BP73))</f>
        <v/>
      </c>
      <c r="M73" s="13">
        <f>IF(M72&lt;=0,0,MAX(0,M72+BR73-BS73))</f>
        <v/>
      </c>
      <c r="N73" s="13">
        <f>IF(N72&lt;=0,0,MAX(0,N72+BU73-BV73))</f>
        <v/>
      </c>
      <c r="O73" s="13">
        <f>IF(O72&lt;=0,0,MAX(0,O72+BX73-BY73))</f>
        <v/>
      </c>
      <c r="P73" s="13">
        <f>IF(P72&lt;=0,0,MAX(0,P72+CA73-CB73))</f>
        <v/>
      </c>
      <c r="Q73" s="13">
        <f>IF(Q72&lt;=0,0,MAX(0,Q72+CD73-CE73))</f>
        <v/>
      </c>
      <c r="R73" s="13">
        <f>IF(R72&lt;=0,0,MAX(0,R72+CG73-CH73))</f>
        <v/>
      </c>
      <c r="S73" s="13">
        <f>IF(S72&lt;=0,0,MAX(0,S72+CJ73-CK73))</f>
        <v/>
      </c>
      <c r="T73" s="13">
        <f>IF(T72&lt;=0,0,MAX(0,T72+CM73-CN73))</f>
        <v/>
      </c>
      <c r="U73" s="13">
        <f>IF(U72&lt;=0,0,MAX(0,U72+CP73-CQ73))</f>
        <v/>
      </c>
      <c r="V73" s="13">
        <f>IF(V72&lt;=0,0,MAX(0,V72+CS73-CT73))</f>
        <v/>
      </c>
      <c r="W73" s="13">
        <f>AO73+AR73+AU73+AX73+BA73+BD73+BG73+BJ73+BM73+BP73+BS73+BV73+BY73+CB73+CE73+CH73+CK73+CN73+CQ73+CT73</f>
        <v/>
      </c>
      <c r="X73" s="13">
        <f>AN73+AQ73+AT73+AW73+AZ73+BC73+BF73+BI73+BL73+BO73+BR73+BU73+BX73+CA73+CD73+CG73+CJ73+CM73+CP73+CS73</f>
        <v/>
      </c>
      <c r="Y73" s="27">
        <f>C73+D73+E73+F73+G73+H73+I73+J73+K73+L73+M73+N73+O73+P73+Q73+R73+S73+T73+U73+V73</f>
        <v/>
      </c>
      <c r="AN73">
        <f>IF(C72&lt;=0,0,C72*$E$5/12)</f>
        <v/>
      </c>
      <c r="AO73">
        <f>IF(C72&lt;=0,0,MIN(C72+AN73,$F$5+(Dashboard!$C$11+IF(C72&lt;=0,$F$5,0)+IF(D72&lt;=0,$F$6,0)+IF(E72&lt;=0,$F$7,0)+IF(F72&lt;=0,$F$8,0)+IF(G72&lt;=0,$F$9,0)+IF(H72&lt;=0,$F$10,0)+IF(I72&lt;=0,$F$11,0)+IF(J72&lt;=0,$F$12,0)+IF(K72&lt;=0,$F$13,0)+IF(L72&lt;=0,$F$14,0)+IF(M72&lt;=0,$F$15,0)+IF(N72&lt;=0,$F$16,0)+IF(O72&lt;=0,$F$17,0)+IF(P72&lt;=0,$F$18,0)+IF(Q72&lt;=0,$F$19,0)+IF(R72&lt;=0,$F$20,0)+IF(S72&lt;=0,$F$21,0)+IF(T72&lt;=0,$F$22,0)+IF(U72&lt;=0,$F$23,0)+IF(V72&lt;=0,$F$24,0))))</f>
        <v/>
      </c>
      <c r="AP73">
        <f>IF(C72&lt;=0,(Dashboard!$C$11+IF(C72&lt;=0,$F$5,0)+IF(D72&lt;=0,$F$6,0)+IF(E72&lt;=0,$F$7,0)+IF(F72&lt;=0,$F$8,0)+IF(G72&lt;=0,$F$9,0)+IF(H72&lt;=0,$F$10,0)+IF(I72&lt;=0,$F$11,0)+IF(J72&lt;=0,$F$12,0)+IF(K72&lt;=0,$F$13,0)+IF(L72&lt;=0,$F$14,0)+IF(M72&lt;=0,$F$15,0)+IF(N72&lt;=0,$F$16,0)+IF(O72&lt;=0,$F$17,0)+IF(P72&lt;=0,$F$18,0)+IF(Q72&lt;=0,$F$19,0)+IF(R72&lt;=0,$F$20,0)+IF(S72&lt;=0,$F$21,0)+IF(T72&lt;=0,$F$22,0)+IF(U72&lt;=0,$F$23,0)+IF(V72&lt;=0,$F$24,0)),MAX(0,$F$5+(Dashboard!$C$11+IF(C72&lt;=0,$F$5,0)+IF(D72&lt;=0,$F$6,0)+IF(E72&lt;=0,$F$7,0)+IF(F72&lt;=0,$F$8,0)+IF(G72&lt;=0,$F$9,0)+IF(H72&lt;=0,$F$10,0)+IF(I72&lt;=0,$F$11,0)+IF(J72&lt;=0,$F$12,0)+IF(K72&lt;=0,$F$13,0)+IF(L72&lt;=0,$F$14,0)+IF(M72&lt;=0,$F$15,0)+IF(N72&lt;=0,$F$16,0)+IF(O72&lt;=0,$F$17,0)+IF(P72&lt;=0,$F$18,0)+IF(Q72&lt;=0,$F$19,0)+IF(R72&lt;=0,$F$20,0)+IF(S72&lt;=0,$F$21,0)+IF(T72&lt;=0,$F$22,0)+IF(U72&lt;=0,$F$23,0)+IF(V72&lt;=0,$F$24,0))-C72-AN73))</f>
        <v/>
      </c>
      <c r="AQ73">
        <f>IF(D72&lt;=0,0,D72*$E$6/12)</f>
        <v/>
      </c>
      <c r="AR73">
        <f>IF(D72&lt;=0,0,MIN(D72+AQ73,$F$6+AP73))</f>
        <v/>
      </c>
      <c r="AS73">
        <f>IF(D72&lt;=0,AP73,MAX(0,$F$6+AP73-D72-AQ73))</f>
        <v/>
      </c>
      <c r="AT73">
        <f>IF(E72&lt;=0,0,E72*$E$7/12)</f>
        <v/>
      </c>
      <c r="AU73">
        <f>IF(E72&lt;=0,0,MIN(E72+AT73,$F$7+AS73))</f>
        <v/>
      </c>
      <c r="AV73">
        <f>IF(E72&lt;=0,AS73,MAX(0,$F$7+AS73-E72-AT73))</f>
        <v/>
      </c>
      <c r="AW73">
        <f>IF(F72&lt;=0,0,F72*$E$8/12)</f>
        <v/>
      </c>
      <c r="AX73">
        <f>IF(F72&lt;=0,0,MIN(F72+AW73,$F$8+AV73))</f>
        <v/>
      </c>
      <c r="AY73">
        <f>IF(F72&lt;=0,AV73,MAX(0,$F$8+AV73-F72-AW73))</f>
        <v/>
      </c>
      <c r="AZ73">
        <f>IF(G72&lt;=0,0,G72*$E$9/12)</f>
        <v/>
      </c>
      <c r="BA73">
        <f>IF(G72&lt;=0,0,MIN(G72+AZ73,$F$9+AY73))</f>
        <v/>
      </c>
      <c r="BB73">
        <f>IF(G72&lt;=0,AY73,MAX(0,$F$9+AY73-G72-AZ73))</f>
        <v/>
      </c>
      <c r="BC73">
        <f>IF(H72&lt;=0,0,H72*$E$10/12)</f>
        <v/>
      </c>
      <c r="BD73">
        <f>IF(H72&lt;=0,0,MIN(H72+BC73,$F$10+BB73))</f>
        <v/>
      </c>
      <c r="BE73">
        <f>IF(H72&lt;=0,BB73,MAX(0,$F$10+BB73-H72-BC73))</f>
        <v/>
      </c>
      <c r="BF73">
        <f>IF(I72&lt;=0,0,I72*$E$11/12)</f>
        <v/>
      </c>
      <c r="BG73">
        <f>IF(I72&lt;=0,0,MIN(I72+BF73,$F$11+BE73))</f>
        <v/>
      </c>
      <c r="BH73">
        <f>IF(I72&lt;=0,BE73,MAX(0,$F$11+BE73-I72-BF73))</f>
        <v/>
      </c>
      <c r="BI73">
        <f>IF(J72&lt;=0,0,J72*$E$12/12)</f>
        <v/>
      </c>
      <c r="BJ73">
        <f>IF(J72&lt;=0,0,MIN(J72+BI73,$F$12+BH73))</f>
        <v/>
      </c>
      <c r="BK73">
        <f>IF(J72&lt;=0,BH73,MAX(0,$F$12+BH73-J72-BI73))</f>
        <v/>
      </c>
      <c r="BL73">
        <f>IF(K72&lt;=0,0,K72*$E$13/12)</f>
        <v/>
      </c>
      <c r="BM73">
        <f>IF(K72&lt;=0,0,MIN(K72+BL73,$F$13+BK73))</f>
        <v/>
      </c>
      <c r="BN73">
        <f>IF(K72&lt;=0,BK73,MAX(0,$F$13+BK73-K72-BL73))</f>
        <v/>
      </c>
      <c r="BO73">
        <f>IF(L72&lt;=0,0,L72*$E$14/12)</f>
        <v/>
      </c>
      <c r="BP73">
        <f>IF(L72&lt;=0,0,MIN(L72+BO73,$F$14+BN73))</f>
        <v/>
      </c>
      <c r="BQ73">
        <f>IF(L72&lt;=0,BN73,MAX(0,$F$14+BN73-L72-BO73))</f>
        <v/>
      </c>
      <c r="BR73">
        <f>IF(M72&lt;=0,0,M72*$E$15/12)</f>
        <v/>
      </c>
      <c r="BS73">
        <f>IF(M72&lt;=0,0,MIN(M72+BR73,$F$15+BQ73))</f>
        <v/>
      </c>
      <c r="BT73">
        <f>IF(M72&lt;=0,BQ73,MAX(0,$F$15+BQ73-M72-BR73))</f>
        <v/>
      </c>
      <c r="BU73">
        <f>IF(N72&lt;=0,0,N72*$E$16/12)</f>
        <v/>
      </c>
      <c r="BV73">
        <f>IF(N72&lt;=0,0,MIN(N72+BU73,$F$16+BT73))</f>
        <v/>
      </c>
      <c r="BW73">
        <f>IF(N72&lt;=0,BT73,MAX(0,$F$16+BT73-N72-BU73))</f>
        <v/>
      </c>
      <c r="BX73">
        <f>IF(O72&lt;=0,0,O72*$E$17/12)</f>
        <v/>
      </c>
      <c r="BY73">
        <f>IF(O72&lt;=0,0,MIN(O72+BX73,$F$17+BW73))</f>
        <v/>
      </c>
      <c r="BZ73">
        <f>IF(O72&lt;=0,BW73,MAX(0,$F$17+BW73-O72-BX73))</f>
        <v/>
      </c>
      <c r="CA73">
        <f>IF(P72&lt;=0,0,P72*$E$18/12)</f>
        <v/>
      </c>
      <c r="CB73">
        <f>IF(P72&lt;=0,0,MIN(P72+CA73,$F$18+BZ73))</f>
        <v/>
      </c>
      <c r="CC73">
        <f>IF(P72&lt;=0,BZ73,MAX(0,$F$18+BZ73-P72-CA73))</f>
        <v/>
      </c>
      <c r="CD73">
        <f>IF(Q72&lt;=0,0,Q72*$E$19/12)</f>
        <v/>
      </c>
      <c r="CE73">
        <f>IF(Q72&lt;=0,0,MIN(Q72+CD73,$F$19+CC73))</f>
        <v/>
      </c>
      <c r="CF73">
        <f>IF(Q72&lt;=0,CC73,MAX(0,$F$19+CC73-Q72-CD73))</f>
        <v/>
      </c>
      <c r="CG73">
        <f>IF(R72&lt;=0,0,R72*$E$20/12)</f>
        <v/>
      </c>
      <c r="CH73">
        <f>IF(R72&lt;=0,0,MIN(R72+CG73,$F$20+CF73))</f>
        <v/>
      </c>
      <c r="CI73">
        <f>IF(R72&lt;=0,CF73,MAX(0,$F$20+CF73-R72-CG73))</f>
        <v/>
      </c>
      <c r="CJ73">
        <f>IF(S72&lt;=0,0,S72*$E$21/12)</f>
        <v/>
      </c>
      <c r="CK73">
        <f>IF(S72&lt;=0,0,MIN(S72+CJ73,$F$21+CI73))</f>
        <v/>
      </c>
      <c r="CL73">
        <f>IF(S72&lt;=0,CI73,MAX(0,$F$21+CI73-S72-CJ73))</f>
        <v/>
      </c>
      <c r="CM73">
        <f>IF(T72&lt;=0,0,T72*$E$22/12)</f>
        <v/>
      </c>
      <c r="CN73">
        <f>IF(T72&lt;=0,0,MIN(T72+CM73,$F$22+CL73))</f>
        <v/>
      </c>
      <c r="CO73">
        <f>IF(T72&lt;=0,CL73,MAX(0,$F$22+CL73-T72-CM73))</f>
        <v/>
      </c>
      <c r="CP73">
        <f>IF(U72&lt;=0,0,U72*$E$23/12)</f>
        <v/>
      </c>
      <c r="CQ73">
        <f>IF(U72&lt;=0,0,MIN(U72+CP73,$F$23+CO73))</f>
        <v/>
      </c>
      <c r="CR73">
        <f>IF(U72&lt;=0,CO73,MAX(0,$F$23+CO73-U72-CP73))</f>
        <v/>
      </c>
      <c r="CS73">
        <f>IF(V72&lt;=0,0,V72*$E$24/12)</f>
        <v/>
      </c>
      <c r="CT73">
        <f>IF(V72&lt;=0,0,MIN(V72+CS73,$F$24+CR73))</f>
        <v/>
      </c>
      <c r="CU73">
        <f>IF(V72&lt;=0,CR73,MAX(0,$F$24+CR73-V72-CS73))</f>
        <v/>
      </c>
    </row>
    <row r="74">
      <c r="B74" s="39" t="n">
        <v>48</v>
      </c>
      <c r="C74" s="13">
        <f>IF(C73&lt;=0,0,MAX(0,C73+AN74-AO74))</f>
        <v/>
      </c>
      <c r="D74" s="13">
        <f>IF(D73&lt;=0,0,MAX(0,D73+AQ74-AR74))</f>
        <v/>
      </c>
      <c r="E74" s="13">
        <f>IF(E73&lt;=0,0,MAX(0,E73+AT74-AU74))</f>
        <v/>
      </c>
      <c r="F74" s="13">
        <f>IF(F73&lt;=0,0,MAX(0,F73+AW74-AX74))</f>
        <v/>
      </c>
      <c r="G74" s="13">
        <f>IF(G73&lt;=0,0,MAX(0,G73+AZ74-BA74))</f>
        <v/>
      </c>
      <c r="H74" s="13">
        <f>IF(H73&lt;=0,0,MAX(0,H73+BC74-BD74))</f>
        <v/>
      </c>
      <c r="I74" s="13">
        <f>IF(I73&lt;=0,0,MAX(0,I73+BF74-BG74))</f>
        <v/>
      </c>
      <c r="J74" s="13">
        <f>IF(J73&lt;=0,0,MAX(0,J73+BI74-BJ74))</f>
        <v/>
      </c>
      <c r="K74" s="13">
        <f>IF(K73&lt;=0,0,MAX(0,K73+BL74-BM74))</f>
        <v/>
      </c>
      <c r="L74" s="13">
        <f>IF(L73&lt;=0,0,MAX(0,L73+BO74-BP74))</f>
        <v/>
      </c>
      <c r="M74" s="13">
        <f>IF(M73&lt;=0,0,MAX(0,M73+BR74-BS74))</f>
        <v/>
      </c>
      <c r="N74" s="13">
        <f>IF(N73&lt;=0,0,MAX(0,N73+BU74-BV74))</f>
        <v/>
      </c>
      <c r="O74" s="13">
        <f>IF(O73&lt;=0,0,MAX(0,O73+BX74-BY74))</f>
        <v/>
      </c>
      <c r="P74" s="13">
        <f>IF(P73&lt;=0,0,MAX(0,P73+CA74-CB74))</f>
        <v/>
      </c>
      <c r="Q74" s="13">
        <f>IF(Q73&lt;=0,0,MAX(0,Q73+CD74-CE74))</f>
        <v/>
      </c>
      <c r="R74" s="13">
        <f>IF(R73&lt;=0,0,MAX(0,R73+CG74-CH74))</f>
        <v/>
      </c>
      <c r="S74" s="13">
        <f>IF(S73&lt;=0,0,MAX(0,S73+CJ74-CK74))</f>
        <v/>
      </c>
      <c r="T74" s="13">
        <f>IF(T73&lt;=0,0,MAX(0,T73+CM74-CN74))</f>
        <v/>
      </c>
      <c r="U74" s="13">
        <f>IF(U73&lt;=0,0,MAX(0,U73+CP74-CQ74))</f>
        <v/>
      </c>
      <c r="V74" s="13">
        <f>IF(V73&lt;=0,0,MAX(0,V73+CS74-CT74))</f>
        <v/>
      </c>
      <c r="W74" s="13">
        <f>AO74+AR74+AU74+AX74+BA74+BD74+BG74+BJ74+BM74+BP74+BS74+BV74+BY74+CB74+CE74+CH74+CK74+CN74+CQ74+CT74</f>
        <v/>
      </c>
      <c r="X74" s="13">
        <f>AN74+AQ74+AT74+AW74+AZ74+BC74+BF74+BI74+BL74+BO74+BR74+BU74+BX74+CA74+CD74+CG74+CJ74+CM74+CP74+CS74</f>
        <v/>
      </c>
      <c r="Y74" s="27">
        <f>C74+D74+E74+F74+G74+H74+I74+J74+K74+L74+M74+N74+O74+P74+Q74+R74+S74+T74+U74+V74</f>
        <v/>
      </c>
      <c r="AN74">
        <f>IF(C73&lt;=0,0,C73*$E$5/12)</f>
        <v/>
      </c>
      <c r="AO74">
        <f>IF(C73&lt;=0,0,MIN(C73+AN74,$F$5+(Dashboard!$C$11+IF(C73&lt;=0,$F$5,0)+IF(D73&lt;=0,$F$6,0)+IF(E73&lt;=0,$F$7,0)+IF(F73&lt;=0,$F$8,0)+IF(G73&lt;=0,$F$9,0)+IF(H73&lt;=0,$F$10,0)+IF(I73&lt;=0,$F$11,0)+IF(J73&lt;=0,$F$12,0)+IF(K73&lt;=0,$F$13,0)+IF(L73&lt;=0,$F$14,0)+IF(M73&lt;=0,$F$15,0)+IF(N73&lt;=0,$F$16,0)+IF(O73&lt;=0,$F$17,0)+IF(P73&lt;=0,$F$18,0)+IF(Q73&lt;=0,$F$19,0)+IF(R73&lt;=0,$F$20,0)+IF(S73&lt;=0,$F$21,0)+IF(T73&lt;=0,$F$22,0)+IF(U73&lt;=0,$F$23,0)+IF(V73&lt;=0,$F$24,0))))</f>
        <v/>
      </c>
      <c r="AP74">
        <f>IF(C73&lt;=0,(Dashboard!$C$11+IF(C73&lt;=0,$F$5,0)+IF(D73&lt;=0,$F$6,0)+IF(E73&lt;=0,$F$7,0)+IF(F73&lt;=0,$F$8,0)+IF(G73&lt;=0,$F$9,0)+IF(H73&lt;=0,$F$10,0)+IF(I73&lt;=0,$F$11,0)+IF(J73&lt;=0,$F$12,0)+IF(K73&lt;=0,$F$13,0)+IF(L73&lt;=0,$F$14,0)+IF(M73&lt;=0,$F$15,0)+IF(N73&lt;=0,$F$16,0)+IF(O73&lt;=0,$F$17,0)+IF(P73&lt;=0,$F$18,0)+IF(Q73&lt;=0,$F$19,0)+IF(R73&lt;=0,$F$20,0)+IF(S73&lt;=0,$F$21,0)+IF(T73&lt;=0,$F$22,0)+IF(U73&lt;=0,$F$23,0)+IF(V73&lt;=0,$F$24,0)),MAX(0,$F$5+(Dashboard!$C$11+IF(C73&lt;=0,$F$5,0)+IF(D73&lt;=0,$F$6,0)+IF(E73&lt;=0,$F$7,0)+IF(F73&lt;=0,$F$8,0)+IF(G73&lt;=0,$F$9,0)+IF(H73&lt;=0,$F$10,0)+IF(I73&lt;=0,$F$11,0)+IF(J73&lt;=0,$F$12,0)+IF(K73&lt;=0,$F$13,0)+IF(L73&lt;=0,$F$14,0)+IF(M73&lt;=0,$F$15,0)+IF(N73&lt;=0,$F$16,0)+IF(O73&lt;=0,$F$17,0)+IF(P73&lt;=0,$F$18,0)+IF(Q73&lt;=0,$F$19,0)+IF(R73&lt;=0,$F$20,0)+IF(S73&lt;=0,$F$21,0)+IF(T73&lt;=0,$F$22,0)+IF(U73&lt;=0,$F$23,0)+IF(V73&lt;=0,$F$24,0))-C73-AN74))</f>
        <v/>
      </c>
      <c r="AQ74">
        <f>IF(D73&lt;=0,0,D73*$E$6/12)</f>
        <v/>
      </c>
      <c r="AR74">
        <f>IF(D73&lt;=0,0,MIN(D73+AQ74,$F$6+AP74))</f>
        <v/>
      </c>
      <c r="AS74">
        <f>IF(D73&lt;=0,AP74,MAX(0,$F$6+AP74-D73-AQ74))</f>
        <v/>
      </c>
      <c r="AT74">
        <f>IF(E73&lt;=0,0,E73*$E$7/12)</f>
        <v/>
      </c>
      <c r="AU74">
        <f>IF(E73&lt;=0,0,MIN(E73+AT74,$F$7+AS74))</f>
        <v/>
      </c>
      <c r="AV74">
        <f>IF(E73&lt;=0,AS74,MAX(0,$F$7+AS74-E73-AT74))</f>
        <v/>
      </c>
      <c r="AW74">
        <f>IF(F73&lt;=0,0,F73*$E$8/12)</f>
        <v/>
      </c>
      <c r="AX74">
        <f>IF(F73&lt;=0,0,MIN(F73+AW74,$F$8+AV74))</f>
        <v/>
      </c>
      <c r="AY74">
        <f>IF(F73&lt;=0,AV74,MAX(0,$F$8+AV74-F73-AW74))</f>
        <v/>
      </c>
      <c r="AZ74">
        <f>IF(G73&lt;=0,0,G73*$E$9/12)</f>
        <v/>
      </c>
      <c r="BA74">
        <f>IF(G73&lt;=0,0,MIN(G73+AZ74,$F$9+AY74))</f>
        <v/>
      </c>
      <c r="BB74">
        <f>IF(G73&lt;=0,AY74,MAX(0,$F$9+AY74-G73-AZ74))</f>
        <v/>
      </c>
      <c r="BC74">
        <f>IF(H73&lt;=0,0,H73*$E$10/12)</f>
        <v/>
      </c>
      <c r="BD74">
        <f>IF(H73&lt;=0,0,MIN(H73+BC74,$F$10+BB74))</f>
        <v/>
      </c>
      <c r="BE74">
        <f>IF(H73&lt;=0,BB74,MAX(0,$F$10+BB74-H73-BC74))</f>
        <v/>
      </c>
      <c r="BF74">
        <f>IF(I73&lt;=0,0,I73*$E$11/12)</f>
        <v/>
      </c>
      <c r="BG74">
        <f>IF(I73&lt;=0,0,MIN(I73+BF74,$F$11+BE74))</f>
        <v/>
      </c>
      <c r="BH74">
        <f>IF(I73&lt;=0,BE74,MAX(0,$F$11+BE74-I73-BF74))</f>
        <v/>
      </c>
      <c r="BI74">
        <f>IF(J73&lt;=0,0,J73*$E$12/12)</f>
        <v/>
      </c>
      <c r="BJ74">
        <f>IF(J73&lt;=0,0,MIN(J73+BI74,$F$12+BH74))</f>
        <v/>
      </c>
      <c r="BK74">
        <f>IF(J73&lt;=0,BH74,MAX(0,$F$12+BH74-J73-BI74))</f>
        <v/>
      </c>
      <c r="BL74">
        <f>IF(K73&lt;=0,0,K73*$E$13/12)</f>
        <v/>
      </c>
      <c r="BM74">
        <f>IF(K73&lt;=0,0,MIN(K73+BL74,$F$13+BK74))</f>
        <v/>
      </c>
      <c r="BN74">
        <f>IF(K73&lt;=0,BK74,MAX(0,$F$13+BK74-K73-BL74))</f>
        <v/>
      </c>
      <c r="BO74">
        <f>IF(L73&lt;=0,0,L73*$E$14/12)</f>
        <v/>
      </c>
      <c r="BP74">
        <f>IF(L73&lt;=0,0,MIN(L73+BO74,$F$14+BN74))</f>
        <v/>
      </c>
      <c r="BQ74">
        <f>IF(L73&lt;=0,BN74,MAX(0,$F$14+BN74-L73-BO74))</f>
        <v/>
      </c>
      <c r="BR74">
        <f>IF(M73&lt;=0,0,M73*$E$15/12)</f>
        <v/>
      </c>
      <c r="BS74">
        <f>IF(M73&lt;=0,0,MIN(M73+BR74,$F$15+BQ74))</f>
        <v/>
      </c>
      <c r="BT74">
        <f>IF(M73&lt;=0,BQ74,MAX(0,$F$15+BQ74-M73-BR74))</f>
        <v/>
      </c>
      <c r="BU74">
        <f>IF(N73&lt;=0,0,N73*$E$16/12)</f>
        <v/>
      </c>
      <c r="BV74">
        <f>IF(N73&lt;=0,0,MIN(N73+BU74,$F$16+BT74))</f>
        <v/>
      </c>
      <c r="BW74">
        <f>IF(N73&lt;=0,BT74,MAX(0,$F$16+BT74-N73-BU74))</f>
        <v/>
      </c>
      <c r="BX74">
        <f>IF(O73&lt;=0,0,O73*$E$17/12)</f>
        <v/>
      </c>
      <c r="BY74">
        <f>IF(O73&lt;=0,0,MIN(O73+BX74,$F$17+BW74))</f>
        <v/>
      </c>
      <c r="BZ74">
        <f>IF(O73&lt;=0,BW74,MAX(0,$F$17+BW74-O73-BX74))</f>
        <v/>
      </c>
      <c r="CA74">
        <f>IF(P73&lt;=0,0,P73*$E$18/12)</f>
        <v/>
      </c>
      <c r="CB74">
        <f>IF(P73&lt;=0,0,MIN(P73+CA74,$F$18+BZ74))</f>
        <v/>
      </c>
      <c r="CC74">
        <f>IF(P73&lt;=0,BZ74,MAX(0,$F$18+BZ74-P73-CA74))</f>
        <v/>
      </c>
      <c r="CD74">
        <f>IF(Q73&lt;=0,0,Q73*$E$19/12)</f>
        <v/>
      </c>
      <c r="CE74">
        <f>IF(Q73&lt;=0,0,MIN(Q73+CD74,$F$19+CC74))</f>
        <v/>
      </c>
      <c r="CF74">
        <f>IF(Q73&lt;=0,CC74,MAX(0,$F$19+CC74-Q73-CD74))</f>
        <v/>
      </c>
      <c r="CG74">
        <f>IF(R73&lt;=0,0,R73*$E$20/12)</f>
        <v/>
      </c>
      <c r="CH74">
        <f>IF(R73&lt;=0,0,MIN(R73+CG74,$F$20+CF74))</f>
        <v/>
      </c>
      <c r="CI74">
        <f>IF(R73&lt;=0,CF74,MAX(0,$F$20+CF74-R73-CG74))</f>
        <v/>
      </c>
      <c r="CJ74">
        <f>IF(S73&lt;=0,0,S73*$E$21/12)</f>
        <v/>
      </c>
      <c r="CK74">
        <f>IF(S73&lt;=0,0,MIN(S73+CJ74,$F$21+CI74))</f>
        <v/>
      </c>
      <c r="CL74">
        <f>IF(S73&lt;=0,CI74,MAX(0,$F$21+CI74-S73-CJ74))</f>
        <v/>
      </c>
      <c r="CM74">
        <f>IF(T73&lt;=0,0,T73*$E$22/12)</f>
        <v/>
      </c>
      <c r="CN74">
        <f>IF(T73&lt;=0,0,MIN(T73+CM74,$F$22+CL74))</f>
        <v/>
      </c>
      <c r="CO74">
        <f>IF(T73&lt;=0,CL74,MAX(0,$F$22+CL74-T73-CM74))</f>
        <v/>
      </c>
      <c r="CP74">
        <f>IF(U73&lt;=0,0,U73*$E$23/12)</f>
        <v/>
      </c>
      <c r="CQ74">
        <f>IF(U73&lt;=0,0,MIN(U73+CP74,$F$23+CO74))</f>
        <v/>
      </c>
      <c r="CR74">
        <f>IF(U73&lt;=0,CO74,MAX(0,$F$23+CO74-U73-CP74))</f>
        <v/>
      </c>
      <c r="CS74">
        <f>IF(V73&lt;=0,0,V73*$E$24/12)</f>
        <v/>
      </c>
      <c r="CT74">
        <f>IF(V73&lt;=0,0,MIN(V73+CS74,$F$24+CR74))</f>
        <v/>
      </c>
      <c r="CU74">
        <f>IF(V73&lt;=0,CR74,MAX(0,$F$24+CR74-V73-CS74))</f>
        <v/>
      </c>
    </row>
    <row r="75">
      <c r="B75" s="39" t="n">
        <v>49</v>
      </c>
      <c r="C75" s="13">
        <f>IF(C74&lt;=0,0,MAX(0,C74+AN75-AO75))</f>
        <v/>
      </c>
      <c r="D75" s="13">
        <f>IF(D74&lt;=0,0,MAX(0,D74+AQ75-AR75))</f>
        <v/>
      </c>
      <c r="E75" s="13">
        <f>IF(E74&lt;=0,0,MAX(0,E74+AT75-AU75))</f>
        <v/>
      </c>
      <c r="F75" s="13">
        <f>IF(F74&lt;=0,0,MAX(0,F74+AW75-AX75))</f>
        <v/>
      </c>
      <c r="G75" s="13">
        <f>IF(G74&lt;=0,0,MAX(0,G74+AZ75-BA75))</f>
        <v/>
      </c>
      <c r="H75" s="13">
        <f>IF(H74&lt;=0,0,MAX(0,H74+BC75-BD75))</f>
        <v/>
      </c>
      <c r="I75" s="13">
        <f>IF(I74&lt;=0,0,MAX(0,I74+BF75-BG75))</f>
        <v/>
      </c>
      <c r="J75" s="13">
        <f>IF(J74&lt;=0,0,MAX(0,J74+BI75-BJ75))</f>
        <v/>
      </c>
      <c r="K75" s="13">
        <f>IF(K74&lt;=0,0,MAX(0,K74+BL75-BM75))</f>
        <v/>
      </c>
      <c r="L75" s="13">
        <f>IF(L74&lt;=0,0,MAX(0,L74+BO75-BP75))</f>
        <v/>
      </c>
      <c r="M75" s="13">
        <f>IF(M74&lt;=0,0,MAX(0,M74+BR75-BS75))</f>
        <v/>
      </c>
      <c r="N75" s="13">
        <f>IF(N74&lt;=0,0,MAX(0,N74+BU75-BV75))</f>
        <v/>
      </c>
      <c r="O75" s="13">
        <f>IF(O74&lt;=0,0,MAX(0,O74+BX75-BY75))</f>
        <v/>
      </c>
      <c r="P75" s="13">
        <f>IF(P74&lt;=0,0,MAX(0,P74+CA75-CB75))</f>
        <v/>
      </c>
      <c r="Q75" s="13">
        <f>IF(Q74&lt;=0,0,MAX(0,Q74+CD75-CE75))</f>
        <v/>
      </c>
      <c r="R75" s="13">
        <f>IF(R74&lt;=0,0,MAX(0,R74+CG75-CH75))</f>
        <v/>
      </c>
      <c r="S75" s="13">
        <f>IF(S74&lt;=0,0,MAX(0,S74+CJ75-CK75))</f>
        <v/>
      </c>
      <c r="T75" s="13">
        <f>IF(T74&lt;=0,0,MAX(0,T74+CM75-CN75))</f>
        <v/>
      </c>
      <c r="U75" s="13">
        <f>IF(U74&lt;=0,0,MAX(0,U74+CP75-CQ75))</f>
        <v/>
      </c>
      <c r="V75" s="13">
        <f>IF(V74&lt;=0,0,MAX(0,V74+CS75-CT75))</f>
        <v/>
      </c>
      <c r="W75" s="13">
        <f>AO75+AR75+AU75+AX75+BA75+BD75+BG75+BJ75+BM75+BP75+BS75+BV75+BY75+CB75+CE75+CH75+CK75+CN75+CQ75+CT75</f>
        <v/>
      </c>
      <c r="X75" s="13">
        <f>AN75+AQ75+AT75+AW75+AZ75+BC75+BF75+BI75+BL75+BO75+BR75+BU75+BX75+CA75+CD75+CG75+CJ75+CM75+CP75+CS75</f>
        <v/>
      </c>
      <c r="Y75" s="27">
        <f>C75+D75+E75+F75+G75+H75+I75+J75+K75+L75+M75+N75+O75+P75+Q75+R75+S75+T75+U75+V75</f>
        <v/>
      </c>
      <c r="AN75">
        <f>IF(C74&lt;=0,0,C74*$E$5/12)</f>
        <v/>
      </c>
      <c r="AO75">
        <f>IF(C74&lt;=0,0,MIN(C74+AN75,$F$5+(Dashboard!$C$11+IF(C74&lt;=0,$F$5,0)+IF(D74&lt;=0,$F$6,0)+IF(E74&lt;=0,$F$7,0)+IF(F74&lt;=0,$F$8,0)+IF(G74&lt;=0,$F$9,0)+IF(H74&lt;=0,$F$10,0)+IF(I74&lt;=0,$F$11,0)+IF(J74&lt;=0,$F$12,0)+IF(K74&lt;=0,$F$13,0)+IF(L74&lt;=0,$F$14,0)+IF(M74&lt;=0,$F$15,0)+IF(N74&lt;=0,$F$16,0)+IF(O74&lt;=0,$F$17,0)+IF(P74&lt;=0,$F$18,0)+IF(Q74&lt;=0,$F$19,0)+IF(R74&lt;=0,$F$20,0)+IF(S74&lt;=0,$F$21,0)+IF(T74&lt;=0,$F$22,0)+IF(U74&lt;=0,$F$23,0)+IF(V74&lt;=0,$F$24,0))))</f>
        <v/>
      </c>
      <c r="AP75">
        <f>IF(C74&lt;=0,(Dashboard!$C$11+IF(C74&lt;=0,$F$5,0)+IF(D74&lt;=0,$F$6,0)+IF(E74&lt;=0,$F$7,0)+IF(F74&lt;=0,$F$8,0)+IF(G74&lt;=0,$F$9,0)+IF(H74&lt;=0,$F$10,0)+IF(I74&lt;=0,$F$11,0)+IF(J74&lt;=0,$F$12,0)+IF(K74&lt;=0,$F$13,0)+IF(L74&lt;=0,$F$14,0)+IF(M74&lt;=0,$F$15,0)+IF(N74&lt;=0,$F$16,0)+IF(O74&lt;=0,$F$17,0)+IF(P74&lt;=0,$F$18,0)+IF(Q74&lt;=0,$F$19,0)+IF(R74&lt;=0,$F$20,0)+IF(S74&lt;=0,$F$21,0)+IF(T74&lt;=0,$F$22,0)+IF(U74&lt;=0,$F$23,0)+IF(V74&lt;=0,$F$24,0)),MAX(0,$F$5+(Dashboard!$C$11+IF(C74&lt;=0,$F$5,0)+IF(D74&lt;=0,$F$6,0)+IF(E74&lt;=0,$F$7,0)+IF(F74&lt;=0,$F$8,0)+IF(G74&lt;=0,$F$9,0)+IF(H74&lt;=0,$F$10,0)+IF(I74&lt;=0,$F$11,0)+IF(J74&lt;=0,$F$12,0)+IF(K74&lt;=0,$F$13,0)+IF(L74&lt;=0,$F$14,0)+IF(M74&lt;=0,$F$15,0)+IF(N74&lt;=0,$F$16,0)+IF(O74&lt;=0,$F$17,0)+IF(P74&lt;=0,$F$18,0)+IF(Q74&lt;=0,$F$19,0)+IF(R74&lt;=0,$F$20,0)+IF(S74&lt;=0,$F$21,0)+IF(T74&lt;=0,$F$22,0)+IF(U74&lt;=0,$F$23,0)+IF(V74&lt;=0,$F$24,0))-C74-AN75))</f>
        <v/>
      </c>
      <c r="AQ75">
        <f>IF(D74&lt;=0,0,D74*$E$6/12)</f>
        <v/>
      </c>
      <c r="AR75">
        <f>IF(D74&lt;=0,0,MIN(D74+AQ75,$F$6+AP75))</f>
        <v/>
      </c>
      <c r="AS75">
        <f>IF(D74&lt;=0,AP75,MAX(0,$F$6+AP75-D74-AQ75))</f>
        <v/>
      </c>
      <c r="AT75">
        <f>IF(E74&lt;=0,0,E74*$E$7/12)</f>
        <v/>
      </c>
      <c r="AU75">
        <f>IF(E74&lt;=0,0,MIN(E74+AT75,$F$7+AS75))</f>
        <v/>
      </c>
      <c r="AV75">
        <f>IF(E74&lt;=0,AS75,MAX(0,$F$7+AS75-E74-AT75))</f>
        <v/>
      </c>
      <c r="AW75">
        <f>IF(F74&lt;=0,0,F74*$E$8/12)</f>
        <v/>
      </c>
      <c r="AX75">
        <f>IF(F74&lt;=0,0,MIN(F74+AW75,$F$8+AV75))</f>
        <v/>
      </c>
      <c r="AY75">
        <f>IF(F74&lt;=0,AV75,MAX(0,$F$8+AV75-F74-AW75))</f>
        <v/>
      </c>
      <c r="AZ75">
        <f>IF(G74&lt;=0,0,G74*$E$9/12)</f>
        <v/>
      </c>
      <c r="BA75">
        <f>IF(G74&lt;=0,0,MIN(G74+AZ75,$F$9+AY75))</f>
        <v/>
      </c>
      <c r="BB75">
        <f>IF(G74&lt;=0,AY75,MAX(0,$F$9+AY75-G74-AZ75))</f>
        <v/>
      </c>
      <c r="BC75">
        <f>IF(H74&lt;=0,0,H74*$E$10/12)</f>
        <v/>
      </c>
      <c r="BD75">
        <f>IF(H74&lt;=0,0,MIN(H74+BC75,$F$10+BB75))</f>
        <v/>
      </c>
      <c r="BE75">
        <f>IF(H74&lt;=0,BB75,MAX(0,$F$10+BB75-H74-BC75))</f>
        <v/>
      </c>
      <c r="BF75">
        <f>IF(I74&lt;=0,0,I74*$E$11/12)</f>
        <v/>
      </c>
      <c r="BG75">
        <f>IF(I74&lt;=0,0,MIN(I74+BF75,$F$11+BE75))</f>
        <v/>
      </c>
      <c r="BH75">
        <f>IF(I74&lt;=0,BE75,MAX(0,$F$11+BE75-I74-BF75))</f>
        <v/>
      </c>
      <c r="BI75">
        <f>IF(J74&lt;=0,0,J74*$E$12/12)</f>
        <v/>
      </c>
      <c r="BJ75">
        <f>IF(J74&lt;=0,0,MIN(J74+BI75,$F$12+BH75))</f>
        <v/>
      </c>
      <c r="BK75">
        <f>IF(J74&lt;=0,BH75,MAX(0,$F$12+BH75-J74-BI75))</f>
        <v/>
      </c>
      <c r="BL75">
        <f>IF(K74&lt;=0,0,K74*$E$13/12)</f>
        <v/>
      </c>
      <c r="BM75">
        <f>IF(K74&lt;=0,0,MIN(K74+BL75,$F$13+BK75))</f>
        <v/>
      </c>
      <c r="BN75">
        <f>IF(K74&lt;=0,BK75,MAX(0,$F$13+BK75-K74-BL75))</f>
        <v/>
      </c>
      <c r="BO75">
        <f>IF(L74&lt;=0,0,L74*$E$14/12)</f>
        <v/>
      </c>
      <c r="BP75">
        <f>IF(L74&lt;=0,0,MIN(L74+BO75,$F$14+BN75))</f>
        <v/>
      </c>
      <c r="BQ75">
        <f>IF(L74&lt;=0,BN75,MAX(0,$F$14+BN75-L74-BO75))</f>
        <v/>
      </c>
      <c r="BR75">
        <f>IF(M74&lt;=0,0,M74*$E$15/12)</f>
        <v/>
      </c>
      <c r="BS75">
        <f>IF(M74&lt;=0,0,MIN(M74+BR75,$F$15+BQ75))</f>
        <v/>
      </c>
      <c r="BT75">
        <f>IF(M74&lt;=0,BQ75,MAX(0,$F$15+BQ75-M74-BR75))</f>
        <v/>
      </c>
      <c r="BU75">
        <f>IF(N74&lt;=0,0,N74*$E$16/12)</f>
        <v/>
      </c>
      <c r="BV75">
        <f>IF(N74&lt;=0,0,MIN(N74+BU75,$F$16+BT75))</f>
        <v/>
      </c>
      <c r="BW75">
        <f>IF(N74&lt;=0,BT75,MAX(0,$F$16+BT75-N74-BU75))</f>
        <v/>
      </c>
      <c r="BX75">
        <f>IF(O74&lt;=0,0,O74*$E$17/12)</f>
        <v/>
      </c>
      <c r="BY75">
        <f>IF(O74&lt;=0,0,MIN(O74+BX75,$F$17+BW75))</f>
        <v/>
      </c>
      <c r="BZ75">
        <f>IF(O74&lt;=0,BW75,MAX(0,$F$17+BW75-O74-BX75))</f>
        <v/>
      </c>
      <c r="CA75">
        <f>IF(P74&lt;=0,0,P74*$E$18/12)</f>
        <v/>
      </c>
      <c r="CB75">
        <f>IF(P74&lt;=0,0,MIN(P74+CA75,$F$18+BZ75))</f>
        <v/>
      </c>
      <c r="CC75">
        <f>IF(P74&lt;=0,BZ75,MAX(0,$F$18+BZ75-P74-CA75))</f>
        <v/>
      </c>
      <c r="CD75">
        <f>IF(Q74&lt;=0,0,Q74*$E$19/12)</f>
        <v/>
      </c>
      <c r="CE75">
        <f>IF(Q74&lt;=0,0,MIN(Q74+CD75,$F$19+CC75))</f>
        <v/>
      </c>
      <c r="CF75">
        <f>IF(Q74&lt;=0,CC75,MAX(0,$F$19+CC75-Q74-CD75))</f>
        <v/>
      </c>
      <c r="CG75">
        <f>IF(R74&lt;=0,0,R74*$E$20/12)</f>
        <v/>
      </c>
      <c r="CH75">
        <f>IF(R74&lt;=0,0,MIN(R74+CG75,$F$20+CF75))</f>
        <v/>
      </c>
      <c r="CI75">
        <f>IF(R74&lt;=0,CF75,MAX(0,$F$20+CF75-R74-CG75))</f>
        <v/>
      </c>
      <c r="CJ75">
        <f>IF(S74&lt;=0,0,S74*$E$21/12)</f>
        <v/>
      </c>
      <c r="CK75">
        <f>IF(S74&lt;=0,0,MIN(S74+CJ75,$F$21+CI75))</f>
        <v/>
      </c>
      <c r="CL75">
        <f>IF(S74&lt;=0,CI75,MAX(0,$F$21+CI75-S74-CJ75))</f>
        <v/>
      </c>
      <c r="CM75">
        <f>IF(T74&lt;=0,0,T74*$E$22/12)</f>
        <v/>
      </c>
      <c r="CN75">
        <f>IF(T74&lt;=0,0,MIN(T74+CM75,$F$22+CL75))</f>
        <v/>
      </c>
      <c r="CO75">
        <f>IF(T74&lt;=0,CL75,MAX(0,$F$22+CL75-T74-CM75))</f>
        <v/>
      </c>
      <c r="CP75">
        <f>IF(U74&lt;=0,0,U74*$E$23/12)</f>
        <v/>
      </c>
      <c r="CQ75">
        <f>IF(U74&lt;=0,0,MIN(U74+CP75,$F$23+CO75))</f>
        <v/>
      </c>
      <c r="CR75">
        <f>IF(U74&lt;=0,CO75,MAX(0,$F$23+CO75-U74-CP75))</f>
        <v/>
      </c>
      <c r="CS75">
        <f>IF(V74&lt;=0,0,V74*$E$24/12)</f>
        <v/>
      </c>
      <c r="CT75">
        <f>IF(V74&lt;=0,0,MIN(V74+CS75,$F$24+CR75))</f>
        <v/>
      </c>
      <c r="CU75">
        <f>IF(V74&lt;=0,CR75,MAX(0,$F$24+CR75-V74-CS75))</f>
        <v/>
      </c>
    </row>
    <row r="76">
      <c r="B76" s="39" t="n">
        <v>50</v>
      </c>
      <c r="C76" s="13">
        <f>IF(C75&lt;=0,0,MAX(0,C75+AN76-AO76))</f>
        <v/>
      </c>
      <c r="D76" s="13">
        <f>IF(D75&lt;=0,0,MAX(0,D75+AQ76-AR76))</f>
        <v/>
      </c>
      <c r="E76" s="13">
        <f>IF(E75&lt;=0,0,MAX(0,E75+AT76-AU76))</f>
        <v/>
      </c>
      <c r="F76" s="13">
        <f>IF(F75&lt;=0,0,MAX(0,F75+AW76-AX76))</f>
        <v/>
      </c>
      <c r="G76" s="13">
        <f>IF(G75&lt;=0,0,MAX(0,G75+AZ76-BA76))</f>
        <v/>
      </c>
      <c r="H76" s="13">
        <f>IF(H75&lt;=0,0,MAX(0,H75+BC76-BD76))</f>
        <v/>
      </c>
      <c r="I76" s="13">
        <f>IF(I75&lt;=0,0,MAX(0,I75+BF76-BG76))</f>
        <v/>
      </c>
      <c r="J76" s="13">
        <f>IF(J75&lt;=0,0,MAX(0,J75+BI76-BJ76))</f>
        <v/>
      </c>
      <c r="K76" s="13">
        <f>IF(K75&lt;=0,0,MAX(0,K75+BL76-BM76))</f>
        <v/>
      </c>
      <c r="L76" s="13">
        <f>IF(L75&lt;=0,0,MAX(0,L75+BO76-BP76))</f>
        <v/>
      </c>
      <c r="M76" s="13">
        <f>IF(M75&lt;=0,0,MAX(0,M75+BR76-BS76))</f>
        <v/>
      </c>
      <c r="N76" s="13">
        <f>IF(N75&lt;=0,0,MAX(0,N75+BU76-BV76))</f>
        <v/>
      </c>
      <c r="O76" s="13">
        <f>IF(O75&lt;=0,0,MAX(0,O75+BX76-BY76))</f>
        <v/>
      </c>
      <c r="P76" s="13">
        <f>IF(P75&lt;=0,0,MAX(0,P75+CA76-CB76))</f>
        <v/>
      </c>
      <c r="Q76" s="13">
        <f>IF(Q75&lt;=0,0,MAX(0,Q75+CD76-CE76))</f>
        <v/>
      </c>
      <c r="R76" s="13">
        <f>IF(R75&lt;=0,0,MAX(0,R75+CG76-CH76))</f>
        <v/>
      </c>
      <c r="S76" s="13">
        <f>IF(S75&lt;=0,0,MAX(0,S75+CJ76-CK76))</f>
        <v/>
      </c>
      <c r="T76" s="13">
        <f>IF(T75&lt;=0,0,MAX(0,T75+CM76-CN76))</f>
        <v/>
      </c>
      <c r="U76" s="13">
        <f>IF(U75&lt;=0,0,MAX(0,U75+CP76-CQ76))</f>
        <v/>
      </c>
      <c r="V76" s="13">
        <f>IF(V75&lt;=0,0,MAX(0,V75+CS76-CT76))</f>
        <v/>
      </c>
      <c r="W76" s="13">
        <f>AO76+AR76+AU76+AX76+BA76+BD76+BG76+BJ76+BM76+BP76+BS76+BV76+BY76+CB76+CE76+CH76+CK76+CN76+CQ76+CT76</f>
        <v/>
      </c>
      <c r="X76" s="13">
        <f>AN76+AQ76+AT76+AW76+AZ76+BC76+BF76+BI76+BL76+BO76+BR76+BU76+BX76+CA76+CD76+CG76+CJ76+CM76+CP76+CS76</f>
        <v/>
      </c>
      <c r="Y76" s="27">
        <f>C76+D76+E76+F76+G76+H76+I76+J76+K76+L76+M76+N76+O76+P76+Q76+R76+S76+T76+U76+V76</f>
        <v/>
      </c>
      <c r="AN76">
        <f>IF(C75&lt;=0,0,C75*$E$5/12)</f>
        <v/>
      </c>
      <c r="AO76">
        <f>IF(C75&lt;=0,0,MIN(C75+AN76,$F$5+(Dashboard!$C$11+IF(C75&lt;=0,$F$5,0)+IF(D75&lt;=0,$F$6,0)+IF(E75&lt;=0,$F$7,0)+IF(F75&lt;=0,$F$8,0)+IF(G75&lt;=0,$F$9,0)+IF(H75&lt;=0,$F$10,0)+IF(I75&lt;=0,$F$11,0)+IF(J75&lt;=0,$F$12,0)+IF(K75&lt;=0,$F$13,0)+IF(L75&lt;=0,$F$14,0)+IF(M75&lt;=0,$F$15,0)+IF(N75&lt;=0,$F$16,0)+IF(O75&lt;=0,$F$17,0)+IF(P75&lt;=0,$F$18,0)+IF(Q75&lt;=0,$F$19,0)+IF(R75&lt;=0,$F$20,0)+IF(S75&lt;=0,$F$21,0)+IF(T75&lt;=0,$F$22,0)+IF(U75&lt;=0,$F$23,0)+IF(V75&lt;=0,$F$24,0))))</f>
        <v/>
      </c>
      <c r="AP76">
        <f>IF(C75&lt;=0,(Dashboard!$C$11+IF(C75&lt;=0,$F$5,0)+IF(D75&lt;=0,$F$6,0)+IF(E75&lt;=0,$F$7,0)+IF(F75&lt;=0,$F$8,0)+IF(G75&lt;=0,$F$9,0)+IF(H75&lt;=0,$F$10,0)+IF(I75&lt;=0,$F$11,0)+IF(J75&lt;=0,$F$12,0)+IF(K75&lt;=0,$F$13,0)+IF(L75&lt;=0,$F$14,0)+IF(M75&lt;=0,$F$15,0)+IF(N75&lt;=0,$F$16,0)+IF(O75&lt;=0,$F$17,0)+IF(P75&lt;=0,$F$18,0)+IF(Q75&lt;=0,$F$19,0)+IF(R75&lt;=0,$F$20,0)+IF(S75&lt;=0,$F$21,0)+IF(T75&lt;=0,$F$22,0)+IF(U75&lt;=0,$F$23,0)+IF(V75&lt;=0,$F$24,0)),MAX(0,$F$5+(Dashboard!$C$11+IF(C75&lt;=0,$F$5,0)+IF(D75&lt;=0,$F$6,0)+IF(E75&lt;=0,$F$7,0)+IF(F75&lt;=0,$F$8,0)+IF(G75&lt;=0,$F$9,0)+IF(H75&lt;=0,$F$10,0)+IF(I75&lt;=0,$F$11,0)+IF(J75&lt;=0,$F$12,0)+IF(K75&lt;=0,$F$13,0)+IF(L75&lt;=0,$F$14,0)+IF(M75&lt;=0,$F$15,0)+IF(N75&lt;=0,$F$16,0)+IF(O75&lt;=0,$F$17,0)+IF(P75&lt;=0,$F$18,0)+IF(Q75&lt;=0,$F$19,0)+IF(R75&lt;=0,$F$20,0)+IF(S75&lt;=0,$F$21,0)+IF(T75&lt;=0,$F$22,0)+IF(U75&lt;=0,$F$23,0)+IF(V75&lt;=0,$F$24,0))-C75-AN76))</f>
        <v/>
      </c>
      <c r="AQ76">
        <f>IF(D75&lt;=0,0,D75*$E$6/12)</f>
        <v/>
      </c>
      <c r="AR76">
        <f>IF(D75&lt;=0,0,MIN(D75+AQ76,$F$6+AP76))</f>
        <v/>
      </c>
      <c r="AS76">
        <f>IF(D75&lt;=0,AP76,MAX(0,$F$6+AP76-D75-AQ76))</f>
        <v/>
      </c>
      <c r="AT76">
        <f>IF(E75&lt;=0,0,E75*$E$7/12)</f>
        <v/>
      </c>
      <c r="AU76">
        <f>IF(E75&lt;=0,0,MIN(E75+AT76,$F$7+AS76))</f>
        <v/>
      </c>
      <c r="AV76">
        <f>IF(E75&lt;=0,AS76,MAX(0,$F$7+AS76-E75-AT76))</f>
        <v/>
      </c>
      <c r="AW76">
        <f>IF(F75&lt;=0,0,F75*$E$8/12)</f>
        <v/>
      </c>
      <c r="AX76">
        <f>IF(F75&lt;=0,0,MIN(F75+AW76,$F$8+AV76))</f>
        <v/>
      </c>
      <c r="AY76">
        <f>IF(F75&lt;=0,AV76,MAX(0,$F$8+AV76-F75-AW76))</f>
        <v/>
      </c>
      <c r="AZ76">
        <f>IF(G75&lt;=0,0,G75*$E$9/12)</f>
        <v/>
      </c>
      <c r="BA76">
        <f>IF(G75&lt;=0,0,MIN(G75+AZ76,$F$9+AY76))</f>
        <v/>
      </c>
      <c r="BB76">
        <f>IF(G75&lt;=0,AY76,MAX(0,$F$9+AY76-G75-AZ76))</f>
        <v/>
      </c>
      <c r="BC76">
        <f>IF(H75&lt;=0,0,H75*$E$10/12)</f>
        <v/>
      </c>
      <c r="BD76">
        <f>IF(H75&lt;=0,0,MIN(H75+BC76,$F$10+BB76))</f>
        <v/>
      </c>
      <c r="BE76">
        <f>IF(H75&lt;=0,BB76,MAX(0,$F$10+BB76-H75-BC76))</f>
        <v/>
      </c>
      <c r="BF76">
        <f>IF(I75&lt;=0,0,I75*$E$11/12)</f>
        <v/>
      </c>
      <c r="BG76">
        <f>IF(I75&lt;=0,0,MIN(I75+BF76,$F$11+BE76))</f>
        <v/>
      </c>
      <c r="BH76">
        <f>IF(I75&lt;=0,BE76,MAX(0,$F$11+BE76-I75-BF76))</f>
        <v/>
      </c>
      <c r="BI76">
        <f>IF(J75&lt;=0,0,J75*$E$12/12)</f>
        <v/>
      </c>
      <c r="BJ76">
        <f>IF(J75&lt;=0,0,MIN(J75+BI76,$F$12+BH76))</f>
        <v/>
      </c>
      <c r="BK76">
        <f>IF(J75&lt;=0,BH76,MAX(0,$F$12+BH76-J75-BI76))</f>
        <v/>
      </c>
      <c r="BL76">
        <f>IF(K75&lt;=0,0,K75*$E$13/12)</f>
        <v/>
      </c>
      <c r="BM76">
        <f>IF(K75&lt;=0,0,MIN(K75+BL76,$F$13+BK76))</f>
        <v/>
      </c>
      <c r="BN76">
        <f>IF(K75&lt;=0,BK76,MAX(0,$F$13+BK76-K75-BL76))</f>
        <v/>
      </c>
      <c r="BO76">
        <f>IF(L75&lt;=0,0,L75*$E$14/12)</f>
        <v/>
      </c>
      <c r="BP76">
        <f>IF(L75&lt;=0,0,MIN(L75+BO76,$F$14+BN76))</f>
        <v/>
      </c>
      <c r="BQ76">
        <f>IF(L75&lt;=0,BN76,MAX(0,$F$14+BN76-L75-BO76))</f>
        <v/>
      </c>
      <c r="BR76">
        <f>IF(M75&lt;=0,0,M75*$E$15/12)</f>
        <v/>
      </c>
      <c r="BS76">
        <f>IF(M75&lt;=0,0,MIN(M75+BR76,$F$15+BQ76))</f>
        <v/>
      </c>
      <c r="BT76">
        <f>IF(M75&lt;=0,BQ76,MAX(0,$F$15+BQ76-M75-BR76))</f>
        <v/>
      </c>
      <c r="BU76">
        <f>IF(N75&lt;=0,0,N75*$E$16/12)</f>
        <v/>
      </c>
      <c r="BV76">
        <f>IF(N75&lt;=0,0,MIN(N75+BU76,$F$16+BT76))</f>
        <v/>
      </c>
      <c r="BW76">
        <f>IF(N75&lt;=0,BT76,MAX(0,$F$16+BT76-N75-BU76))</f>
        <v/>
      </c>
      <c r="BX76">
        <f>IF(O75&lt;=0,0,O75*$E$17/12)</f>
        <v/>
      </c>
      <c r="BY76">
        <f>IF(O75&lt;=0,0,MIN(O75+BX76,$F$17+BW76))</f>
        <v/>
      </c>
      <c r="BZ76">
        <f>IF(O75&lt;=0,BW76,MAX(0,$F$17+BW76-O75-BX76))</f>
        <v/>
      </c>
      <c r="CA76">
        <f>IF(P75&lt;=0,0,P75*$E$18/12)</f>
        <v/>
      </c>
      <c r="CB76">
        <f>IF(P75&lt;=0,0,MIN(P75+CA76,$F$18+BZ76))</f>
        <v/>
      </c>
      <c r="CC76">
        <f>IF(P75&lt;=0,BZ76,MAX(0,$F$18+BZ76-P75-CA76))</f>
        <v/>
      </c>
      <c r="CD76">
        <f>IF(Q75&lt;=0,0,Q75*$E$19/12)</f>
        <v/>
      </c>
      <c r="CE76">
        <f>IF(Q75&lt;=0,0,MIN(Q75+CD76,$F$19+CC76))</f>
        <v/>
      </c>
      <c r="CF76">
        <f>IF(Q75&lt;=0,CC76,MAX(0,$F$19+CC76-Q75-CD76))</f>
        <v/>
      </c>
      <c r="CG76">
        <f>IF(R75&lt;=0,0,R75*$E$20/12)</f>
        <v/>
      </c>
      <c r="CH76">
        <f>IF(R75&lt;=0,0,MIN(R75+CG76,$F$20+CF76))</f>
        <v/>
      </c>
      <c r="CI76">
        <f>IF(R75&lt;=0,CF76,MAX(0,$F$20+CF76-R75-CG76))</f>
        <v/>
      </c>
      <c r="CJ76">
        <f>IF(S75&lt;=0,0,S75*$E$21/12)</f>
        <v/>
      </c>
      <c r="CK76">
        <f>IF(S75&lt;=0,0,MIN(S75+CJ76,$F$21+CI76))</f>
        <v/>
      </c>
      <c r="CL76">
        <f>IF(S75&lt;=0,CI76,MAX(0,$F$21+CI76-S75-CJ76))</f>
        <v/>
      </c>
      <c r="CM76">
        <f>IF(T75&lt;=0,0,T75*$E$22/12)</f>
        <v/>
      </c>
      <c r="CN76">
        <f>IF(T75&lt;=0,0,MIN(T75+CM76,$F$22+CL76))</f>
        <v/>
      </c>
      <c r="CO76">
        <f>IF(T75&lt;=0,CL76,MAX(0,$F$22+CL76-T75-CM76))</f>
        <v/>
      </c>
      <c r="CP76">
        <f>IF(U75&lt;=0,0,U75*$E$23/12)</f>
        <v/>
      </c>
      <c r="CQ76">
        <f>IF(U75&lt;=0,0,MIN(U75+CP76,$F$23+CO76))</f>
        <v/>
      </c>
      <c r="CR76">
        <f>IF(U75&lt;=0,CO76,MAX(0,$F$23+CO76-U75-CP76))</f>
        <v/>
      </c>
      <c r="CS76">
        <f>IF(V75&lt;=0,0,V75*$E$24/12)</f>
        <v/>
      </c>
      <c r="CT76">
        <f>IF(V75&lt;=0,0,MIN(V75+CS76,$F$24+CR76))</f>
        <v/>
      </c>
      <c r="CU76">
        <f>IF(V75&lt;=0,CR76,MAX(0,$F$24+CR76-V75-CS76))</f>
        <v/>
      </c>
    </row>
    <row r="77">
      <c r="B77" s="39" t="n">
        <v>51</v>
      </c>
      <c r="C77" s="13">
        <f>IF(C76&lt;=0,0,MAX(0,C76+AN77-AO77))</f>
        <v/>
      </c>
      <c r="D77" s="13">
        <f>IF(D76&lt;=0,0,MAX(0,D76+AQ77-AR77))</f>
        <v/>
      </c>
      <c r="E77" s="13">
        <f>IF(E76&lt;=0,0,MAX(0,E76+AT77-AU77))</f>
        <v/>
      </c>
      <c r="F77" s="13">
        <f>IF(F76&lt;=0,0,MAX(0,F76+AW77-AX77))</f>
        <v/>
      </c>
      <c r="G77" s="13">
        <f>IF(G76&lt;=0,0,MAX(0,G76+AZ77-BA77))</f>
        <v/>
      </c>
      <c r="H77" s="13">
        <f>IF(H76&lt;=0,0,MAX(0,H76+BC77-BD77))</f>
        <v/>
      </c>
      <c r="I77" s="13">
        <f>IF(I76&lt;=0,0,MAX(0,I76+BF77-BG77))</f>
        <v/>
      </c>
      <c r="J77" s="13">
        <f>IF(J76&lt;=0,0,MAX(0,J76+BI77-BJ77))</f>
        <v/>
      </c>
      <c r="K77" s="13">
        <f>IF(K76&lt;=0,0,MAX(0,K76+BL77-BM77))</f>
        <v/>
      </c>
      <c r="L77" s="13">
        <f>IF(L76&lt;=0,0,MAX(0,L76+BO77-BP77))</f>
        <v/>
      </c>
      <c r="M77" s="13">
        <f>IF(M76&lt;=0,0,MAX(0,M76+BR77-BS77))</f>
        <v/>
      </c>
      <c r="N77" s="13">
        <f>IF(N76&lt;=0,0,MAX(0,N76+BU77-BV77))</f>
        <v/>
      </c>
      <c r="O77" s="13">
        <f>IF(O76&lt;=0,0,MAX(0,O76+BX77-BY77))</f>
        <v/>
      </c>
      <c r="P77" s="13">
        <f>IF(P76&lt;=0,0,MAX(0,P76+CA77-CB77))</f>
        <v/>
      </c>
      <c r="Q77" s="13">
        <f>IF(Q76&lt;=0,0,MAX(0,Q76+CD77-CE77))</f>
        <v/>
      </c>
      <c r="R77" s="13">
        <f>IF(R76&lt;=0,0,MAX(0,R76+CG77-CH77))</f>
        <v/>
      </c>
      <c r="S77" s="13">
        <f>IF(S76&lt;=0,0,MAX(0,S76+CJ77-CK77))</f>
        <v/>
      </c>
      <c r="T77" s="13">
        <f>IF(T76&lt;=0,0,MAX(0,T76+CM77-CN77))</f>
        <v/>
      </c>
      <c r="U77" s="13">
        <f>IF(U76&lt;=0,0,MAX(0,U76+CP77-CQ77))</f>
        <v/>
      </c>
      <c r="V77" s="13">
        <f>IF(V76&lt;=0,0,MAX(0,V76+CS77-CT77))</f>
        <v/>
      </c>
      <c r="W77" s="13">
        <f>AO77+AR77+AU77+AX77+BA77+BD77+BG77+BJ77+BM77+BP77+BS77+BV77+BY77+CB77+CE77+CH77+CK77+CN77+CQ77+CT77</f>
        <v/>
      </c>
      <c r="X77" s="13">
        <f>AN77+AQ77+AT77+AW77+AZ77+BC77+BF77+BI77+BL77+BO77+BR77+BU77+BX77+CA77+CD77+CG77+CJ77+CM77+CP77+CS77</f>
        <v/>
      </c>
      <c r="Y77" s="27">
        <f>C77+D77+E77+F77+G77+H77+I77+J77+K77+L77+M77+N77+O77+P77+Q77+R77+S77+T77+U77+V77</f>
        <v/>
      </c>
      <c r="AN77">
        <f>IF(C76&lt;=0,0,C76*$E$5/12)</f>
        <v/>
      </c>
      <c r="AO77">
        <f>IF(C76&lt;=0,0,MIN(C76+AN77,$F$5+(Dashboard!$C$11+IF(C76&lt;=0,$F$5,0)+IF(D76&lt;=0,$F$6,0)+IF(E76&lt;=0,$F$7,0)+IF(F76&lt;=0,$F$8,0)+IF(G76&lt;=0,$F$9,0)+IF(H76&lt;=0,$F$10,0)+IF(I76&lt;=0,$F$11,0)+IF(J76&lt;=0,$F$12,0)+IF(K76&lt;=0,$F$13,0)+IF(L76&lt;=0,$F$14,0)+IF(M76&lt;=0,$F$15,0)+IF(N76&lt;=0,$F$16,0)+IF(O76&lt;=0,$F$17,0)+IF(P76&lt;=0,$F$18,0)+IF(Q76&lt;=0,$F$19,0)+IF(R76&lt;=0,$F$20,0)+IF(S76&lt;=0,$F$21,0)+IF(T76&lt;=0,$F$22,0)+IF(U76&lt;=0,$F$23,0)+IF(V76&lt;=0,$F$24,0))))</f>
        <v/>
      </c>
      <c r="AP77">
        <f>IF(C76&lt;=0,(Dashboard!$C$11+IF(C76&lt;=0,$F$5,0)+IF(D76&lt;=0,$F$6,0)+IF(E76&lt;=0,$F$7,0)+IF(F76&lt;=0,$F$8,0)+IF(G76&lt;=0,$F$9,0)+IF(H76&lt;=0,$F$10,0)+IF(I76&lt;=0,$F$11,0)+IF(J76&lt;=0,$F$12,0)+IF(K76&lt;=0,$F$13,0)+IF(L76&lt;=0,$F$14,0)+IF(M76&lt;=0,$F$15,0)+IF(N76&lt;=0,$F$16,0)+IF(O76&lt;=0,$F$17,0)+IF(P76&lt;=0,$F$18,0)+IF(Q76&lt;=0,$F$19,0)+IF(R76&lt;=0,$F$20,0)+IF(S76&lt;=0,$F$21,0)+IF(T76&lt;=0,$F$22,0)+IF(U76&lt;=0,$F$23,0)+IF(V76&lt;=0,$F$24,0)),MAX(0,$F$5+(Dashboard!$C$11+IF(C76&lt;=0,$F$5,0)+IF(D76&lt;=0,$F$6,0)+IF(E76&lt;=0,$F$7,0)+IF(F76&lt;=0,$F$8,0)+IF(G76&lt;=0,$F$9,0)+IF(H76&lt;=0,$F$10,0)+IF(I76&lt;=0,$F$11,0)+IF(J76&lt;=0,$F$12,0)+IF(K76&lt;=0,$F$13,0)+IF(L76&lt;=0,$F$14,0)+IF(M76&lt;=0,$F$15,0)+IF(N76&lt;=0,$F$16,0)+IF(O76&lt;=0,$F$17,0)+IF(P76&lt;=0,$F$18,0)+IF(Q76&lt;=0,$F$19,0)+IF(R76&lt;=0,$F$20,0)+IF(S76&lt;=0,$F$21,0)+IF(T76&lt;=0,$F$22,0)+IF(U76&lt;=0,$F$23,0)+IF(V76&lt;=0,$F$24,0))-C76-AN77))</f>
        <v/>
      </c>
      <c r="AQ77">
        <f>IF(D76&lt;=0,0,D76*$E$6/12)</f>
        <v/>
      </c>
      <c r="AR77">
        <f>IF(D76&lt;=0,0,MIN(D76+AQ77,$F$6+AP77))</f>
        <v/>
      </c>
      <c r="AS77">
        <f>IF(D76&lt;=0,AP77,MAX(0,$F$6+AP77-D76-AQ77))</f>
        <v/>
      </c>
      <c r="AT77">
        <f>IF(E76&lt;=0,0,E76*$E$7/12)</f>
        <v/>
      </c>
      <c r="AU77">
        <f>IF(E76&lt;=0,0,MIN(E76+AT77,$F$7+AS77))</f>
        <v/>
      </c>
      <c r="AV77">
        <f>IF(E76&lt;=0,AS77,MAX(0,$F$7+AS77-E76-AT77))</f>
        <v/>
      </c>
      <c r="AW77">
        <f>IF(F76&lt;=0,0,F76*$E$8/12)</f>
        <v/>
      </c>
      <c r="AX77">
        <f>IF(F76&lt;=0,0,MIN(F76+AW77,$F$8+AV77))</f>
        <v/>
      </c>
      <c r="AY77">
        <f>IF(F76&lt;=0,AV77,MAX(0,$F$8+AV77-F76-AW77))</f>
        <v/>
      </c>
      <c r="AZ77">
        <f>IF(G76&lt;=0,0,G76*$E$9/12)</f>
        <v/>
      </c>
      <c r="BA77">
        <f>IF(G76&lt;=0,0,MIN(G76+AZ77,$F$9+AY77))</f>
        <v/>
      </c>
      <c r="BB77">
        <f>IF(G76&lt;=0,AY77,MAX(0,$F$9+AY77-G76-AZ77))</f>
        <v/>
      </c>
      <c r="BC77">
        <f>IF(H76&lt;=0,0,H76*$E$10/12)</f>
        <v/>
      </c>
      <c r="BD77">
        <f>IF(H76&lt;=0,0,MIN(H76+BC77,$F$10+BB77))</f>
        <v/>
      </c>
      <c r="BE77">
        <f>IF(H76&lt;=0,BB77,MAX(0,$F$10+BB77-H76-BC77))</f>
        <v/>
      </c>
      <c r="BF77">
        <f>IF(I76&lt;=0,0,I76*$E$11/12)</f>
        <v/>
      </c>
      <c r="BG77">
        <f>IF(I76&lt;=0,0,MIN(I76+BF77,$F$11+BE77))</f>
        <v/>
      </c>
      <c r="BH77">
        <f>IF(I76&lt;=0,BE77,MAX(0,$F$11+BE77-I76-BF77))</f>
        <v/>
      </c>
      <c r="BI77">
        <f>IF(J76&lt;=0,0,J76*$E$12/12)</f>
        <v/>
      </c>
      <c r="BJ77">
        <f>IF(J76&lt;=0,0,MIN(J76+BI77,$F$12+BH77))</f>
        <v/>
      </c>
      <c r="BK77">
        <f>IF(J76&lt;=0,BH77,MAX(0,$F$12+BH77-J76-BI77))</f>
        <v/>
      </c>
      <c r="BL77">
        <f>IF(K76&lt;=0,0,K76*$E$13/12)</f>
        <v/>
      </c>
      <c r="BM77">
        <f>IF(K76&lt;=0,0,MIN(K76+BL77,$F$13+BK77))</f>
        <v/>
      </c>
      <c r="BN77">
        <f>IF(K76&lt;=0,BK77,MAX(0,$F$13+BK77-K76-BL77))</f>
        <v/>
      </c>
      <c r="BO77">
        <f>IF(L76&lt;=0,0,L76*$E$14/12)</f>
        <v/>
      </c>
      <c r="BP77">
        <f>IF(L76&lt;=0,0,MIN(L76+BO77,$F$14+BN77))</f>
        <v/>
      </c>
      <c r="BQ77">
        <f>IF(L76&lt;=0,BN77,MAX(0,$F$14+BN77-L76-BO77))</f>
        <v/>
      </c>
      <c r="BR77">
        <f>IF(M76&lt;=0,0,M76*$E$15/12)</f>
        <v/>
      </c>
      <c r="BS77">
        <f>IF(M76&lt;=0,0,MIN(M76+BR77,$F$15+BQ77))</f>
        <v/>
      </c>
      <c r="BT77">
        <f>IF(M76&lt;=0,BQ77,MAX(0,$F$15+BQ77-M76-BR77))</f>
        <v/>
      </c>
      <c r="BU77">
        <f>IF(N76&lt;=0,0,N76*$E$16/12)</f>
        <v/>
      </c>
      <c r="BV77">
        <f>IF(N76&lt;=0,0,MIN(N76+BU77,$F$16+BT77))</f>
        <v/>
      </c>
      <c r="BW77">
        <f>IF(N76&lt;=0,BT77,MAX(0,$F$16+BT77-N76-BU77))</f>
        <v/>
      </c>
      <c r="BX77">
        <f>IF(O76&lt;=0,0,O76*$E$17/12)</f>
        <v/>
      </c>
      <c r="BY77">
        <f>IF(O76&lt;=0,0,MIN(O76+BX77,$F$17+BW77))</f>
        <v/>
      </c>
      <c r="BZ77">
        <f>IF(O76&lt;=0,BW77,MAX(0,$F$17+BW77-O76-BX77))</f>
        <v/>
      </c>
      <c r="CA77">
        <f>IF(P76&lt;=0,0,P76*$E$18/12)</f>
        <v/>
      </c>
      <c r="CB77">
        <f>IF(P76&lt;=0,0,MIN(P76+CA77,$F$18+BZ77))</f>
        <v/>
      </c>
      <c r="CC77">
        <f>IF(P76&lt;=0,BZ77,MAX(0,$F$18+BZ77-P76-CA77))</f>
        <v/>
      </c>
      <c r="CD77">
        <f>IF(Q76&lt;=0,0,Q76*$E$19/12)</f>
        <v/>
      </c>
      <c r="CE77">
        <f>IF(Q76&lt;=0,0,MIN(Q76+CD77,$F$19+CC77))</f>
        <v/>
      </c>
      <c r="CF77">
        <f>IF(Q76&lt;=0,CC77,MAX(0,$F$19+CC77-Q76-CD77))</f>
        <v/>
      </c>
      <c r="CG77">
        <f>IF(R76&lt;=0,0,R76*$E$20/12)</f>
        <v/>
      </c>
      <c r="CH77">
        <f>IF(R76&lt;=0,0,MIN(R76+CG77,$F$20+CF77))</f>
        <v/>
      </c>
      <c r="CI77">
        <f>IF(R76&lt;=0,CF77,MAX(0,$F$20+CF77-R76-CG77))</f>
        <v/>
      </c>
      <c r="CJ77">
        <f>IF(S76&lt;=0,0,S76*$E$21/12)</f>
        <v/>
      </c>
      <c r="CK77">
        <f>IF(S76&lt;=0,0,MIN(S76+CJ77,$F$21+CI77))</f>
        <v/>
      </c>
      <c r="CL77">
        <f>IF(S76&lt;=0,CI77,MAX(0,$F$21+CI77-S76-CJ77))</f>
        <v/>
      </c>
      <c r="CM77">
        <f>IF(T76&lt;=0,0,T76*$E$22/12)</f>
        <v/>
      </c>
      <c r="CN77">
        <f>IF(T76&lt;=0,0,MIN(T76+CM77,$F$22+CL77))</f>
        <v/>
      </c>
      <c r="CO77">
        <f>IF(T76&lt;=0,CL77,MAX(0,$F$22+CL77-T76-CM77))</f>
        <v/>
      </c>
      <c r="CP77">
        <f>IF(U76&lt;=0,0,U76*$E$23/12)</f>
        <v/>
      </c>
      <c r="CQ77">
        <f>IF(U76&lt;=0,0,MIN(U76+CP77,$F$23+CO77))</f>
        <v/>
      </c>
      <c r="CR77">
        <f>IF(U76&lt;=0,CO77,MAX(0,$F$23+CO77-U76-CP77))</f>
        <v/>
      </c>
      <c r="CS77">
        <f>IF(V76&lt;=0,0,V76*$E$24/12)</f>
        <v/>
      </c>
      <c r="CT77">
        <f>IF(V76&lt;=0,0,MIN(V76+CS77,$F$24+CR77))</f>
        <v/>
      </c>
      <c r="CU77">
        <f>IF(V76&lt;=0,CR77,MAX(0,$F$24+CR77-V76-CS77))</f>
        <v/>
      </c>
    </row>
    <row r="78">
      <c r="B78" s="39" t="n">
        <v>52</v>
      </c>
      <c r="C78" s="13">
        <f>IF(C77&lt;=0,0,MAX(0,C77+AN78-AO78))</f>
        <v/>
      </c>
      <c r="D78" s="13">
        <f>IF(D77&lt;=0,0,MAX(0,D77+AQ78-AR78))</f>
        <v/>
      </c>
      <c r="E78" s="13">
        <f>IF(E77&lt;=0,0,MAX(0,E77+AT78-AU78))</f>
        <v/>
      </c>
      <c r="F78" s="13">
        <f>IF(F77&lt;=0,0,MAX(0,F77+AW78-AX78))</f>
        <v/>
      </c>
      <c r="G78" s="13">
        <f>IF(G77&lt;=0,0,MAX(0,G77+AZ78-BA78))</f>
        <v/>
      </c>
      <c r="H78" s="13">
        <f>IF(H77&lt;=0,0,MAX(0,H77+BC78-BD78))</f>
        <v/>
      </c>
      <c r="I78" s="13">
        <f>IF(I77&lt;=0,0,MAX(0,I77+BF78-BG78))</f>
        <v/>
      </c>
      <c r="J78" s="13">
        <f>IF(J77&lt;=0,0,MAX(0,J77+BI78-BJ78))</f>
        <v/>
      </c>
      <c r="K78" s="13">
        <f>IF(K77&lt;=0,0,MAX(0,K77+BL78-BM78))</f>
        <v/>
      </c>
      <c r="L78" s="13">
        <f>IF(L77&lt;=0,0,MAX(0,L77+BO78-BP78))</f>
        <v/>
      </c>
      <c r="M78" s="13">
        <f>IF(M77&lt;=0,0,MAX(0,M77+BR78-BS78))</f>
        <v/>
      </c>
      <c r="N78" s="13">
        <f>IF(N77&lt;=0,0,MAX(0,N77+BU78-BV78))</f>
        <v/>
      </c>
      <c r="O78" s="13">
        <f>IF(O77&lt;=0,0,MAX(0,O77+BX78-BY78))</f>
        <v/>
      </c>
      <c r="P78" s="13">
        <f>IF(P77&lt;=0,0,MAX(0,P77+CA78-CB78))</f>
        <v/>
      </c>
      <c r="Q78" s="13">
        <f>IF(Q77&lt;=0,0,MAX(0,Q77+CD78-CE78))</f>
        <v/>
      </c>
      <c r="R78" s="13">
        <f>IF(R77&lt;=0,0,MAX(0,R77+CG78-CH78))</f>
        <v/>
      </c>
      <c r="S78" s="13">
        <f>IF(S77&lt;=0,0,MAX(0,S77+CJ78-CK78))</f>
        <v/>
      </c>
      <c r="T78" s="13">
        <f>IF(T77&lt;=0,0,MAX(0,T77+CM78-CN78))</f>
        <v/>
      </c>
      <c r="U78" s="13">
        <f>IF(U77&lt;=0,0,MAX(0,U77+CP78-CQ78))</f>
        <v/>
      </c>
      <c r="V78" s="13">
        <f>IF(V77&lt;=0,0,MAX(0,V77+CS78-CT78))</f>
        <v/>
      </c>
      <c r="W78" s="13">
        <f>AO78+AR78+AU78+AX78+BA78+BD78+BG78+BJ78+BM78+BP78+BS78+BV78+BY78+CB78+CE78+CH78+CK78+CN78+CQ78+CT78</f>
        <v/>
      </c>
      <c r="X78" s="13">
        <f>AN78+AQ78+AT78+AW78+AZ78+BC78+BF78+BI78+BL78+BO78+BR78+BU78+BX78+CA78+CD78+CG78+CJ78+CM78+CP78+CS78</f>
        <v/>
      </c>
      <c r="Y78" s="27">
        <f>C78+D78+E78+F78+G78+H78+I78+J78+K78+L78+M78+N78+O78+P78+Q78+R78+S78+T78+U78+V78</f>
        <v/>
      </c>
      <c r="AN78">
        <f>IF(C77&lt;=0,0,C77*$E$5/12)</f>
        <v/>
      </c>
      <c r="AO78">
        <f>IF(C77&lt;=0,0,MIN(C77+AN78,$F$5+(Dashboard!$C$11+IF(C77&lt;=0,$F$5,0)+IF(D77&lt;=0,$F$6,0)+IF(E77&lt;=0,$F$7,0)+IF(F77&lt;=0,$F$8,0)+IF(G77&lt;=0,$F$9,0)+IF(H77&lt;=0,$F$10,0)+IF(I77&lt;=0,$F$11,0)+IF(J77&lt;=0,$F$12,0)+IF(K77&lt;=0,$F$13,0)+IF(L77&lt;=0,$F$14,0)+IF(M77&lt;=0,$F$15,0)+IF(N77&lt;=0,$F$16,0)+IF(O77&lt;=0,$F$17,0)+IF(P77&lt;=0,$F$18,0)+IF(Q77&lt;=0,$F$19,0)+IF(R77&lt;=0,$F$20,0)+IF(S77&lt;=0,$F$21,0)+IF(T77&lt;=0,$F$22,0)+IF(U77&lt;=0,$F$23,0)+IF(V77&lt;=0,$F$24,0))))</f>
        <v/>
      </c>
      <c r="AP78">
        <f>IF(C77&lt;=0,(Dashboard!$C$11+IF(C77&lt;=0,$F$5,0)+IF(D77&lt;=0,$F$6,0)+IF(E77&lt;=0,$F$7,0)+IF(F77&lt;=0,$F$8,0)+IF(G77&lt;=0,$F$9,0)+IF(H77&lt;=0,$F$10,0)+IF(I77&lt;=0,$F$11,0)+IF(J77&lt;=0,$F$12,0)+IF(K77&lt;=0,$F$13,0)+IF(L77&lt;=0,$F$14,0)+IF(M77&lt;=0,$F$15,0)+IF(N77&lt;=0,$F$16,0)+IF(O77&lt;=0,$F$17,0)+IF(P77&lt;=0,$F$18,0)+IF(Q77&lt;=0,$F$19,0)+IF(R77&lt;=0,$F$20,0)+IF(S77&lt;=0,$F$21,0)+IF(T77&lt;=0,$F$22,0)+IF(U77&lt;=0,$F$23,0)+IF(V77&lt;=0,$F$24,0)),MAX(0,$F$5+(Dashboard!$C$11+IF(C77&lt;=0,$F$5,0)+IF(D77&lt;=0,$F$6,0)+IF(E77&lt;=0,$F$7,0)+IF(F77&lt;=0,$F$8,0)+IF(G77&lt;=0,$F$9,0)+IF(H77&lt;=0,$F$10,0)+IF(I77&lt;=0,$F$11,0)+IF(J77&lt;=0,$F$12,0)+IF(K77&lt;=0,$F$13,0)+IF(L77&lt;=0,$F$14,0)+IF(M77&lt;=0,$F$15,0)+IF(N77&lt;=0,$F$16,0)+IF(O77&lt;=0,$F$17,0)+IF(P77&lt;=0,$F$18,0)+IF(Q77&lt;=0,$F$19,0)+IF(R77&lt;=0,$F$20,0)+IF(S77&lt;=0,$F$21,0)+IF(T77&lt;=0,$F$22,0)+IF(U77&lt;=0,$F$23,0)+IF(V77&lt;=0,$F$24,0))-C77-AN78))</f>
        <v/>
      </c>
      <c r="AQ78">
        <f>IF(D77&lt;=0,0,D77*$E$6/12)</f>
        <v/>
      </c>
      <c r="AR78">
        <f>IF(D77&lt;=0,0,MIN(D77+AQ78,$F$6+AP78))</f>
        <v/>
      </c>
      <c r="AS78">
        <f>IF(D77&lt;=0,AP78,MAX(0,$F$6+AP78-D77-AQ78))</f>
        <v/>
      </c>
      <c r="AT78">
        <f>IF(E77&lt;=0,0,E77*$E$7/12)</f>
        <v/>
      </c>
      <c r="AU78">
        <f>IF(E77&lt;=0,0,MIN(E77+AT78,$F$7+AS78))</f>
        <v/>
      </c>
      <c r="AV78">
        <f>IF(E77&lt;=0,AS78,MAX(0,$F$7+AS78-E77-AT78))</f>
        <v/>
      </c>
      <c r="AW78">
        <f>IF(F77&lt;=0,0,F77*$E$8/12)</f>
        <v/>
      </c>
      <c r="AX78">
        <f>IF(F77&lt;=0,0,MIN(F77+AW78,$F$8+AV78))</f>
        <v/>
      </c>
      <c r="AY78">
        <f>IF(F77&lt;=0,AV78,MAX(0,$F$8+AV78-F77-AW78))</f>
        <v/>
      </c>
      <c r="AZ78">
        <f>IF(G77&lt;=0,0,G77*$E$9/12)</f>
        <v/>
      </c>
      <c r="BA78">
        <f>IF(G77&lt;=0,0,MIN(G77+AZ78,$F$9+AY78))</f>
        <v/>
      </c>
      <c r="BB78">
        <f>IF(G77&lt;=0,AY78,MAX(0,$F$9+AY78-G77-AZ78))</f>
        <v/>
      </c>
      <c r="BC78">
        <f>IF(H77&lt;=0,0,H77*$E$10/12)</f>
        <v/>
      </c>
      <c r="BD78">
        <f>IF(H77&lt;=0,0,MIN(H77+BC78,$F$10+BB78))</f>
        <v/>
      </c>
      <c r="BE78">
        <f>IF(H77&lt;=0,BB78,MAX(0,$F$10+BB78-H77-BC78))</f>
        <v/>
      </c>
      <c r="BF78">
        <f>IF(I77&lt;=0,0,I77*$E$11/12)</f>
        <v/>
      </c>
      <c r="BG78">
        <f>IF(I77&lt;=0,0,MIN(I77+BF78,$F$11+BE78))</f>
        <v/>
      </c>
      <c r="BH78">
        <f>IF(I77&lt;=0,BE78,MAX(0,$F$11+BE78-I77-BF78))</f>
        <v/>
      </c>
      <c r="BI78">
        <f>IF(J77&lt;=0,0,J77*$E$12/12)</f>
        <v/>
      </c>
      <c r="BJ78">
        <f>IF(J77&lt;=0,0,MIN(J77+BI78,$F$12+BH78))</f>
        <v/>
      </c>
      <c r="BK78">
        <f>IF(J77&lt;=0,BH78,MAX(0,$F$12+BH78-J77-BI78))</f>
        <v/>
      </c>
      <c r="BL78">
        <f>IF(K77&lt;=0,0,K77*$E$13/12)</f>
        <v/>
      </c>
      <c r="BM78">
        <f>IF(K77&lt;=0,0,MIN(K77+BL78,$F$13+BK78))</f>
        <v/>
      </c>
      <c r="BN78">
        <f>IF(K77&lt;=0,BK78,MAX(0,$F$13+BK78-K77-BL78))</f>
        <v/>
      </c>
      <c r="BO78">
        <f>IF(L77&lt;=0,0,L77*$E$14/12)</f>
        <v/>
      </c>
      <c r="BP78">
        <f>IF(L77&lt;=0,0,MIN(L77+BO78,$F$14+BN78))</f>
        <v/>
      </c>
      <c r="BQ78">
        <f>IF(L77&lt;=0,BN78,MAX(0,$F$14+BN78-L77-BO78))</f>
        <v/>
      </c>
      <c r="BR78">
        <f>IF(M77&lt;=0,0,M77*$E$15/12)</f>
        <v/>
      </c>
      <c r="BS78">
        <f>IF(M77&lt;=0,0,MIN(M77+BR78,$F$15+BQ78))</f>
        <v/>
      </c>
      <c r="BT78">
        <f>IF(M77&lt;=0,BQ78,MAX(0,$F$15+BQ78-M77-BR78))</f>
        <v/>
      </c>
      <c r="BU78">
        <f>IF(N77&lt;=0,0,N77*$E$16/12)</f>
        <v/>
      </c>
      <c r="BV78">
        <f>IF(N77&lt;=0,0,MIN(N77+BU78,$F$16+BT78))</f>
        <v/>
      </c>
      <c r="BW78">
        <f>IF(N77&lt;=0,BT78,MAX(0,$F$16+BT78-N77-BU78))</f>
        <v/>
      </c>
      <c r="BX78">
        <f>IF(O77&lt;=0,0,O77*$E$17/12)</f>
        <v/>
      </c>
      <c r="BY78">
        <f>IF(O77&lt;=0,0,MIN(O77+BX78,$F$17+BW78))</f>
        <v/>
      </c>
      <c r="BZ78">
        <f>IF(O77&lt;=0,BW78,MAX(0,$F$17+BW78-O77-BX78))</f>
        <v/>
      </c>
      <c r="CA78">
        <f>IF(P77&lt;=0,0,P77*$E$18/12)</f>
        <v/>
      </c>
      <c r="CB78">
        <f>IF(P77&lt;=0,0,MIN(P77+CA78,$F$18+BZ78))</f>
        <v/>
      </c>
      <c r="CC78">
        <f>IF(P77&lt;=0,BZ78,MAX(0,$F$18+BZ78-P77-CA78))</f>
        <v/>
      </c>
      <c r="CD78">
        <f>IF(Q77&lt;=0,0,Q77*$E$19/12)</f>
        <v/>
      </c>
      <c r="CE78">
        <f>IF(Q77&lt;=0,0,MIN(Q77+CD78,$F$19+CC78))</f>
        <v/>
      </c>
      <c r="CF78">
        <f>IF(Q77&lt;=0,CC78,MAX(0,$F$19+CC78-Q77-CD78))</f>
        <v/>
      </c>
      <c r="CG78">
        <f>IF(R77&lt;=0,0,R77*$E$20/12)</f>
        <v/>
      </c>
      <c r="CH78">
        <f>IF(R77&lt;=0,0,MIN(R77+CG78,$F$20+CF78))</f>
        <v/>
      </c>
      <c r="CI78">
        <f>IF(R77&lt;=0,CF78,MAX(0,$F$20+CF78-R77-CG78))</f>
        <v/>
      </c>
      <c r="CJ78">
        <f>IF(S77&lt;=0,0,S77*$E$21/12)</f>
        <v/>
      </c>
      <c r="CK78">
        <f>IF(S77&lt;=0,0,MIN(S77+CJ78,$F$21+CI78))</f>
        <v/>
      </c>
      <c r="CL78">
        <f>IF(S77&lt;=0,CI78,MAX(0,$F$21+CI78-S77-CJ78))</f>
        <v/>
      </c>
      <c r="CM78">
        <f>IF(T77&lt;=0,0,T77*$E$22/12)</f>
        <v/>
      </c>
      <c r="CN78">
        <f>IF(T77&lt;=0,0,MIN(T77+CM78,$F$22+CL78))</f>
        <v/>
      </c>
      <c r="CO78">
        <f>IF(T77&lt;=0,CL78,MAX(0,$F$22+CL78-T77-CM78))</f>
        <v/>
      </c>
      <c r="CP78">
        <f>IF(U77&lt;=0,0,U77*$E$23/12)</f>
        <v/>
      </c>
      <c r="CQ78">
        <f>IF(U77&lt;=0,0,MIN(U77+CP78,$F$23+CO78))</f>
        <v/>
      </c>
      <c r="CR78">
        <f>IF(U77&lt;=0,CO78,MAX(0,$F$23+CO78-U77-CP78))</f>
        <v/>
      </c>
      <c r="CS78">
        <f>IF(V77&lt;=0,0,V77*$E$24/12)</f>
        <v/>
      </c>
      <c r="CT78">
        <f>IF(V77&lt;=0,0,MIN(V77+CS78,$F$24+CR78))</f>
        <v/>
      </c>
      <c r="CU78">
        <f>IF(V77&lt;=0,CR78,MAX(0,$F$24+CR78-V77-CS78))</f>
        <v/>
      </c>
    </row>
    <row r="79">
      <c r="B79" s="39" t="n">
        <v>53</v>
      </c>
      <c r="C79" s="13">
        <f>IF(C78&lt;=0,0,MAX(0,C78+AN79-AO79))</f>
        <v/>
      </c>
      <c r="D79" s="13">
        <f>IF(D78&lt;=0,0,MAX(0,D78+AQ79-AR79))</f>
        <v/>
      </c>
      <c r="E79" s="13">
        <f>IF(E78&lt;=0,0,MAX(0,E78+AT79-AU79))</f>
        <v/>
      </c>
      <c r="F79" s="13">
        <f>IF(F78&lt;=0,0,MAX(0,F78+AW79-AX79))</f>
        <v/>
      </c>
      <c r="G79" s="13">
        <f>IF(G78&lt;=0,0,MAX(0,G78+AZ79-BA79))</f>
        <v/>
      </c>
      <c r="H79" s="13">
        <f>IF(H78&lt;=0,0,MAX(0,H78+BC79-BD79))</f>
        <v/>
      </c>
      <c r="I79" s="13">
        <f>IF(I78&lt;=0,0,MAX(0,I78+BF79-BG79))</f>
        <v/>
      </c>
      <c r="J79" s="13">
        <f>IF(J78&lt;=0,0,MAX(0,J78+BI79-BJ79))</f>
        <v/>
      </c>
      <c r="K79" s="13">
        <f>IF(K78&lt;=0,0,MAX(0,K78+BL79-BM79))</f>
        <v/>
      </c>
      <c r="L79" s="13">
        <f>IF(L78&lt;=0,0,MAX(0,L78+BO79-BP79))</f>
        <v/>
      </c>
      <c r="M79" s="13">
        <f>IF(M78&lt;=0,0,MAX(0,M78+BR79-BS79))</f>
        <v/>
      </c>
      <c r="N79" s="13">
        <f>IF(N78&lt;=0,0,MAX(0,N78+BU79-BV79))</f>
        <v/>
      </c>
      <c r="O79" s="13">
        <f>IF(O78&lt;=0,0,MAX(0,O78+BX79-BY79))</f>
        <v/>
      </c>
      <c r="P79" s="13">
        <f>IF(P78&lt;=0,0,MAX(0,P78+CA79-CB79))</f>
        <v/>
      </c>
      <c r="Q79" s="13">
        <f>IF(Q78&lt;=0,0,MAX(0,Q78+CD79-CE79))</f>
        <v/>
      </c>
      <c r="R79" s="13">
        <f>IF(R78&lt;=0,0,MAX(0,R78+CG79-CH79))</f>
        <v/>
      </c>
      <c r="S79" s="13">
        <f>IF(S78&lt;=0,0,MAX(0,S78+CJ79-CK79))</f>
        <v/>
      </c>
      <c r="T79" s="13">
        <f>IF(T78&lt;=0,0,MAX(0,T78+CM79-CN79))</f>
        <v/>
      </c>
      <c r="U79" s="13">
        <f>IF(U78&lt;=0,0,MAX(0,U78+CP79-CQ79))</f>
        <v/>
      </c>
      <c r="V79" s="13">
        <f>IF(V78&lt;=0,0,MAX(0,V78+CS79-CT79))</f>
        <v/>
      </c>
      <c r="W79" s="13">
        <f>AO79+AR79+AU79+AX79+BA79+BD79+BG79+BJ79+BM79+BP79+BS79+BV79+BY79+CB79+CE79+CH79+CK79+CN79+CQ79+CT79</f>
        <v/>
      </c>
      <c r="X79" s="13">
        <f>AN79+AQ79+AT79+AW79+AZ79+BC79+BF79+BI79+BL79+BO79+BR79+BU79+BX79+CA79+CD79+CG79+CJ79+CM79+CP79+CS79</f>
        <v/>
      </c>
      <c r="Y79" s="27">
        <f>C79+D79+E79+F79+G79+H79+I79+J79+K79+L79+M79+N79+O79+P79+Q79+R79+S79+T79+U79+V79</f>
        <v/>
      </c>
      <c r="AN79">
        <f>IF(C78&lt;=0,0,C78*$E$5/12)</f>
        <v/>
      </c>
      <c r="AO79">
        <f>IF(C78&lt;=0,0,MIN(C78+AN79,$F$5+(Dashboard!$C$11+IF(C78&lt;=0,$F$5,0)+IF(D78&lt;=0,$F$6,0)+IF(E78&lt;=0,$F$7,0)+IF(F78&lt;=0,$F$8,0)+IF(G78&lt;=0,$F$9,0)+IF(H78&lt;=0,$F$10,0)+IF(I78&lt;=0,$F$11,0)+IF(J78&lt;=0,$F$12,0)+IF(K78&lt;=0,$F$13,0)+IF(L78&lt;=0,$F$14,0)+IF(M78&lt;=0,$F$15,0)+IF(N78&lt;=0,$F$16,0)+IF(O78&lt;=0,$F$17,0)+IF(P78&lt;=0,$F$18,0)+IF(Q78&lt;=0,$F$19,0)+IF(R78&lt;=0,$F$20,0)+IF(S78&lt;=0,$F$21,0)+IF(T78&lt;=0,$F$22,0)+IF(U78&lt;=0,$F$23,0)+IF(V78&lt;=0,$F$24,0))))</f>
        <v/>
      </c>
      <c r="AP79">
        <f>IF(C78&lt;=0,(Dashboard!$C$11+IF(C78&lt;=0,$F$5,0)+IF(D78&lt;=0,$F$6,0)+IF(E78&lt;=0,$F$7,0)+IF(F78&lt;=0,$F$8,0)+IF(G78&lt;=0,$F$9,0)+IF(H78&lt;=0,$F$10,0)+IF(I78&lt;=0,$F$11,0)+IF(J78&lt;=0,$F$12,0)+IF(K78&lt;=0,$F$13,0)+IF(L78&lt;=0,$F$14,0)+IF(M78&lt;=0,$F$15,0)+IF(N78&lt;=0,$F$16,0)+IF(O78&lt;=0,$F$17,0)+IF(P78&lt;=0,$F$18,0)+IF(Q78&lt;=0,$F$19,0)+IF(R78&lt;=0,$F$20,0)+IF(S78&lt;=0,$F$21,0)+IF(T78&lt;=0,$F$22,0)+IF(U78&lt;=0,$F$23,0)+IF(V78&lt;=0,$F$24,0)),MAX(0,$F$5+(Dashboard!$C$11+IF(C78&lt;=0,$F$5,0)+IF(D78&lt;=0,$F$6,0)+IF(E78&lt;=0,$F$7,0)+IF(F78&lt;=0,$F$8,0)+IF(G78&lt;=0,$F$9,0)+IF(H78&lt;=0,$F$10,0)+IF(I78&lt;=0,$F$11,0)+IF(J78&lt;=0,$F$12,0)+IF(K78&lt;=0,$F$13,0)+IF(L78&lt;=0,$F$14,0)+IF(M78&lt;=0,$F$15,0)+IF(N78&lt;=0,$F$16,0)+IF(O78&lt;=0,$F$17,0)+IF(P78&lt;=0,$F$18,0)+IF(Q78&lt;=0,$F$19,0)+IF(R78&lt;=0,$F$20,0)+IF(S78&lt;=0,$F$21,0)+IF(T78&lt;=0,$F$22,0)+IF(U78&lt;=0,$F$23,0)+IF(V78&lt;=0,$F$24,0))-C78-AN79))</f>
        <v/>
      </c>
      <c r="AQ79">
        <f>IF(D78&lt;=0,0,D78*$E$6/12)</f>
        <v/>
      </c>
      <c r="AR79">
        <f>IF(D78&lt;=0,0,MIN(D78+AQ79,$F$6+AP79))</f>
        <v/>
      </c>
      <c r="AS79">
        <f>IF(D78&lt;=0,AP79,MAX(0,$F$6+AP79-D78-AQ79))</f>
        <v/>
      </c>
      <c r="AT79">
        <f>IF(E78&lt;=0,0,E78*$E$7/12)</f>
        <v/>
      </c>
      <c r="AU79">
        <f>IF(E78&lt;=0,0,MIN(E78+AT79,$F$7+AS79))</f>
        <v/>
      </c>
      <c r="AV79">
        <f>IF(E78&lt;=0,AS79,MAX(0,$F$7+AS79-E78-AT79))</f>
        <v/>
      </c>
      <c r="AW79">
        <f>IF(F78&lt;=0,0,F78*$E$8/12)</f>
        <v/>
      </c>
      <c r="AX79">
        <f>IF(F78&lt;=0,0,MIN(F78+AW79,$F$8+AV79))</f>
        <v/>
      </c>
      <c r="AY79">
        <f>IF(F78&lt;=0,AV79,MAX(0,$F$8+AV79-F78-AW79))</f>
        <v/>
      </c>
      <c r="AZ79">
        <f>IF(G78&lt;=0,0,G78*$E$9/12)</f>
        <v/>
      </c>
      <c r="BA79">
        <f>IF(G78&lt;=0,0,MIN(G78+AZ79,$F$9+AY79))</f>
        <v/>
      </c>
      <c r="BB79">
        <f>IF(G78&lt;=0,AY79,MAX(0,$F$9+AY79-G78-AZ79))</f>
        <v/>
      </c>
      <c r="BC79">
        <f>IF(H78&lt;=0,0,H78*$E$10/12)</f>
        <v/>
      </c>
      <c r="BD79">
        <f>IF(H78&lt;=0,0,MIN(H78+BC79,$F$10+BB79))</f>
        <v/>
      </c>
      <c r="BE79">
        <f>IF(H78&lt;=0,BB79,MAX(0,$F$10+BB79-H78-BC79))</f>
        <v/>
      </c>
      <c r="BF79">
        <f>IF(I78&lt;=0,0,I78*$E$11/12)</f>
        <v/>
      </c>
      <c r="BG79">
        <f>IF(I78&lt;=0,0,MIN(I78+BF79,$F$11+BE79))</f>
        <v/>
      </c>
      <c r="BH79">
        <f>IF(I78&lt;=0,BE79,MAX(0,$F$11+BE79-I78-BF79))</f>
        <v/>
      </c>
      <c r="BI79">
        <f>IF(J78&lt;=0,0,J78*$E$12/12)</f>
        <v/>
      </c>
      <c r="BJ79">
        <f>IF(J78&lt;=0,0,MIN(J78+BI79,$F$12+BH79))</f>
        <v/>
      </c>
      <c r="BK79">
        <f>IF(J78&lt;=0,BH79,MAX(0,$F$12+BH79-J78-BI79))</f>
        <v/>
      </c>
      <c r="BL79">
        <f>IF(K78&lt;=0,0,K78*$E$13/12)</f>
        <v/>
      </c>
      <c r="BM79">
        <f>IF(K78&lt;=0,0,MIN(K78+BL79,$F$13+BK79))</f>
        <v/>
      </c>
      <c r="BN79">
        <f>IF(K78&lt;=0,BK79,MAX(0,$F$13+BK79-K78-BL79))</f>
        <v/>
      </c>
      <c r="BO79">
        <f>IF(L78&lt;=0,0,L78*$E$14/12)</f>
        <v/>
      </c>
      <c r="BP79">
        <f>IF(L78&lt;=0,0,MIN(L78+BO79,$F$14+BN79))</f>
        <v/>
      </c>
      <c r="BQ79">
        <f>IF(L78&lt;=0,BN79,MAX(0,$F$14+BN79-L78-BO79))</f>
        <v/>
      </c>
      <c r="BR79">
        <f>IF(M78&lt;=0,0,M78*$E$15/12)</f>
        <v/>
      </c>
      <c r="BS79">
        <f>IF(M78&lt;=0,0,MIN(M78+BR79,$F$15+BQ79))</f>
        <v/>
      </c>
      <c r="BT79">
        <f>IF(M78&lt;=0,BQ79,MAX(0,$F$15+BQ79-M78-BR79))</f>
        <v/>
      </c>
      <c r="BU79">
        <f>IF(N78&lt;=0,0,N78*$E$16/12)</f>
        <v/>
      </c>
      <c r="BV79">
        <f>IF(N78&lt;=0,0,MIN(N78+BU79,$F$16+BT79))</f>
        <v/>
      </c>
      <c r="BW79">
        <f>IF(N78&lt;=0,BT79,MAX(0,$F$16+BT79-N78-BU79))</f>
        <v/>
      </c>
      <c r="BX79">
        <f>IF(O78&lt;=0,0,O78*$E$17/12)</f>
        <v/>
      </c>
      <c r="BY79">
        <f>IF(O78&lt;=0,0,MIN(O78+BX79,$F$17+BW79))</f>
        <v/>
      </c>
      <c r="BZ79">
        <f>IF(O78&lt;=0,BW79,MAX(0,$F$17+BW79-O78-BX79))</f>
        <v/>
      </c>
      <c r="CA79">
        <f>IF(P78&lt;=0,0,P78*$E$18/12)</f>
        <v/>
      </c>
      <c r="CB79">
        <f>IF(P78&lt;=0,0,MIN(P78+CA79,$F$18+BZ79))</f>
        <v/>
      </c>
      <c r="CC79">
        <f>IF(P78&lt;=0,BZ79,MAX(0,$F$18+BZ79-P78-CA79))</f>
        <v/>
      </c>
      <c r="CD79">
        <f>IF(Q78&lt;=0,0,Q78*$E$19/12)</f>
        <v/>
      </c>
      <c r="CE79">
        <f>IF(Q78&lt;=0,0,MIN(Q78+CD79,$F$19+CC79))</f>
        <v/>
      </c>
      <c r="CF79">
        <f>IF(Q78&lt;=0,CC79,MAX(0,$F$19+CC79-Q78-CD79))</f>
        <v/>
      </c>
      <c r="CG79">
        <f>IF(R78&lt;=0,0,R78*$E$20/12)</f>
        <v/>
      </c>
      <c r="CH79">
        <f>IF(R78&lt;=0,0,MIN(R78+CG79,$F$20+CF79))</f>
        <v/>
      </c>
      <c r="CI79">
        <f>IF(R78&lt;=0,CF79,MAX(0,$F$20+CF79-R78-CG79))</f>
        <v/>
      </c>
      <c r="CJ79">
        <f>IF(S78&lt;=0,0,S78*$E$21/12)</f>
        <v/>
      </c>
      <c r="CK79">
        <f>IF(S78&lt;=0,0,MIN(S78+CJ79,$F$21+CI79))</f>
        <v/>
      </c>
      <c r="CL79">
        <f>IF(S78&lt;=0,CI79,MAX(0,$F$21+CI79-S78-CJ79))</f>
        <v/>
      </c>
      <c r="CM79">
        <f>IF(T78&lt;=0,0,T78*$E$22/12)</f>
        <v/>
      </c>
      <c r="CN79">
        <f>IF(T78&lt;=0,0,MIN(T78+CM79,$F$22+CL79))</f>
        <v/>
      </c>
      <c r="CO79">
        <f>IF(T78&lt;=0,CL79,MAX(0,$F$22+CL79-T78-CM79))</f>
        <v/>
      </c>
      <c r="CP79">
        <f>IF(U78&lt;=0,0,U78*$E$23/12)</f>
        <v/>
      </c>
      <c r="CQ79">
        <f>IF(U78&lt;=0,0,MIN(U78+CP79,$F$23+CO79))</f>
        <v/>
      </c>
      <c r="CR79">
        <f>IF(U78&lt;=0,CO79,MAX(0,$F$23+CO79-U78-CP79))</f>
        <v/>
      </c>
      <c r="CS79">
        <f>IF(V78&lt;=0,0,V78*$E$24/12)</f>
        <v/>
      </c>
      <c r="CT79">
        <f>IF(V78&lt;=0,0,MIN(V78+CS79,$F$24+CR79))</f>
        <v/>
      </c>
      <c r="CU79">
        <f>IF(V78&lt;=0,CR79,MAX(0,$F$24+CR79-V78-CS79))</f>
        <v/>
      </c>
    </row>
    <row r="80">
      <c r="B80" s="39" t="n">
        <v>54</v>
      </c>
      <c r="C80" s="13">
        <f>IF(C79&lt;=0,0,MAX(0,C79+AN80-AO80))</f>
        <v/>
      </c>
      <c r="D80" s="13">
        <f>IF(D79&lt;=0,0,MAX(0,D79+AQ80-AR80))</f>
        <v/>
      </c>
      <c r="E80" s="13">
        <f>IF(E79&lt;=0,0,MAX(0,E79+AT80-AU80))</f>
        <v/>
      </c>
      <c r="F80" s="13">
        <f>IF(F79&lt;=0,0,MAX(0,F79+AW80-AX80))</f>
        <v/>
      </c>
      <c r="G80" s="13">
        <f>IF(G79&lt;=0,0,MAX(0,G79+AZ80-BA80))</f>
        <v/>
      </c>
      <c r="H80" s="13">
        <f>IF(H79&lt;=0,0,MAX(0,H79+BC80-BD80))</f>
        <v/>
      </c>
      <c r="I80" s="13">
        <f>IF(I79&lt;=0,0,MAX(0,I79+BF80-BG80))</f>
        <v/>
      </c>
      <c r="J80" s="13">
        <f>IF(J79&lt;=0,0,MAX(0,J79+BI80-BJ80))</f>
        <v/>
      </c>
      <c r="K80" s="13">
        <f>IF(K79&lt;=0,0,MAX(0,K79+BL80-BM80))</f>
        <v/>
      </c>
      <c r="L80" s="13">
        <f>IF(L79&lt;=0,0,MAX(0,L79+BO80-BP80))</f>
        <v/>
      </c>
      <c r="M80" s="13">
        <f>IF(M79&lt;=0,0,MAX(0,M79+BR80-BS80))</f>
        <v/>
      </c>
      <c r="N80" s="13">
        <f>IF(N79&lt;=0,0,MAX(0,N79+BU80-BV80))</f>
        <v/>
      </c>
      <c r="O80" s="13">
        <f>IF(O79&lt;=0,0,MAX(0,O79+BX80-BY80))</f>
        <v/>
      </c>
      <c r="P80" s="13">
        <f>IF(P79&lt;=0,0,MAX(0,P79+CA80-CB80))</f>
        <v/>
      </c>
      <c r="Q80" s="13">
        <f>IF(Q79&lt;=0,0,MAX(0,Q79+CD80-CE80))</f>
        <v/>
      </c>
      <c r="R80" s="13">
        <f>IF(R79&lt;=0,0,MAX(0,R79+CG80-CH80))</f>
        <v/>
      </c>
      <c r="S80" s="13">
        <f>IF(S79&lt;=0,0,MAX(0,S79+CJ80-CK80))</f>
        <v/>
      </c>
      <c r="T80" s="13">
        <f>IF(T79&lt;=0,0,MAX(0,T79+CM80-CN80))</f>
        <v/>
      </c>
      <c r="U80" s="13">
        <f>IF(U79&lt;=0,0,MAX(0,U79+CP80-CQ80))</f>
        <v/>
      </c>
      <c r="V80" s="13">
        <f>IF(V79&lt;=0,0,MAX(0,V79+CS80-CT80))</f>
        <v/>
      </c>
      <c r="W80" s="13">
        <f>AO80+AR80+AU80+AX80+BA80+BD80+BG80+BJ80+BM80+BP80+BS80+BV80+BY80+CB80+CE80+CH80+CK80+CN80+CQ80+CT80</f>
        <v/>
      </c>
      <c r="X80" s="13">
        <f>AN80+AQ80+AT80+AW80+AZ80+BC80+BF80+BI80+BL80+BO80+BR80+BU80+BX80+CA80+CD80+CG80+CJ80+CM80+CP80+CS80</f>
        <v/>
      </c>
      <c r="Y80" s="27">
        <f>C80+D80+E80+F80+G80+H80+I80+J80+K80+L80+M80+N80+O80+P80+Q80+R80+S80+T80+U80+V80</f>
        <v/>
      </c>
      <c r="AN80">
        <f>IF(C79&lt;=0,0,C79*$E$5/12)</f>
        <v/>
      </c>
      <c r="AO80">
        <f>IF(C79&lt;=0,0,MIN(C79+AN80,$F$5+(Dashboard!$C$11+IF(C79&lt;=0,$F$5,0)+IF(D79&lt;=0,$F$6,0)+IF(E79&lt;=0,$F$7,0)+IF(F79&lt;=0,$F$8,0)+IF(G79&lt;=0,$F$9,0)+IF(H79&lt;=0,$F$10,0)+IF(I79&lt;=0,$F$11,0)+IF(J79&lt;=0,$F$12,0)+IF(K79&lt;=0,$F$13,0)+IF(L79&lt;=0,$F$14,0)+IF(M79&lt;=0,$F$15,0)+IF(N79&lt;=0,$F$16,0)+IF(O79&lt;=0,$F$17,0)+IF(P79&lt;=0,$F$18,0)+IF(Q79&lt;=0,$F$19,0)+IF(R79&lt;=0,$F$20,0)+IF(S79&lt;=0,$F$21,0)+IF(T79&lt;=0,$F$22,0)+IF(U79&lt;=0,$F$23,0)+IF(V79&lt;=0,$F$24,0))))</f>
        <v/>
      </c>
      <c r="AP80">
        <f>IF(C79&lt;=0,(Dashboard!$C$11+IF(C79&lt;=0,$F$5,0)+IF(D79&lt;=0,$F$6,0)+IF(E79&lt;=0,$F$7,0)+IF(F79&lt;=0,$F$8,0)+IF(G79&lt;=0,$F$9,0)+IF(H79&lt;=0,$F$10,0)+IF(I79&lt;=0,$F$11,0)+IF(J79&lt;=0,$F$12,0)+IF(K79&lt;=0,$F$13,0)+IF(L79&lt;=0,$F$14,0)+IF(M79&lt;=0,$F$15,0)+IF(N79&lt;=0,$F$16,0)+IF(O79&lt;=0,$F$17,0)+IF(P79&lt;=0,$F$18,0)+IF(Q79&lt;=0,$F$19,0)+IF(R79&lt;=0,$F$20,0)+IF(S79&lt;=0,$F$21,0)+IF(T79&lt;=0,$F$22,0)+IF(U79&lt;=0,$F$23,0)+IF(V79&lt;=0,$F$24,0)),MAX(0,$F$5+(Dashboard!$C$11+IF(C79&lt;=0,$F$5,0)+IF(D79&lt;=0,$F$6,0)+IF(E79&lt;=0,$F$7,0)+IF(F79&lt;=0,$F$8,0)+IF(G79&lt;=0,$F$9,0)+IF(H79&lt;=0,$F$10,0)+IF(I79&lt;=0,$F$11,0)+IF(J79&lt;=0,$F$12,0)+IF(K79&lt;=0,$F$13,0)+IF(L79&lt;=0,$F$14,0)+IF(M79&lt;=0,$F$15,0)+IF(N79&lt;=0,$F$16,0)+IF(O79&lt;=0,$F$17,0)+IF(P79&lt;=0,$F$18,0)+IF(Q79&lt;=0,$F$19,0)+IF(R79&lt;=0,$F$20,0)+IF(S79&lt;=0,$F$21,0)+IF(T79&lt;=0,$F$22,0)+IF(U79&lt;=0,$F$23,0)+IF(V79&lt;=0,$F$24,0))-C79-AN80))</f>
        <v/>
      </c>
      <c r="AQ80">
        <f>IF(D79&lt;=0,0,D79*$E$6/12)</f>
        <v/>
      </c>
      <c r="AR80">
        <f>IF(D79&lt;=0,0,MIN(D79+AQ80,$F$6+AP80))</f>
        <v/>
      </c>
      <c r="AS80">
        <f>IF(D79&lt;=0,AP80,MAX(0,$F$6+AP80-D79-AQ80))</f>
        <v/>
      </c>
      <c r="AT80">
        <f>IF(E79&lt;=0,0,E79*$E$7/12)</f>
        <v/>
      </c>
      <c r="AU80">
        <f>IF(E79&lt;=0,0,MIN(E79+AT80,$F$7+AS80))</f>
        <v/>
      </c>
      <c r="AV80">
        <f>IF(E79&lt;=0,AS80,MAX(0,$F$7+AS80-E79-AT80))</f>
        <v/>
      </c>
      <c r="AW80">
        <f>IF(F79&lt;=0,0,F79*$E$8/12)</f>
        <v/>
      </c>
      <c r="AX80">
        <f>IF(F79&lt;=0,0,MIN(F79+AW80,$F$8+AV80))</f>
        <v/>
      </c>
      <c r="AY80">
        <f>IF(F79&lt;=0,AV80,MAX(0,$F$8+AV80-F79-AW80))</f>
        <v/>
      </c>
      <c r="AZ80">
        <f>IF(G79&lt;=0,0,G79*$E$9/12)</f>
        <v/>
      </c>
      <c r="BA80">
        <f>IF(G79&lt;=0,0,MIN(G79+AZ80,$F$9+AY80))</f>
        <v/>
      </c>
      <c r="BB80">
        <f>IF(G79&lt;=0,AY80,MAX(0,$F$9+AY80-G79-AZ80))</f>
        <v/>
      </c>
      <c r="BC80">
        <f>IF(H79&lt;=0,0,H79*$E$10/12)</f>
        <v/>
      </c>
      <c r="BD80">
        <f>IF(H79&lt;=0,0,MIN(H79+BC80,$F$10+BB80))</f>
        <v/>
      </c>
      <c r="BE80">
        <f>IF(H79&lt;=0,BB80,MAX(0,$F$10+BB80-H79-BC80))</f>
        <v/>
      </c>
      <c r="BF80">
        <f>IF(I79&lt;=0,0,I79*$E$11/12)</f>
        <v/>
      </c>
      <c r="BG80">
        <f>IF(I79&lt;=0,0,MIN(I79+BF80,$F$11+BE80))</f>
        <v/>
      </c>
      <c r="BH80">
        <f>IF(I79&lt;=0,BE80,MAX(0,$F$11+BE80-I79-BF80))</f>
        <v/>
      </c>
      <c r="BI80">
        <f>IF(J79&lt;=0,0,J79*$E$12/12)</f>
        <v/>
      </c>
      <c r="BJ80">
        <f>IF(J79&lt;=0,0,MIN(J79+BI80,$F$12+BH80))</f>
        <v/>
      </c>
      <c r="BK80">
        <f>IF(J79&lt;=0,BH80,MAX(0,$F$12+BH80-J79-BI80))</f>
        <v/>
      </c>
      <c r="BL80">
        <f>IF(K79&lt;=0,0,K79*$E$13/12)</f>
        <v/>
      </c>
      <c r="BM80">
        <f>IF(K79&lt;=0,0,MIN(K79+BL80,$F$13+BK80))</f>
        <v/>
      </c>
      <c r="BN80">
        <f>IF(K79&lt;=0,BK80,MAX(0,$F$13+BK80-K79-BL80))</f>
        <v/>
      </c>
      <c r="BO80">
        <f>IF(L79&lt;=0,0,L79*$E$14/12)</f>
        <v/>
      </c>
      <c r="BP80">
        <f>IF(L79&lt;=0,0,MIN(L79+BO80,$F$14+BN80))</f>
        <v/>
      </c>
      <c r="BQ80">
        <f>IF(L79&lt;=0,BN80,MAX(0,$F$14+BN80-L79-BO80))</f>
        <v/>
      </c>
      <c r="BR80">
        <f>IF(M79&lt;=0,0,M79*$E$15/12)</f>
        <v/>
      </c>
      <c r="BS80">
        <f>IF(M79&lt;=0,0,MIN(M79+BR80,$F$15+BQ80))</f>
        <v/>
      </c>
      <c r="BT80">
        <f>IF(M79&lt;=0,BQ80,MAX(0,$F$15+BQ80-M79-BR80))</f>
        <v/>
      </c>
      <c r="BU80">
        <f>IF(N79&lt;=0,0,N79*$E$16/12)</f>
        <v/>
      </c>
      <c r="BV80">
        <f>IF(N79&lt;=0,0,MIN(N79+BU80,$F$16+BT80))</f>
        <v/>
      </c>
      <c r="BW80">
        <f>IF(N79&lt;=0,BT80,MAX(0,$F$16+BT80-N79-BU80))</f>
        <v/>
      </c>
      <c r="BX80">
        <f>IF(O79&lt;=0,0,O79*$E$17/12)</f>
        <v/>
      </c>
      <c r="BY80">
        <f>IF(O79&lt;=0,0,MIN(O79+BX80,$F$17+BW80))</f>
        <v/>
      </c>
      <c r="BZ80">
        <f>IF(O79&lt;=0,BW80,MAX(0,$F$17+BW80-O79-BX80))</f>
        <v/>
      </c>
      <c r="CA80">
        <f>IF(P79&lt;=0,0,P79*$E$18/12)</f>
        <v/>
      </c>
      <c r="CB80">
        <f>IF(P79&lt;=0,0,MIN(P79+CA80,$F$18+BZ80))</f>
        <v/>
      </c>
      <c r="CC80">
        <f>IF(P79&lt;=0,BZ80,MAX(0,$F$18+BZ80-P79-CA80))</f>
        <v/>
      </c>
      <c r="CD80">
        <f>IF(Q79&lt;=0,0,Q79*$E$19/12)</f>
        <v/>
      </c>
      <c r="CE80">
        <f>IF(Q79&lt;=0,0,MIN(Q79+CD80,$F$19+CC80))</f>
        <v/>
      </c>
      <c r="CF80">
        <f>IF(Q79&lt;=0,CC80,MAX(0,$F$19+CC80-Q79-CD80))</f>
        <v/>
      </c>
      <c r="CG80">
        <f>IF(R79&lt;=0,0,R79*$E$20/12)</f>
        <v/>
      </c>
      <c r="CH80">
        <f>IF(R79&lt;=0,0,MIN(R79+CG80,$F$20+CF80))</f>
        <v/>
      </c>
      <c r="CI80">
        <f>IF(R79&lt;=0,CF80,MAX(0,$F$20+CF80-R79-CG80))</f>
        <v/>
      </c>
      <c r="CJ80">
        <f>IF(S79&lt;=0,0,S79*$E$21/12)</f>
        <v/>
      </c>
      <c r="CK80">
        <f>IF(S79&lt;=0,0,MIN(S79+CJ80,$F$21+CI80))</f>
        <v/>
      </c>
      <c r="CL80">
        <f>IF(S79&lt;=0,CI80,MAX(0,$F$21+CI80-S79-CJ80))</f>
        <v/>
      </c>
      <c r="CM80">
        <f>IF(T79&lt;=0,0,T79*$E$22/12)</f>
        <v/>
      </c>
      <c r="CN80">
        <f>IF(T79&lt;=0,0,MIN(T79+CM80,$F$22+CL80))</f>
        <v/>
      </c>
      <c r="CO80">
        <f>IF(T79&lt;=0,CL80,MAX(0,$F$22+CL80-T79-CM80))</f>
        <v/>
      </c>
      <c r="CP80">
        <f>IF(U79&lt;=0,0,U79*$E$23/12)</f>
        <v/>
      </c>
      <c r="CQ80">
        <f>IF(U79&lt;=0,0,MIN(U79+CP80,$F$23+CO80))</f>
        <v/>
      </c>
      <c r="CR80">
        <f>IF(U79&lt;=0,CO80,MAX(0,$F$23+CO80-U79-CP80))</f>
        <v/>
      </c>
      <c r="CS80">
        <f>IF(V79&lt;=0,0,V79*$E$24/12)</f>
        <v/>
      </c>
      <c r="CT80">
        <f>IF(V79&lt;=0,0,MIN(V79+CS80,$F$24+CR80))</f>
        <v/>
      </c>
      <c r="CU80">
        <f>IF(V79&lt;=0,CR80,MAX(0,$F$24+CR80-V79-CS80))</f>
        <v/>
      </c>
    </row>
    <row r="81">
      <c r="B81" s="39" t="n">
        <v>55</v>
      </c>
      <c r="C81" s="13">
        <f>IF(C80&lt;=0,0,MAX(0,C80+AN81-AO81))</f>
        <v/>
      </c>
      <c r="D81" s="13">
        <f>IF(D80&lt;=0,0,MAX(0,D80+AQ81-AR81))</f>
        <v/>
      </c>
      <c r="E81" s="13">
        <f>IF(E80&lt;=0,0,MAX(0,E80+AT81-AU81))</f>
        <v/>
      </c>
      <c r="F81" s="13">
        <f>IF(F80&lt;=0,0,MAX(0,F80+AW81-AX81))</f>
        <v/>
      </c>
      <c r="G81" s="13">
        <f>IF(G80&lt;=0,0,MAX(0,G80+AZ81-BA81))</f>
        <v/>
      </c>
      <c r="H81" s="13">
        <f>IF(H80&lt;=0,0,MAX(0,H80+BC81-BD81))</f>
        <v/>
      </c>
      <c r="I81" s="13">
        <f>IF(I80&lt;=0,0,MAX(0,I80+BF81-BG81))</f>
        <v/>
      </c>
      <c r="J81" s="13">
        <f>IF(J80&lt;=0,0,MAX(0,J80+BI81-BJ81))</f>
        <v/>
      </c>
      <c r="K81" s="13">
        <f>IF(K80&lt;=0,0,MAX(0,K80+BL81-BM81))</f>
        <v/>
      </c>
      <c r="L81" s="13">
        <f>IF(L80&lt;=0,0,MAX(0,L80+BO81-BP81))</f>
        <v/>
      </c>
      <c r="M81" s="13">
        <f>IF(M80&lt;=0,0,MAX(0,M80+BR81-BS81))</f>
        <v/>
      </c>
      <c r="N81" s="13">
        <f>IF(N80&lt;=0,0,MAX(0,N80+BU81-BV81))</f>
        <v/>
      </c>
      <c r="O81" s="13">
        <f>IF(O80&lt;=0,0,MAX(0,O80+BX81-BY81))</f>
        <v/>
      </c>
      <c r="P81" s="13">
        <f>IF(P80&lt;=0,0,MAX(0,P80+CA81-CB81))</f>
        <v/>
      </c>
      <c r="Q81" s="13">
        <f>IF(Q80&lt;=0,0,MAX(0,Q80+CD81-CE81))</f>
        <v/>
      </c>
      <c r="R81" s="13">
        <f>IF(R80&lt;=0,0,MAX(0,R80+CG81-CH81))</f>
        <v/>
      </c>
      <c r="S81" s="13">
        <f>IF(S80&lt;=0,0,MAX(0,S80+CJ81-CK81))</f>
        <v/>
      </c>
      <c r="T81" s="13">
        <f>IF(T80&lt;=0,0,MAX(0,T80+CM81-CN81))</f>
        <v/>
      </c>
      <c r="U81" s="13">
        <f>IF(U80&lt;=0,0,MAX(0,U80+CP81-CQ81))</f>
        <v/>
      </c>
      <c r="V81" s="13">
        <f>IF(V80&lt;=0,0,MAX(0,V80+CS81-CT81))</f>
        <v/>
      </c>
      <c r="W81" s="13">
        <f>AO81+AR81+AU81+AX81+BA81+BD81+BG81+BJ81+BM81+BP81+BS81+BV81+BY81+CB81+CE81+CH81+CK81+CN81+CQ81+CT81</f>
        <v/>
      </c>
      <c r="X81" s="13">
        <f>AN81+AQ81+AT81+AW81+AZ81+BC81+BF81+BI81+BL81+BO81+BR81+BU81+BX81+CA81+CD81+CG81+CJ81+CM81+CP81+CS81</f>
        <v/>
      </c>
      <c r="Y81" s="27">
        <f>C81+D81+E81+F81+G81+H81+I81+J81+K81+L81+M81+N81+O81+P81+Q81+R81+S81+T81+U81+V81</f>
        <v/>
      </c>
      <c r="AN81">
        <f>IF(C80&lt;=0,0,C80*$E$5/12)</f>
        <v/>
      </c>
      <c r="AO81">
        <f>IF(C80&lt;=0,0,MIN(C80+AN81,$F$5+(Dashboard!$C$11+IF(C80&lt;=0,$F$5,0)+IF(D80&lt;=0,$F$6,0)+IF(E80&lt;=0,$F$7,0)+IF(F80&lt;=0,$F$8,0)+IF(G80&lt;=0,$F$9,0)+IF(H80&lt;=0,$F$10,0)+IF(I80&lt;=0,$F$11,0)+IF(J80&lt;=0,$F$12,0)+IF(K80&lt;=0,$F$13,0)+IF(L80&lt;=0,$F$14,0)+IF(M80&lt;=0,$F$15,0)+IF(N80&lt;=0,$F$16,0)+IF(O80&lt;=0,$F$17,0)+IF(P80&lt;=0,$F$18,0)+IF(Q80&lt;=0,$F$19,0)+IF(R80&lt;=0,$F$20,0)+IF(S80&lt;=0,$F$21,0)+IF(T80&lt;=0,$F$22,0)+IF(U80&lt;=0,$F$23,0)+IF(V80&lt;=0,$F$24,0))))</f>
        <v/>
      </c>
      <c r="AP81">
        <f>IF(C80&lt;=0,(Dashboard!$C$11+IF(C80&lt;=0,$F$5,0)+IF(D80&lt;=0,$F$6,0)+IF(E80&lt;=0,$F$7,0)+IF(F80&lt;=0,$F$8,0)+IF(G80&lt;=0,$F$9,0)+IF(H80&lt;=0,$F$10,0)+IF(I80&lt;=0,$F$11,0)+IF(J80&lt;=0,$F$12,0)+IF(K80&lt;=0,$F$13,0)+IF(L80&lt;=0,$F$14,0)+IF(M80&lt;=0,$F$15,0)+IF(N80&lt;=0,$F$16,0)+IF(O80&lt;=0,$F$17,0)+IF(P80&lt;=0,$F$18,0)+IF(Q80&lt;=0,$F$19,0)+IF(R80&lt;=0,$F$20,0)+IF(S80&lt;=0,$F$21,0)+IF(T80&lt;=0,$F$22,0)+IF(U80&lt;=0,$F$23,0)+IF(V80&lt;=0,$F$24,0)),MAX(0,$F$5+(Dashboard!$C$11+IF(C80&lt;=0,$F$5,0)+IF(D80&lt;=0,$F$6,0)+IF(E80&lt;=0,$F$7,0)+IF(F80&lt;=0,$F$8,0)+IF(G80&lt;=0,$F$9,0)+IF(H80&lt;=0,$F$10,0)+IF(I80&lt;=0,$F$11,0)+IF(J80&lt;=0,$F$12,0)+IF(K80&lt;=0,$F$13,0)+IF(L80&lt;=0,$F$14,0)+IF(M80&lt;=0,$F$15,0)+IF(N80&lt;=0,$F$16,0)+IF(O80&lt;=0,$F$17,0)+IF(P80&lt;=0,$F$18,0)+IF(Q80&lt;=0,$F$19,0)+IF(R80&lt;=0,$F$20,0)+IF(S80&lt;=0,$F$21,0)+IF(T80&lt;=0,$F$22,0)+IF(U80&lt;=0,$F$23,0)+IF(V80&lt;=0,$F$24,0))-C80-AN81))</f>
        <v/>
      </c>
      <c r="AQ81">
        <f>IF(D80&lt;=0,0,D80*$E$6/12)</f>
        <v/>
      </c>
      <c r="AR81">
        <f>IF(D80&lt;=0,0,MIN(D80+AQ81,$F$6+AP81))</f>
        <v/>
      </c>
      <c r="AS81">
        <f>IF(D80&lt;=0,AP81,MAX(0,$F$6+AP81-D80-AQ81))</f>
        <v/>
      </c>
      <c r="AT81">
        <f>IF(E80&lt;=0,0,E80*$E$7/12)</f>
        <v/>
      </c>
      <c r="AU81">
        <f>IF(E80&lt;=0,0,MIN(E80+AT81,$F$7+AS81))</f>
        <v/>
      </c>
      <c r="AV81">
        <f>IF(E80&lt;=0,AS81,MAX(0,$F$7+AS81-E80-AT81))</f>
        <v/>
      </c>
      <c r="AW81">
        <f>IF(F80&lt;=0,0,F80*$E$8/12)</f>
        <v/>
      </c>
      <c r="AX81">
        <f>IF(F80&lt;=0,0,MIN(F80+AW81,$F$8+AV81))</f>
        <v/>
      </c>
      <c r="AY81">
        <f>IF(F80&lt;=0,AV81,MAX(0,$F$8+AV81-F80-AW81))</f>
        <v/>
      </c>
      <c r="AZ81">
        <f>IF(G80&lt;=0,0,G80*$E$9/12)</f>
        <v/>
      </c>
      <c r="BA81">
        <f>IF(G80&lt;=0,0,MIN(G80+AZ81,$F$9+AY81))</f>
        <v/>
      </c>
      <c r="BB81">
        <f>IF(G80&lt;=0,AY81,MAX(0,$F$9+AY81-G80-AZ81))</f>
        <v/>
      </c>
      <c r="BC81">
        <f>IF(H80&lt;=0,0,H80*$E$10/12)</f>
        <v/>
      </c>
      <c r="BD81">
        <f>IF(H80&lt;=0,0,MIN(H80+BC81,$F$10+BB81))</f>
        <v/>
      </c>
      <c r="BE81">
        <f>IF(H80&lt;=0,BB81,MAX(0,$F$10+BB81-H80-BC81))</f>
        <v/>
      </c>
      <c r="BF81">
        <f>IF(I80&lt;=0,0,I80*$E$11/12)</f>
        <v/>
      </c>
      <c r="BG81">
        <f>IF(I80&lt;=0,0,MIN(I80+BF81,$F$11+BE81))</f>
        <v/>
      </c>
      <c r="BH81">
        <f>IF(I80&lt;=0,BE81,MAX(0,$F$11+BE81-I80-BF81))</f>
        <v/>
      </c>
      <c r="BI81">
        <f>IF(J80&lt;=0,0,J80*$E$12/12)</f>
        <v/>
      </c>
      <c r="BJ81">
        <f>IF(J80&lt;=0,0,MIN(J80+BI81,$F$12+BH81))</f>
        <v/>
      </c>
      <c r="BK81">
        <f>IF(J80&lt;=0,BH81,MAX(0,$F$12+BH81-J80-BI81))</f>
        <v/>
      </c>
      <c r="BL81">
        <f>IF(K80&lt;=0,0,K80*$E$13/12)</f>
        <v/>
      </c>
      <c r="BM81">
        <f>IF(K80&lt;=0,0,MIN(K80+BL81,$F$13+BK81))</f>
        <v/>
      </c>
      <c r="BN81">
        <f>IF(K80&lt;=0,BK81,MAX(0,$F$13+BK81-K80-BL81))</f>
        <v/>
      </c>
      <c r="BO81">
        <f>IF(L80&lt;=0,0,L80*$E$14/12)</f>
        <v/>
      </c>
      <c r="BP81">
        <f>IF(L80&lt;=0,0,MIN(L80+BO81,$F$14+BN81))</f>
        <v/>
      </c>
      <c r="BQ81">
        <f>IF(L80&lt;=0,BN81,MAX(0,$F$14+BN81-L80-BO81))</f>
        <v/>
      </c>
      <c r="BR81">
        <f>IF(M80&lt;=0,0,M80*$E$15/12)</f>
        <v/>
      </c>
      <c r="BS81">
        <f>IF(M80&lt;=0,0,MIN(M80+BR81,$F$15+BQ81))</f>
        <v/>
      </c>
      <c r="BT81">
        <f>IF(M80&lt;=0,BQ81,MAX(0,$F$15+BQ81-M80-BR81))</f>
        <v/>
      </c>
      <c r="BU81">
        <f>IF(N80&lt;=0,0,N80*$E$16/12)</f>
        <v/>
      </c>
      <c r="BV81">
        <f>IF(N80&lt;=0,0,MIN(N80+BU81,$F$16+BT81))</f>
        <v/>
      </c>
      <c r="BW81">
        <f>IF(N80&lt;=0,BT81,MAX(0,$F$16+BT81-N80-BU81))</f>
        <v/>
      </c>
      <c r="BX81">
        <f>IF(O80&lt;=0,0,O80*$E$17/12)</f>
        <v/>
      </c>
      <c r="BY81">
        <f>IF(O80&lt;=0,0,MIN(O80+BX81,$F$17+BW81))</f>
        <v/>
      </c>
      <c r="BZ81">
        <f>IF(O80&lt;=0,BW81,MAX(0,$F$17+BW81-O80-BX81))</f>
        <v/>
      </c>
      <c r="CA81">
        <f>IF(P80&lt;=0,0,P80*$E$18/12)</f>
        <v/>
      </c>
      <c r="CB81">
        <f>IF(P80&lt;=0,0,MIN(P80+CA81,$F$18+BZ81))</f>
        <v/>
      </c>
      <c r="CC81">
        <f>IF(P80&lt;=0,BZ81,MAX(0,$F$18+BZ81-P80-CA81))</f>
        <v/>
      </c>
      <c r="CD81">
        <f>IF(Q80&lt;=0,0,Q80*$E$19/12)</f>
        <v/>
      </c>
      <c r="CE81">
        <f>IF(Q80&lt;=0,0,MIN(Q80+CD81,$F$19+CC81))</f>
        <v/>
      </c>
      <c r="CF81">
        <f>IF(Q80&lt;=0,CC81,MAX(0,$F$19+CC81-Q80-CD81))</f>
        <v/>
      </c>
      <c r="CG81">
        <f>IF(R80&lt;=0,0,R80*$E$20/12)</f>
        <v/>
      </c>
      <c r="CH81">
        <f>IF(R80&lt;=0,0,MIN(R80+CG81,$F$20+CF81))</f>
        <v/>
      </c>
      <c r="CI81">
        <f>IF(R80&lt;=0,CF81,MAX(0,$F$20+CF81-R80-CG81))</f>
        <v/>
      </c>
      <c r="CJ81">
        <f>IF(S80&lt;=0,0,S80*$E$21/12)</f>
        <v/>
      </c>
      <c r="CK81">
        <f>IF(S80&lt;=0,0,MIN(S80+CJ81,$F$21+CI81))</f>
        <v/>
      </c>
      <c r="CL81">
        <f>IF(S80&lt;=0,CI81,MAX(0,$F$21+CI81-S80-CJ81))</f>
        <v/>
      </c>
      <c r="CM81">
        <f>IF(T80&lt;=0,0,T80*$E$22/12)</f>
        <v/>
      </c>
      <c r="CN81">
        <f>IF(T80&lt;=0,0,MIN(T80+CM81,$F$22+CL81))</f>
        <v/>
      </c>
      <c r="CO81">
        <f>IF(T80&lt;=0,CL81,MAX(0,$F$22+CL81-T80-CM81))</f>
        <v/>
      </c>
      <c r="CP81">
        <f>IF(U80&lt;=0,0,U80*$E$23/12)</f>
        <v/>
      </c>
      <c r="CQ81">
        <f>IF(U80&lt;=0,0,MIN(U80+CP81,$F$23+CO81))</f>
        <v/>
      </c>
      <c r="CR81">
        <f>IF(U80&lt;=0,CO81,MAX(0,$F$23+CO81-U80-CP81))</f>
        <v/>
      </c>
      <c r="CS81">
        <f>IF(V80&lt;=0,0,V80*$E$24/12)</f>
        <v/>
      </c>
      <c r="CT81">
        <f>IF(V80&lt;=0,0,MIN(V80+CS81,$F$24+CR81))</f>
        <v/>
      </c>
      <c r="CU81">
        <f>IF(V80&lt;=0,CR81,MAX(0,$F$24+CR81-V80-CS81))</f>
        <v/>
      </c>
    </row>
    <row r="82">
      <c r="B82" s="39" t="n">
        <v>56</v>
      </c>
      <c r="C82" s="13">
        <f>IF(C81&lt;=0,0,MAX(0,C81+AN82-AO82))</f>
        <v/>
      </c>
      <c r="D82" s="13">
        <f>IF(D81&lt;=0,0,MAX(0,D81+AQ82-AR82))</f>
        <v/>
      </c>
      <c r="E82" s="13">
        <f>IF(E81&lt;=0,0,MAX(0,E81+AT82-AU82))</f>
        <v/>
      </c>
      <c r="F82" s="13">
        <f>IF(F81&lt;=0,0,MAX(0,F81+AW82-AX82))</f>
        <v/>
      </c>
      <c r="G82" s="13">
        <f>IF(G81&lt;=0,0,MAX(0,G81+AZ82-BA82))</f>
        <v/>
      </c>
      <c r="H82" s="13">
        <f>IF(H81&lt;=0,0,MAX(0,H81+BC82-BD82))</f>
        <v/>
      </c>
      <c r="I82" s="13">
        <f>IF(I81&lt;=0,0,MAX(0,I81+BF82-BG82))</f>
        <v/>
      </c>
      <c r="J82" s="13">
        <f>IF(J81&lt;=0,0,MAX(0,J81+BI82-BJ82))</f>
        <v/>
      </c>
      <c r="K82" s="13">
        <f>IF(K81&lt;=0,0,MAX(0,K81+BL82-BM82))</f>
        <v/>
      </c>
      <c r="L82" s="13">
        <f>IF(L81&lt;=0,0,MAX(0,L81+BO82-BP82))</f>
        <v/>
      </c>
      <c r="M82" s="13">
        <f>IF(M81&lt;=0,0,MAX(0,M81+BR82-BS82))</f>
        <v/>
      </c>
      <c r="N82" s="13">
        <f>IF(N81&lt;=0,0,MAX(0,N81+BU82-BV82))</f>
        <v/>
      </c>
      <c r="O82" s="13">
        <f>IF(O81&lt;=0,0,MAX(0,O81+BX82-BY82))</f>
        <v/>
      </c>
      <c r="P82" s="13">
        <f>IF(P81&lt;=0,0,MAX(0,P81+CA82-CB82))</f>
        <v/>
      </c>
      <c r="Q82" s="13">
        <f>IF(Q81&lt;=0,0,MAX(0,Q81+CD82-CE82))</f>
        <v/>
      </c>
      <c r="R82" s="13">
        <f>IF(R81&lt;=0,0,MAX(0,R81+CG82-CH82))</f>
        <v/>
      </c>
      <c r="S82" s="13">
        <f>IF(S81&lt;=0,0,MAX(0,S81+CJ82-CK82))</f>
        <v/>
      </c>
      <c r="T82" s="13">
        <f>IF(T81&lt;=0,0,MAX(0,T81+CM82-CN82))</f>
        <v/>
      </c>
      <c r="U82" s="13">
        <f>IF(U81&lt;=0,0,MAX(0,U81+CP82-CQ82))</f>
        <v/>
      </c>
      <c r="V82" s="13">
        <f>IF(V81&lt;=0,0,MAX(0,V81+CS82-CT82))</f>
        <v/>
      </c>
      <c r="W82" s="13">
        <f>AO82+AR82+AU82+AX82+BA82+BD82+BG82+BJ82+BM82+BP82+BS82+BV82+BY82+CB82+CE82+CH82+CK82+CN82+CQ82+CT82</f>
        <v/>
      </c>
      <c r="X82" s="13">
        <f>AN82+AQ82+AT82+AW82+AZ82+BC82+BF82+BI82+BL82+BO82+BR82+BU82+BX82+CA82+CD82+CG82+CJ82+CM82+CP82+CS82</f>
        <v/>
      </c>
      <c r="Y82" s="27">
        <f>C82+D82+E82+F82+G82+H82+I82+J82+K82+L82+M82+N82+O82+P82+Q82+R82+S82+T82+U82+V82</f>
        <v/>
      </c>
      <c r="AN82">
        <f>IF(C81&lt;=0,0,C81*$E$5/12)</f>
        <v/>
      </c>
      <c r="AO82">
        <f>IF(C81&lt;=0,0,MIN(C81+AN82,$F$5+(Dashboard!$C$11+IF(C81&lt;=0,$F$5,0)+IF(D81&lt;=0,$F$6,0)+IF(E81&lt;=0,$F$7,0)+IF(F81&lt;=0,$F$8,0)+IF(G81&lt;=0,$F$9,0)+IF(H81&lt;=0,$F$10,0)+IF(I81&lt;=0,$F$11,0)+IF(J81&lt;=0,$F$12,0)+IF(K81&lt;=0,$F$13,0)+IF(L81&lt;=0,$F$14,0)+IF(M81&lt;=0,$F$15,0)+IF(N81&lt;=0,$F$16,0)+IF(O81&lt;=0,$F$17,0)+IF(P81&lt;=0,$F$18,0)+IF(Q81&lt;=0,$F$19,0)+IF(R81&lt;=0,$F$20,0)+IF(S81&lt;=0,$F$21,0)+IF(T81&lt;=0,$F$22,0)+IF(U81&lt;=0,$F$23,0)+IF(V81&lt;=0,$F$24,0))))</f>
        <v/>
      </c>
      <c r="AP82">
        <f>IF(C81&lt;=0,(Dashboard!$C$11+IF(C81&lt;=0,$F$5,0)+IF(D81&lt;=0,$F$6,0)+IF(E81&lt;=0,$F$7,0)+IF(F81&lt;=0,$F$8,0)+IF(G81&lt;=0,$F$9,0)+IF(H81&lt;=0,$F$10,0)+IF(I81&lt;=0,$F$11,0)+IF(J81&lt;=0,$F$12,0)+IF(K81&lt;=0,$F$13,0)+IF(L81&lt;=0,$F$14,0)+IF(M81&lt;=0,$F$15,0)+IF(N81&lt;=0,$F$16,0)+IF(O81&lt;=0,$F$17,0)+IF(P81&lt;=0,$F$18,0)+IF(Q81&lt;=0,$F$19,0)+IF(R81&lt;=0,$F$20,0)+IF(S81&lt;=0,$F$21,0)+IF(T81&lt;=0,$F$22,0)+IF(U81&lt;=0,$F$23,0)+IF(V81&lt;=0,$F$24,0)),MAX(0,$F$5+(Dashboard!$C$11+IF(C81&lt;=0,$F$5,0)+IF(D81&lt;=0,$F$6,0)+IF(E81&lt;=0,$F$7,0)+IF(F81&lt;=0,$F$8,0)+IF(G81&lt;=0,$F$9,0)+IF(H81&lt;=0,$F$10,0)+IF(I81&lt;=0,$F$11,0)+IF(J81&lt;=0,$F$12,0)+IF(K81&lt;=0,$F$13,0)+IF(L81&lt;=0,$F$14,0)+IF(M81&lt;=0,$F$15,0)+IF(N81&lt;=0,$F$16,0)+IF(O81&lt;=0,$F$17,0)+IF(P81&lt;=0,$F$18,0)+IF(Q81&lt;=0,$F$19,0)+IF(R81&lt;=0,$F$20,0)+IF(S81&lt;=0,$F$21,0)+IF(T81&lt;=0,$F$22,0)+IF(U81&lt;=0,$F$23,0)+IF(V81&lt;=0,$F$24,0))-C81-AN82))</f>
        <v/>
      </c>
      <c r="AQ82">
        <f>IF(D81&lt;=0,0,D81*$E$6/12)</f>
        <v/>
      </c>
      <c r="AR82">
        <f>IF(D81&lt;=0,0,MIN(D81+AQ82,$F$6+AP82))</f>
        <v/>
      </c>
      <c r="AS82">
        <f>IF(D81&lt;=0,AP82,MAX(0,$F$6+AP82-D81-AQ82))</f>
        <v/>
      </c>
      <c r="AT82">
        <f>IF(E81&lt;=0,0,E81*$E$7/12)</f>
        <v/>
      </c>
      <c r="AU82">
        <f>IF(E81&lt;=0,0,MIN(E81+AT82,$F$7+AS82))</f>
        <v/>
      </c>
      <c r="AV82">
        <f>IF(E81&lt;=0,AS82,MAX(0,$F$7+AS82-E81-AT82))</f>
        <v/>
      </c>
      <c r="AW82">
        <f>IF(F81&lt;=0,0,F81*$E$8/12)</f>
        <v/>
      </c>
      <c r="AX82">
        <f>IF(F81&lt;=0,0,MIN(F81+AW82,$F$8+AV82))</f>
        <v/>
      </c>
      <c r="AY82">
        <f>IF(F81&lt;=0,AV82,MAX(0,$F$8+AV82-F81-AW82))</f>
        <v/>
      </c>
      <c r="AZ82">
        <f>IF(G81&lt;=0,0,G81*$E$9/12)</f>
        <v/>
      </c>
      <c r="BA82">
        <f>IF(G81&lt;=0,0,MIN(G81+AZ82,$F$9+AY82))</f>
        <v/>
      </c>
      <c r="BB82">
        <f>IF(G81&lt;=0,AY82,MAX(0,$F$9+AY82-G81-AZ82))</f>
        <v/>
      </c>
      <c r="BC82">
        <f>IF(H81&lt;=0,0,H81*$E$10/12)</f>
        <v/>
      </c>
      <c r="BD82">
        <f>IF(H81&lt;=0,0,MIN(H81+BC82,$F$10+BB82))</f>
        <v/>
      </c>
      <c r="BE82">
        <f>IF(H81&lt;=0,BB82,MAX(0,$F$10+BB82-H81-BC82))</f>
        <v/>
      </c>
      <c r="BF82">
        <f>IF(I81&lt;=0,0,I81*$E$11/12)</f>
        <v/>
      </c>
      <c r="BG82">
        <f>IF(I81&lt;=0,0,MIN(I81+BF82,$F$11+BE82))</f>
        <v/>
      </c>
      <c r="BH82">
        <f>IF(I81&lt;=0,BE82,MAX(0,$F$11+BE82-I81-BF82))</f>
        <v/>
      </c>
      <c r="BI82">
        <f>IF(J81&lt;=0,0,J81*$E$12/12)</f>
        <v/>
      </c>
      <c r="BJ82">
        <f>IF(J81&lt;=0,0,MIN(J81+BI82,$F$12+BH82))</f>
        <v/>
      </c>
      <c r="BK82">
        <f>IF(J81&lt;=0,BH82,MAX(0,$F$12+BH82-J81-BI82))</f>
        <v/>
      </c>
      <c r="BL82">
        <f>IF(K81&lt;=0,0,K81*$E$13/12)</f>
        <v/>
      </c>
      <c r="BM82">
        <f>IF(K81&lt;=0,0,MIN(K81+BL82,$F$13+BK82))</f>
        <v/>
      </c>
      <c r="BN82">
        <f>IF(K81&lt;=0,BK82,MAX(0,$F$13+BK82-K81-BL82))</f>
        <v/>
      </c>
      <c r="BO82">
        <f>IF(L81&lt;=0,0,L81*$E$14/12)</f>
        <v/>
      </c>
      <c r="BP82">
        <f>IF(L81&lt;=0,0,MIN(L81+BO82,$F$14+BN82))</f>
        <v/>
      </c>
      <c r="BQ82">
        <f>IF(L81&lt;=0,BN82,MAX(0,$F$14+BN82-L81-BO82))</f>
        <v/>
      </c>
      <c r="BR82">
        <f>IF(M81&lt;=0,0,M81*$E$15/12)</f>
        <v/>
      </c>
      <c r="BS82">
        <f>IF(M81&lt;=0,0,MIN(M81+BR82,$F$15+BQ82))</f>
        <v/>
      </c>
      <c r="BT82">
        <f>IF(M81&lt;=0,BQ82,MAX(0,$F$15+BQ82-M81-BR82))</f>
        <v/>
      </c>
      <c r="BU82">
        <f>IF(N81&lt;=0,0,N81*$E$16/12)</f>
        <v/>
      </c>
      <c r="BV82">
        <f>IF(N81&lt;=0,0,MIN(N81+BU82,$F$16+BT82))</f>
        <v/>
      </c>
      <c r="BW82">
        <f>IF(N81&lt;=0,BT82,MAX(0,$F$16+BT82-N81-BU82))</f>
        <v/>
      </c>
      <c r="BX82">
        <f>IF(O81&lt;=0,0,O81*$E$17/12)</f>
        <v/>
      </c>
      <c r="BY82">
        <f>IF(O81&lt;=0,0,MIN(O81+BX82,$F$17+BW82))</f>
        <v/>
      </c>
      <c r="BZ82">
        <f>IF(O81&lt;=0,BW82,MAX(0,$F$17+BW82-O81-BX82))</f>
        <v/>
      </c>
      <c r="CA82">
        <f>IF(P81&lt;=0,0,P81*$E$18/12)</f>
        <v/>
      </c>
      <c r="CB82">
        <f>IF(P81&lt;=0,0,MIN(P81+CA82,$F$18+BZ82))</f>
        <v/>
      </c>
      <c r="CC82">
        <f>IF(P81&lt;=0,BZ82,MAX(0,$F$18+BZ82-P81-CA82))</f>
        <v/>
      </c>
      <c r="CD82">
        <f>IF(Q81&lt;=0,0,Q81*$E$19/12)</f>
        <v/>
      </c>
      <c r="CE82">
        <f>IF(Q81&lt;=0,0,MIN(Q81+CD82,$F$19+CC82))</f>
        <v/>
      </c>
      <c r="CF82">
        <f>IF(Q81&lt;=0,CC82,MAX(0,$F$19+CC82-Q81-CD82))</f>
        <v/>
      </c>
      <c r="CG82">
        <f>IF(R81&lt;=0,0,R81*$E$20/12)</f>
        <v/>
      </c>
      <c r="CH82">
        <f>IF(R81&lt;=0,0,MIN(R81+CG82,$F$20+CF82))</f>
        <v/>
      </c>
      <c r="CI82">
        <f>IF(R81&lt;=0,CF82,MAX(0,$F$20+CF82-R81-CG82))</f>
        <v/>
      </c>
      <c r="CJ82">
        <f>IF(S81&lt;=0,0,S81*$E$21/12)</f>
        <v/>
      </c>
      <c r="CK82">
        <f>IF(S81&lt;=0,0,MIN(S81+CJ82,$F$21+CI82))</f>
        <v/>
      </c>
      <c r="CL82">
        <f>IF(S81&lt;=0,CI82,MAX(0,$F$21+CI82-S81-CJ82))</f>
        <v/>
      </c>
      <c r="CM82">
        <f>IF(T81&lt;=0,0,T81*$E$22/12)</f>
        <v/>
      </c>
      <c r="CN82">
        <f>IF(T81&lt;=0,0,MIN(T81+CM82,$F$22+CL82))</f>
        <v/>
      </c>
      <c r="CO82">
        <f>IF(T81&lt;=0,CL82,MAX(0,$F$22+CL82-T81-CM82))</f>
        <v/>
      </c>
      <c r="CP82">
        <f>IF(U81&lt;=0,0,U81*$E$23/12)</f>
        <v/>
      </c>
      <c r="CQ82">
        <f>IF(U81&lt;=0,0,MIN(U81+CP82,$F$23+CO82))</f>
        <v/>
      </c>
      <c r="CR82">
        <f>IF(U81&lt;=0,CO82,MAX(0,$F$23+CO82-U81-CP82))</f>
        <v/>
      </c>
      <c r="CS82">
        <f>IF(V81&lt;=0,0,V81*$E$24/12)</f>
        <v/>
      </c>
      <c r="CT82">
        <f>IF(V81&lt;=0,0,MIN(V81+CS82,$F$24+CR82))</f>
        <v/>
      </c>
      <c r="CU82">
        <f>IF(V81&lt;=0,CR82,MAX(0,$F$24+CR82-V81-CS82))</f>
        <v/>
      </c>
    </row>
    <row r="83">
      <c r="B83" s="39" t="n">
        <v>57</v>
      </c>
      <c r="C83" s="13">
        <f>IF(C82&lt;=0,0,MAX(0,C82+AN83-AO83))</f>
        <v/>
      </c>
      <c r="D83" s="13">
        <f>IF(D82&lt;=0,0,MAX(0,D82+AQ83-AR83))</f>
        <v/>
      </c>
      <c r="E83" s="13">
        <f>IF(E82&lt;=0,0,MAX(0,E82+AT83-AU83))</f>
        <v/>
      </c>
      <c r="F83" s="13">
        <f>IF(F82&lt;=0,0,MAX(0,F82+AW83-AX83))</f>
        <v/>
      </c>
      <c r="G83" s="13">
        <f>IF(G82&lt;=0,0,MAX(0,G82+AZ83-BA83))</f>
        <v/>
      </c>
      <c r="H83" s="13">
        <f>IF(H82&lt;=0,0,MAX(0,H82+BC83-BD83))</f>
        <v/>
      </c>
      <c r="I83" s="13">
        <f>IF(I82&lt;=0,0,MAX(0,I82+BF83-BG83))</f>
        <v/>
      </c>
      <c r="J83" s="13">
        <f>IF(J82&lt;=0,0,MAX(0,J82+BI83-BJ83))</f>
        <v/>
      </c>
      <c r="K83" s="13">
        <f>IF(K82&lt;=0,0,MAX(0,K82+BL83-BM83))</f>
        <v/>
      </c>
      <c r="L83" s="13">
        <f>IF(L82&lt;=0,0,MAX(0,L82+BO83-BP83))</f>
        <v/>
      </c>
      <c r="M83" s="13">
        <f>IF(M82&lt;=0,0,MAX(0,M82+BR83-BS83))</f>
        <v/>
      </c>
      <c r="N83" s="13">
        <f>IF(N82&lt;=0,0,MAX(0,N82+BU83-BV83))</f>
        <v/>
      </c>
      <c r="O83" s="13">
        <f>IF(O82&lt;=0,0,MAX(0,O82+BX83-BY83))</f>
        <v/>
      </c>
      <c r="P83" s="13">
        <f>IF(P82&lt;=0,0,MAX(0,P82+CA83-CB83))</f>
        <v/>
      </c>
      <c r="Q83" s="13">
        <f>IF(Q82&lt;=0,0,MAX(0,Q82+CD83-CE83))</f>
        <v/>
      </c>
      <c r="R83" s="13">
        <f>IF(R82&lt;=0,0,MAX(0,R82+CG83-CH83))</f>
        <v/>
      </c>
      <c r="S83" s="13">
        <f>IF(S82&lt;=0,0,MAX(0,S82+CJ83-CK83))</f>
        <v/>
      </c>
      <c r="T83" s="13">
        <f>IF(T82&lt;=0,0,MAX(0,T82+CM83-CN83))</f>
        <v/>
      </c>
      <c r="U83" s="13">
        <f>IF(U82&lt;=0,0,MAX(0,U82+CP83-CQ83))</f>
        <v/>
      </c>
      <c r="V83" s="13">
        <f>IF(V82&lt;=0,0,MAX(0,V82+CS83-CT83))</f>
        <v/>
      </c>
      <c r="W83" s="13">
        <f>AO83+AR83+AU83+AX83+BA83+BD83+BG83+BJ83+BM83+BP83+BS83+BV83+BY83+CB83+CE83+CH83+CK83+CN83+CQ83+CT83</f>
        <v/>
      </c>
      <c r="X83" s="13">
        <f>AN83+AQ83+AT83+AW83+AZ83+BC83+BF83+BI83+BL83+BO83+BR83+BU83+BX83+CA83+CD83+CG83+CJ83+CM83+CP83+CS83</f>
        <v/>
      </c>
      <c r="Y83" s="27">
        <f>C83+D83+E83+F83+G83+H83+I83+J83+K83+L83+M83+N83+O83+P83+Q83+R83+S83+T83+U83+V83</f>
        <v/>
      </c>
      <c r="AN83">
        <f>IF(C82&lt;=0,0,C82*$E$5/12)</f>
        <v/>
      </c>
      <c r="AO83">
        <f>IF(C82&lt;=0,0,MIN(C82+AN83,$F$5+(Dashboard!$C$11+IF(C82&lt;=0,$F$5,0)+IF(D82&lt;=0,$F$6,0)+IF(E82&lt;=0,$F$7,0)+IF(F82&lt;=0,$F$8,0)+IF(G82&lt;=0,$F$9,0)+IF(H82&lt;=0,$F$10,0)+IF(I82&lt;=0,$F$11,0)+IF(J82&lt;=0,$F$12,0)+IF(K82&lt;=0,$F$13,0)+IF(L82&lt;=0,$F$14,0)+IF(M82&lt;=0,$F$15,0)+IF(N82&lt;=0,$F$16,0)+IF(O82&lt;=0,$F$17,0)+IF(P82&lt;=0,$F$18,0)+IF(Q82&lt;=0,$F$19,0)+IF(R82&lt;=0,$F$20,0)+IF(S82&lt;=0,$F$21,0)+IF(T82&lt;=0,$F$22,0)+IF(U82&lt;=0,$F$23,0)+IF(V82&lt;=0,$F$24,0))))</f>
        <v/>
      </c>
      <c r="AP83">
        <f>IF(C82&lt;=0,(Dashboard!$C$11+IF(C82&lt;=0,$F$5,0)+IF(D82&lt;=0,$F$6,0)+IF(E82&lt;=0,$F$7,0)+IF(F82&lt;=0,$F$8,0)+IF(G82&lt;=0,$F$9,0)+IF(H82&lt;=0,$F$10,0)+IF(I82&lt;=0,$F$11,0)+IF(J82&lt;=0,$F$12,0)+IF(K82&lt;=0,$F$13,0)+IF(L82&lt;=0,$F$14,0)+IF(M82&lt;=0,$F$15,0)+IF(N82&lt;=0,$F$16,0)+IF(O82&lt;=0,$F$17,0)+IF(P82&lt;=0,$F$18,0)+IF(Q82&lt;=0,$F$19,0)+IF(R82&lt;=0,$F$20,0)+IF(S82&lt;=0,$F$21,0)+IF(T82&lt;=0,$F$22,0)+IF(U82&lt;=0,$F$23,0)+IF(V82&lt;=0,$F$24,0)),MAX(0,$F$5+(Dashboard!$C$11+IF(C82&lt;=0,$F$5,0)+IF(D82&lt;=0,$F$6,0)+IF(E82&lt;=0,$F$7,0)+IF(F82&lt;=0,$F$8,0)+IF(G82&lt;=0,$F$9,0)+IF(H82&lt;=0,$F$10,0)+IF(I82&lt;=0,$F$11,0)+IF(J82&lt;=0,$F$12,0)+IF(K82&lt;=0,$F$13,0)+IF(L82&lt;=0,$F$14,0)+IF(M82&lt;=0,$F$15,0)+IF(N82&lt;=0,$F$16,0)+IF(O82&lt;=0,$F$17,0)+IF(P82&lt;=0,$F$18,0)+IF(Q82&lt;=0,$F$19,0)+IF(R82&lt;=0,$F$20,0)+IF(S82&lt;=0,$F$21,0)+IF(T82&lt;=0,$F$22,0)+IF(U82&lt;=0,$F$23,0)+IF(V82&lt;=0,$F$24,0))-C82-AN83))</f>
        <v/>
      </c>
      <c r="AQ83">
        <f>IF(D82&lt;=0,0,D82*$E$6/12)</f>
        <v/>
      </c>
      <c r="AR83">
        <f>IF(D82&lt;=0,0,MIN(D82+AQ83,$F$6+AP83))</f>
        <v/>
      </c>
      <c r="AS83">
        <f>IF(D82&lt;=0,AP83,MAX(0,$F$6+AP83-D82-AQ83))</f>
        <v/>
      </c>
      <c r="AT83">
        <f>IF(E82&lt;=0,0,E82*$E$7/12)</f>
        <v/>
      </c>
      <c r="AU83">
        <f>IF(E82&lt;=0,0,MIN(E82+AT83,$F$7+AS83))</f>
        <v/>
      </c>
      <c r="AV83">
        <f>IF(E82&lt;=0,AS83,MAX(0,$F$7+AS83-E82-AT83))</f>
        <v/>
      </c>
      <c r="AW83">
        <f>IF(F82&lt;=0,0,F82*$E$8/12)</f>
        <v/>
      </c>
      <c r="AX83">
        <f>IF(F82&lt;=0,0,MIN(F82+AW83,$F$8+AV83))</f>
        <v/>
      </c>
      <c r="AY83">
        <f>IF(F82&lt;=0,AV83,MAX(0,$F$8+AV83-F82-AW83))</f>
        <v/>
      </c>
      <c r="AZ83">
        <f>IF(G82&lt;=0,0,G82*$E$9/12)</f>
        <v/>
      </c>
      <c r="BA83">
        <f>IF(G82&lt;=0,0,MIN(G82+AZ83,$F$9+AY83))</f>
        <v/>
      </c>
      <c r="BB83">
        <f>IF(G82&lt;=0,AY83,MAX(0,$F$9+AY83-G82-AZ83))</f>
        <v/>
      </c>
      <c r="BC83">
        <f>IF(H82&lt;=0,0,H82*$E$10/12)</f>
        <v/>
      </c>
      <c r="BD83">
        <f>IF(H82&lt;=0,0,MIN(H82+BC83,$F$10+BB83))</f>
        <v/>
      </c>
      <c r="BE83">
        <f>IF(H82&lt;=0,BB83,MAX(0,$F$10+BB83-H82-BC83))</f>
        <v/>
      </c>
      <c r="BF83">
        <f>IF(I82&lt;=0,0,I82*$E$11/12)</f>
        <v/>
      </c>
      <c r="BG83">
        <f>IF(I82&lt;=0,0,MIN(I82+BF83,$F$11+BE83))</f>
        <v/>
      </c>
      <c r="BH83">
        <f>IF(I82&lt;=0,BE83,MAX(0,$F$11+BE83-I82-BF83))</f>
        <v/>
      </c>
      <c r="BI83">
        <f>IF(J82&lt;=0,0,J82*$E$12/12)</f>
        <v/>
      </c>
      <c r="BJ83">
        <f>IF(J82&lt;=0,0,MIN(J82+BI83,$F$12+BH83))</f>
        <v/>
      </c>
      <c r="BK83">
        <f>IF(J82&lt;=0,BH83,MAX(0,$F$12+BH83-J82-BI83))</f>
        <v/>
      </c>
      <c r="BL83">
        <f>IF(K82&lt;=0,0,K82*$E$13/12)</f>
        <v/>
      </c>
      <c r="BM83">
        <f>IF(K82&lt;=0,0,MIN(K82+BL83,$F$13+BK83))</f>
        <v/>
      </c>
      <c r="BN83">
        <f>IF(K82&lt;=0,BK83,MAX(0,$F$13+BK83-K82-BL83))</f>
        <v/>
      </c>
      <c r="BO83">
        <f>IF(L82&lt;=0,0,L82*$E$14/12)</f>
        <v/>
      </c>
      <c r="BP83">
        <f>IF(L82&lt;=0,0,MIN(L82+BO83,$F$14+BN83))</f>
        <v/>
      </c>
      <c r="BQ83">
        <f>IF(L82&lt;=0,BN83,MAX(0,$F$14+BN83-L82-BO83))</f>
        <v/>
      </c>
      <c r="BR83">
        <f>IF(M82&lt;=0,0,M82*$E$15/12)</f>
        <v/>
      </c>
      <c r="BS83">
        <f>IF(M82&lt;=0,0,MIN(M82+BR83,$F$15+BQ83))</f>
        <v/>
      </c>
      <c r="BT83">
        <f>IF(M82&lt;=0,BQ83,MAX(0,$F$15+BQ83-M82-BR83))</f>
        <v/>
      </c>
      <c r="BU83">
        <f>IF(N82&lt;=0,0,N82*$E$16/12)</f>
        <v/>
      </c>
      <c r="BV83">
        <f>IF(N82&lt;=0,0,MIN(N82+BU83,$F$16+BT83))</f>
        <v/>
      </c>
      <c r="BW83">
        <f>IF(N82&lt;=0,BT83,MAX(0,$F$16+BT83-N82-BU83))</f>
        <v/>
      </c>
      <c r="BX83">
        <f>IF(O82&lt;=0,0,O82*$E$17/12)</f>
        <v/>
      </c>
      <c r="BY83">
        <f>IF(O82&lt;=0,0,MIN(O82+BX83,$F$17+BW83))</f>
        <v/>
      </c>
      <c r="BZ83">
        <f>IF(O82&lt;=0,BW83,MAX(0,$F$17+BW83-O82-BX83))</f>
        <v/>
      </c>
      <c r="CA83">
        <f>IF(P82&lt;=0,0,P82*$E$18/12)</f>
        <v/>
      </c>
      <c r="CB83">
        <f>IF(P82&lt;=0,0,MIN(P82+CA83,$F$18+BZ83))</f>
        <v/>
      </c>
      <c r="CC83">
        <f>IF(P82&lt;=0,BZ83,MAX(0,$F$18+BZ83-P82-CA83))</f>
        <v/>
      </c>
      <c r="CD83">
        <f>IF(Q82&lt;=0,0,Q82*$E$19/12)</f>
        <v/>
      </c>
      <c r="CE83">
        <f>IF(Q82&lt;=0,0,MIN(Q82+CD83,$F$19+CC83))</f>
        <v/>
      </c>
      <c r="CF83">
        <f>IF(Q82&lt;=0,CC83,MAX(0,$F$19+CC83-Q82-CD83))</f>
        <v/>
      </c>
      <c r="CG83">
        <f>IF(R82&lt;=0,0,R82*$E$20/12)</f>
        <v/>
      </c>
      <c r="CH83">
        <f>IF(R82&lt;=0,0,MIN(R82+CG83,$F$20+CF83))</f>
        <v/>
      </c>
      <c r="CI83">
        <f>IF(R82&lt;=0,CF83,MAX(0,$F$20+CF83-R82-CG83))</f>
        <v/>
      </c>
      <c r="CJ83">
        <f>IF(S82&lt;=0,0,S82*$E$21/12)</f>
        <v/>
      </c>
      <c r="CK83">
        <f>IF(S82&lt;=0,0,MIN(S82+CJ83,$F$21+CI83))</f>
        <v/>
      </c>
      <c r="CL83">
        <f>IF(S82&lt;=0,CI83,MAX(0,$F$21+CI83-S82-CJ83))</f>
        <v/>
      </c>
      <c r="CM83">
        <f>IF(T82&lt;=0,0,T82*$E$22/12)</f>
        <v/>
      </c>
      <c r="CN83">
        <f>IF(T82&lt;=0,0,MIN(T82+CM83,$F$22+CL83))</f>
        <v/>
      </c>
      <c r="CO83">
        <f>IF(T82&lt;=0,CL83,MAX(0,$F$22+CL83-T82-CM83))</f>
        <v/>
      </c>
      <c r="CP83">
        <f>IF(U82&lt;=0,0,U82*$E$23/12)</f>
        <v/>
      </c>
      <c r="CQ83">
        <f>IF(U82&lt;=0,0,MIN(U82+CP83,$F$23+CO83))</f>
        <v/>
      </c>
      <c r="CR83">
        <f>IF(U82&lt;=0,CO83,MAX(0,$F$23+CO83-U82-CP83))</f>
        <v/>
      </c>
      <c r="CS83">
        <f>IF(V82&lt;=0,0,V82*$E$24/12)</f>
        <v/>
      </c>
      <c r="CT83">
        <f>IF(V82&lt;=0,0,MIN(V82+CS83,$F$24+CR83))</f>
        <v/>
      </c>
      <c r="CU83">
        <f>IF(V82&lt;=0,CR83,MAX(0,$F$24+CR83-V82-CS83))</f>
        <v/>
      </c>
    </row>
    <row r="84">
      <c r="B84" s="39" t="n">
        <v>58</v>
      </c>
      <c r="C84" s="13">
        <f>IF(C83&lt;=0,0,MAX(0,C83+AN84-AO84))</f>
        <v/>
      </c>
      <c r="D84" s="13">
        <f>IF(D83&lt;=0,0,MAX(0,D83+AQ84-AR84))</f>
        <v/>
      </c>
      <c r="E84" s="13">
        <f>IF(E83&lt;=0,0,MAX(0,E83+AT84-AU84))</f>
        <v/>
      </c>
      <c r="F84" s="13">
        <f>IF(F83&lt;=0,0,MAX(0,F83+AW84-AX84))</f>
        <v/>
      </c>
      <c r="G84" s="13">
        <f>IF(G83&lt;=0,0,MAX(0,G83+AZ84-BA84))</f>
        <v/>
      </c>
      <c r="H84" s="13">
        <f>IF(H83&lt;=0,0,MAX(0,H83+BC84-BD84))</f>
        <v/>
      </c>
      <c r="I84" s="13">
        <f>IF(I83&lt;=0,0,MAX(0,I83+BF84-BG84))</f>
        <v/>
      </c>
      <c r="J84" s="13">
        <f>IF(J83&lt;=0,0,MAX(0,J83+BI84-BJ84))</f>
        <v/>
      </c>
      <c r="K84" s="13">
        <f>IF(K83&lt;=0,0,MAX(0,K83+BL84-BM84))</f>
        <v/>
      </c>
      <c r="L84" s="13">
        <f>IF(L83&lt;=0,0,MAX(0,L83+BO84-BP84))</f>
        <v/>
      </c>
      <c r="M84" s="13">
        <f>IF(M83&lt;=0,0,MAX(0,M83+BR84-BS84))</f>
        <v/>
      </c>
      <c r="N84" s="13">
        <f>IF(N83&lt;=0,0,MAX(0,N83+BU84-BV84))</f>
        <v/>
      </c>
      <c r="O84" s="13">
        <f>IF(O83&lt;=0,0,MAX(0,O83+BX84-BY84))</f>
        <v/>
      </c>
      <c r="P84" s="13">
        <f>IF(P83&lt;=0,0,MAX(0,P83+CA84-CB84))</f>
        <v/>
      </c>
      <c r="Q84" s="13">
        <f>IF(Q83&lt;=0,0,MAX(0,Q83+CD84-CE84))</f>
        <v/>
      </c>
      <c r="R84" s="13">
        <f>IF(R83&lt;=0,0,MAX(0,R83+CG84-CH84))</f>
        <v/>
      </c>
      <c r="S84" s="13">
        <f>IF(S83&lt;=0,0,MAX(0,S83+CJ84-CK84))</f>
        <v/>
      </c>
      <c r="T84" s="13">
        <f>IF(T83&lt;=0,0,MAX(0,T83+CM84-CN84))</f>
        <v/>
      </c>
      <c r="U84" s="13">
        <f>IF(U83&lt;=0,0,MAX(0,U83+CP84-CQ84))</f>
        <v/>
      </c>
      <c r="V84" s="13">
        <f>IF(V83&lt;=0,0,MAX(0,V83+CS84-CT84))</f>
        <v/>
      </c>
      <c r="W84" s="13">
        <f>AO84+AR84+AU84+AX84+BA84+BD84+BG84+BJ84+BM84+BP84+BS84+BV84+BY84+CB84+CE84+CH84+CK84+CN84+CQ84+CT84</f>
        <v/>
      </c>
      <c r="X84" s="13">
        <f>AN84+AQ84+AT84+AW84+AZ84+BC84+BF84+BI84+BL84+BO84+BR84+BU84+BX84+CA84+CD84+CG84+CJ84+CM84+CP84+CS84</f>
        <v/>
      </c>
      <c r="Y84" s="27">
        <f>C84+D84+E84+F84+G84+H84+I84+J84+K84+L84+M84+N84+O84+P84+Q84+R84+S84+T84+U84+V84</f>
        <v/>
      </c>
      <c r="AN84">
        <f>IF(C83&lt;=0,0,C83*$E$5/12)</f>
        <v/>
      </c>
      <c r="AO84">
        <f>IF(C83&lt;=0,0,MIN(C83+AN84,$F$5+(Dashboard!$C$11+IF(C83&lt;=0,$F$5,0)+IF(D83&lt;=0,$F$6,0)+IF(E83&lt;=0,$F$7,0)+IF(F83&lt;=0,$F$8,0)+IF(G83&lt;=0,$F$9,0)+IF(H83&lt;=0,$F$10,0)+IF(I83&lt;=0,$F$11,0)+IF(J83&lt;=0,$F$12,0)+IF(K83&lt;=0,$F$13,0)+IF(L83&lt;=0,$F$14,0)+IF(M83&lt;=0,$F$15,0)+IF(N83&lt;=0,$F$16,0)+IF(O83&lt;=0,$F$17,0)+IF(P83&lt;=0,$F$18,0)+IF(Q83&lt;=0,$F$19,0)+IF(R83&lt;=0,$F$20,0)+IF(S83&lt;=0,$F$21,0)+IF(T83&lt;=0,$F$22,0)+IF(U83&lt;=0,$F$23,0)+IF(V83&lt;=0,$F$24,0))))</f>
        <v/>
      </c>
      <c r="AP84">
        <f>IF(C83&lt;=0,(Dashboard!$C$11+IF(C83&lt;=0,$F$5,0)+IF(D83&lt;=0,$F$6,0)+IF(E83&lt;=0,$F$7,0)+IF(F83&lt;=0,$F$8,0)+IF(G83&lt;=0,$F$9,0)+IF(H83&lt;=0,$F$10,0)+IF(I83&lt;=0,$F$11,0)+IF(J83&lt;=0,$F$12,0)+IF(K83&lt;=0,$F$13,0)+IF(L83&lt;=0,$F$14,0)+IF(M83&lt;=0,$F$15,0)+IF(N83&lt;=0,$F$16,0)+IF(O83&lt;=0,$F$17,0)+IF(P83&lt;=0,$F$18,0)+IF(Q83&lt;=0,$F$19,0)+IF(R83&lt;=0,$F$20,0)+IF(S83&lt;=0,$F$21,0)+IF(T83&lt;=0,$F$22,0)+IF(U83&lt;=0,$F$23,0)+IF(V83&lt;=0,$F$24,0)),MAX(0,$F$5+(Dashboard!$C$11+IF(C83&lt;=0,$F$5,0)+IF(D83&lt;=0,$F$6,0)+IF(E83&lt;=0,$F$7,0)+IF(F83&lt;=0,$F$8,0)+IF(G83&lt;=0,$F$9,0)+IF(H83&lt;=0,$F$10,0)+IF(I83&lt;=0,$F$11,0)+IF(J83&lt;=0,$F$12,0)+IF(K83&lt;=0,$F$13,0)+IF(L83&lt;=0,$F$14,0)+IF(M83&lt;=0,$F$15,0)+IF(N83&lt;=0,$F$16,0)+IF(O83&lt;=0,$F$17,0)+IF(P83&lt;=0,$F$18,0)+IF(Q83&lt;=0,$F$19,0)+IF(R83&lt;=0,$F$20,0)+IF(S83&lt;=0,$F$21,0)+IF(T83&lt;=0,$F$22,0)+IF(U83&lt;=0,$F$23,0)+IF(V83&lt;=0,$F$24,0))-C83-AN84))</f>
        <v/>
      </c>
      <c r="AQ84">
        <f>IF(D83&lt;=0,0,D83*$E$6/12)</f>
        <v/>
      </c>
      <c r="AR84">
        <f>IF(D83&lt;=0,0,MIN(D83+AQ84,$F$6+AP84))</f>
        <v/>
      </c>
      <c r="AS84">
        <f>IF(D83&lt;=0,AP84,MAX(0,$F$6+AP84-D83-AQ84))</f>
        <v/>
      </c>
      <c r="AT84">
        <f>IF(E83&lt;=0,0,E83*$E$7/12)</f>
        <v/>
      </c>
      <c r="AU84">
        <f>IF(E83&lt;=0,0,MIN(E83+AT84,$F$7+AS84))</f>
        <v/>
      </c>
      <c r="AV84">
        <f>IF(E83&lt;=0,AS84,MAX(0,$F$7+AS84-E83-AT84))</f>
        <v/>
      </c>
      <c r="AW84">
        <f>IF(F83&lt;=0,0,F83*$E$8/12)</f>
        <v/>
      </c>
      <c r="AX84">
        <f>IF(F83&lt;=0,0,MIN(F83+AW84,$F$8+AV84))</f>
        <v/>
      </c>
      <c r="AY84">
        <f>IF(F83&lt;=0,AV84,MAX(0,$F$8+AV84-F83-AW84))</f>
        <v/>
      </c>
      <c r="AZ84">
        <f>IF(G83&lt;=0,0,G83*$E$9/12)</f>
        <v/>
      </c>
      <c r="BA84">
        <f>IF(G83&lt;=0,0,MIN(G83+AZ84,$F$9+AY84))</f>
        <v/>
      </c>
      <c r="BB84">
        <f>IF(G83&lt;=0,AY84,MAX(0,$F$9+AY84-G83-AZ84))</f>
        <v/>
      </c>
      <c r="BC84">
        <f>IF(H83&lt;=0,0,H83*$E$10/12)</f>
        <v/>
      </c>
      <c r="BD84">
        <f>IF(H83&lt;=0,0,MIN(H83+BC84,$F$10+BB84))</f>
        <v/>
      </c>
      <c r="BE84">
        <f>IF(H83&lt;=0,BB84,MAX(0,$F$10+BB84-H83-BC84))</f>
        <v/>
      </c>
      <c r="BF84">
        <f>IF(I83&lt;=0,0,I83*$E$11/12)</f>
        <v/>
      </c>
      <c r="BG84">
        <f>IF(I83&lt;=0,0,MIN(I83+BF84,$F$11+BE84))</f>
        <v/>
      </c>
      <c r="BH84">
        <f>IF(I83&lt;=0,BE84,MAX(0,$F$11+BE84-I83-BF84))</f>
        <v/>
      </c>
      <c r="BI84">
        <f>IF(J83&lt;=0,0,J83*$E$12/12)</f>
        <v/>
      </c>
      <c r="BJ84">
        <f>IF(J83&lt;=0,0,MIN(J83+BI84,$F$12+BH84))</f>
        <v/>
      </c>
      <c r="BK84">
        <f>IF(J83&lt;=0,BH84,MAX(0,$F$12+BH84-J83-BI84))</f>
        <v/>
      </c>
      <c r="BL84">
        <f>IF(K83&lt;=0,0,K83*$E$13/12)</f>
        <v/>
      </c>
      <c r="BM84">
        <f>IF(K83&lt;=0,0,MIN(K83+BL84,$F$13+BK84))</f>
        <v/>
      </c>
      <c r="BN84">
        <f>IF(K83&lt;=0,BK84,MAX(0,$F$13+BK84-K83-BL84))</f>
        <v/>
      </c>
      <c r="BO84">
        <f>IF(L83&lt;=0,0,L83*$E$14/12)</f>
        <v/>
      </c>
      <c r="BP84">
        <f>IF(L83&lt;=0,0,MIN(L83+BO84,$F$14+BN84))</f>
        <v/>
      </c>
      <c r="BQ84">
        <f>IF(L83&lt;=0,BN84,MAX(0,$F$14+BN84-L83-BO84))</f>
        <v/>
      </c>
      <c r="BR84">
        <f>IF(M83&lt;=0,0,M83*$E$15/12)</f>
        <v/>
      </c>
      <c r="BS84">
        <f>IF(M83&lt;=0,0,MIN(M83+BR84,$F$15+BQ84))</f>
        <v/>
      </c>
      <c r="BT84">
        <f>IF(M83&lt;=0,BQ84,MAX(0,$F$15+BQ84-M83-BR84))</f>
        <v/>
      </c>
      <c r="BU84">
        <f>IF(N83&lt;=0,0,N83*$E$16/12)</f>
        <v/>
      </c>
      <c r="BV84">
        <f>IF(N83&lt;=0,0,MIN(N83+BU84,$F$16+BT84))</f>
        <v/>
      </c>
      <c r="BW84">
        <f>IF(N83&lt;=0,BT84,MAX(0,$F$16+BT84-N83-BU84))</f>
        <v/>
      </c>
      <c r="BX84">
        <f>IF(O83&lt;=0,0,O83*$E$17/12)</f>
        <v/>
      </c>
      <c r="BY84">
        <f>IF(O83&lt;=0,0,MIN(O83+BX84,$F$17+BW84))</f>
        <v/>
      </c>
      <c r="BZ84">
        <f>IF(O83&lt;=0,BW84,MAX(0,$F$17+BW84-O83-BX84))</f>
        <v/>
      </c>
      <c r="CA84">
        <f>IF(P83&lt;=0,0,P83*$E$18/12)</f>
        <v/>
      </c>
      <c r="CB84">
        <f>IF(P83&lt;=0,0,MIN(P83+CA84,$F$18+BZ84))</f>
        <v/>
      </c>
      <c r="CC84">
        <f>IF(P83&lt;=0,BZ84,MAX(0,$F$18+BZ84-P83-CA84))</f>
        <v/>
      </c>
      <c r="CD84">
        <f>IF(Q83&lt;=0,0,Q83*$E$19/12)</f>
        <v/>
      </c>
      <c r="CE84">
        <f>IF(Q83&lt;=0,0,MIN(Q83+CD84,$F$19+CC84))</f>
        <v/>
      </c>
      <c r="CF84">
        <f>IF(Q83&lt;=0,CC84,MAX(0,$F$19+CC84-Q83-CD84))</f>
        <v/>
      </c>
      <c r="CG84">
        <f>IF(R83&lt;=0,0,R83*$E$20/12)</f>
        <v/>
      </c>
      <c r="CH84">
        <f>IF(R83&lt;=0,0,MIN(R83+CG84,$F$20+CF84))</f>
        <v/>
      </c>
      <c r="CI84">
        <f>IF(R83&lt;=0,CF84,MAX(0,$F$20+CF84-R83-CG84))</f>
        <v/>
      </c>
      <c r="CJ84">
        <f>IF(S83&lt;=0,0,S83*$E$21/12)</f>
        <v/>
      </c>
      <c r="CK84">
        <f>IF(S83&lt;=0,0,MIN(S83+CJ84,$F$21+CI84))</f>
        <v/>
      </c>
      <c r="CL84">
        <f>IF(S83&lt;=0,CI84,MAX(0,$F$21+CI84-S83-CJ84))</f>
        <v/>
      </c>
      <c r="CM84">
        <f>IF(T83&lt;=0,0,T83*$E$22/12)</f>
        <v/>
      </c>
      <c r="CN84">
        <f>IF(T83&lt;=0,0,MIN(T83+CM84,$F$22+CL84))</f>
        <v/>
      </c>
      <c r="CO84">
        <f>IF(T83&lt;=0,CL84,MAX(0,$F$22+CL84-T83-CM84))</f>
        <v/>
      </c>
      <c r="CP84">
        <f>IF(U83&lt;=0,0,U83*$E$23/12)</f>
        <v/>
      </c>
      <c r="CQ84">
        <f>IF(U83&lt;=0,0,MIN(U83+CP84,$F$23+CO84))</f>
        <v/>
      </c>
      <c r="CR84">
        <f>IF(U83&lt;=0,CO84,MAX(0,$F$23+CO84-U83-CP84))</f>
        <v/>
      </c>
      <c r="CS84">
        <f>IF(V83&lt;=0,0,V83*$E$24/12)</f>
        <v/>
      </c>
      <c r="CT84">
        <f>IF(V83&lt;=0,0,MIN(V83+CS84,$F$24+CR84))</f>
        <v/>
      </c>
      <c r="CU84">
        <f>IF(V83&lt;=0,CR84,MAX(0,$F$24+CR84-V83-CS84))</f>
        <v/>
      </c>
    </row>
    <row r="85">
      <c r="B85" s="39" t="n">
        <v>59</v>
      </c>
      <c r="C85" s="13">
        <f>IF(C84&lt;=0,0,MAX(0,C84+AN85-AO85))</f>
        <v/>
      </c>
      <c r="D85" s="13">
        <f>IF(D84&lt;=0,0,MAX(0,D84+AQ85-AR85))</f>
        <v/>
      </c>
      <c r="E85" s="13">
        <f>IF(E84&lt;=0,0,MAX(0,E84+AT85-AU85))</f>
        <v/>
      </c>
      <c r="F85" s="13">
        <f>IF(F84&lt;=0,0,MAX(0,F84+AW85-AX85))</f>
        <v/>
      </c>
      <c r="G85" s="13">
        <f>IF(G84&lt;=0,0,MAX(0,G84+AZ85-BA85))</f>
        <v/>
      </c>
      <c r="H85" s="13">
        <f>IF(H84&lt;=0,0,MAX(0,H84+BC85-BD85))</f>
        <v/>
      </c>
      <c r="I85" s="13">
        <f>IF(I84&lt;=0,0,MAX(0,I84+BF85-BG85))</f>
        <v/>
      </c>
      <c r="J85" s="13">
        <f>IF(J84&lt;=0,0,MAX(0,J84+BI85-BJ85))</f>
        <v/>
      </c>
      <c r="K85" s="13">
        <f>IF(K84&lt;=0,0,MAX(0,K84+BL85-BM85))</f>
        <v/>
      </c>
      <c r="L85" s="13">
        <f>IF(L84&lt;=0,0,MAX(0,L84+BO85-BP85))</f>
        <v/>
      </c>
      <c r="M85" s="13">
        <f>IF(M84&lt;=0,0,MAX(0,M84+BR85-BS85))</f>
        <v/>
      </c>
      <c r="N85" s="13">
        <f>IF(N84&lt;=0,0,MAX(0,N84+BU85-BV85))</f>
        <v/>
      </c>
      <c r="O85" s="13">
        <f>IF(O84&lt;=0,0,MAX(0,O84+BX85-BY85))</f>
        <v/>
      </c>
      <c r="P85" s="13">
        <f>IF(P84&lt;=0,0,MAX(0,P84+CA85-CB85))</f>
        <v/>
      </c>
      <c r="Q85" s="13">
        <f>IF(Q84&lt;=0,0,MAX(0,Q84+CD85-CE85))</f>
        <v/>
      </c>
      <c r="R85" s="13">
        <f>IF(R84&lt;=0,0,MAX(0,R84+CG85-CH85))</f>
        <v/>
      </c>
      <c r="S85" s="13">
        <f>IF(S84&lt;=0,0,MAX(0,S84+CJ85-CK85))</f>
        <v/>
      </c>
      <c r="T85" s="13">
        <f>IF(T84&lt;=0,0,MAX(0,T84+CM85-CN85))</f>
        <v/>
      </c>
      <c r="U85" s="13">
        <f>IF(U84&lt;=0,0,MAX(0,U84+CP85-CQ85))</f>
        <v/>
      </c>
      <c r="V85" s="13">
        <f>IF(V84&lt;=0,0,MAX(0,V84+CS85-CT85))</f>
        <v/>
      </c>
      <c r="W85" s="13">
        <f>AO85+AR85+AU85+AX85+BA85+BD85+BG85+BJ85+BM85+BP85+BS85+BV85+BY85+CB85+CE85+CH85+CK85+CN85+CQ85+CT85</f>
        <v/>
      </c>
      <c r="X85" s="13">
        <f>AN85+AQ85+AT85+AW85+AZ85+BC85+BF85+BI85+BL85+BO85+BR85+BU85+BX85+CA85+CD85+CG85+CJ85+CM85+CP85+CS85</f>
        <v/>
      </c>
      <c r="Y85" s="27">
        <f>C85+D85+E85+F85+G85+H85+I85+J85+K85+L85+M85+N85+O85+P85+Q85+R85+S85+T85+U85+V85</f>
        <v/>
      </c>
      <c r="AN85">
        <f>IF(C84&lt;=0,0,C84*$E$5/12)</f>
        <v/>
      </c>
      <c r="AO85">
        <f>IF(C84&lt;=0,0,MIN(C84+AN85,$F$5+(Dashboard!$C$11+IF(C84&lt;=0,$F$5,0)+IF(D84&lt;=0,$F$6,0)+IF(E84&lt;=0,$F$7,0)+IF(F84&lt;=0,$F$8,0)+IF(G84&lt;=0,$F$9,0)+IF(H84&lt;=0,$F$10,0)+IF(I84&lt;=0,$F$11,0)+IF(J84&lt;=0,$F$12,0)+IF(K84&lt;=0,$F$13,0)+IF(L84&lt;=0,$F$14,0)+IF(M84&lt;=0,$F$15,0)+IF(N84&lt;=0,$F$16,0)+IF(O84&lt;=0,$F$17,0)+IF(P84&lt;=0,$F$18,0)+IF(Q84&lt;=0,$F$19,0)+IF(R84&lt;=0,$F$20,0)+IF(S84&lt;=0,$F$21,0)+IF(T84&lt;=0,$F$22,0)+IF(U84&lt;=0,$F$23,0)+IF(V84&lt;=0,$F$24,0))))</f>
        <v/>
      </c>
      <c r="AP85">
        <f>IF(C84&lt;=0,(Dashboard!$C$11+IF(C84&lt;=0,$F$5,0)+IF(D84&lt;=0,$F$6,0)+IF(E84&lt;=0,$F$7,0)+IF(F84&lt;=0,$F$8,0)+IF(G84&lt;=0,$F$9,0)+IF(H84&lt;=0,$F$10,0)+IF(I84&lt;=0,$F$11,0)+IF(J84&lt;=0,$F$12,0)+IF(K84&lt;=0,$F$13,0)+IF(L84&lt;=0,$F$14,0)+IF(M84&lt;=0,$F$15,0)+IF(N84&lt;=0,$F$16,0)+IF(O84&lt;=0,$F$17,0)+IF(P84&lt;=0,$F$18,0)+IF(Q84&lt;=0,$F$19,0)+IF(R84&lt;=0,$F$20,0)+IF(S84&lt;=0,$F$21,0)+IF(T84&lt;=0,$F$22,0)+IF(U84&lt;=0,$F$23,0)+IF(V84&lt;=0,$F$24,0)),MAX(0,$F$5+(Dashboard!$C$11+IF(C84&lt;=0,$F$5,0)+IF(D84&lt;=0,$F$6,0)+IF(E84&lt;=0,$F$7,0)+IF(F84&lt;=0,$F$8,0)+IF(G84&lt;=0,$F$9,0)+IF(H84&lt;=0,$F$10,0)+IF(I84&lt;=0,$F$11,0)+IF(J84&lt;=0,$F$12,0)+IF(K84&lt;=0,$F$13,0)+IF(L84&lt;=0,$F$14,0)+IF(M84&lt;=0,$F$15,0)+IF(N84&lt;=0,$F$16,0)+IF(O84&lt;=0,$F$17,0)+IF(P84&lt;=0,$F$18,0)+IF(Q84&lt;=0,$F$19,0)+IF(R84&lt;=0,$F$20,0)+IF(S84&lt;=0,$F$21,0)+IF(T84&lt;=0,$F$22,0)+IF(U84&lt;=0,$F$23,0)+IF(V84&lt;=0,$F$24,0))-C84-AN85))</f>
        <v/>
      </c>
      <c r="AQ85">
        <f>IF(D84&lt;=0,0,D84*$E$6/12)</f>
        <v/>
      </c>
      <c r="AR85">
        <f>IF(D84&lt;=0,0,MIN(D84+AQ85,$F$6+AP85))</f>
        <v/>
      </c>
      <c r="AS85">
        <f>IF(D84&lt;=0,AP85,MAX(0,$F$6+AP85-D84-AQ85))</f>
        <v/>
      </c>
      <c r="AT85">
        <f>IF(E84&lt;=0,0,E84*$E$7/12)</f>
        <v/>
      </c>
      <c r="AU85">
        <f>IF(E84&lt;=0,0,MIN(E84+AT85,$F$7+AS85))</f>
        <v/>
      </c>
      <c r="AV85">
        <f>IF(E84&lt;=0,AS85,MAX(0,$F$7+AS85-E84-AT85))</f>
        <v/>
      </c>
      <c r="AW85">
        <f>IF(F84&lt;=0,0,F84*$E$8/12)</f>
        <v/>
      </c>
      <c r="AX85">
        <f>IF(F84&lt;=0,0,MIN(F84+AW85,$F$8+AV85))</f>
        <v/>
      </c>
      <c r="AY85">
        <f>IF(F84&lt;=0,AV85,MAX(0,$F$8+AV85-F84-AW85))</f>
        <v/>
      </c>
      <c r="AZ85">
        <f>IF(G84&lt;=0,0,G84*$E$9/12)</f>
        <v/>
      </c>
      <c r="BA85">
        <f>IF(G84&lt;=0,0,MIN(G84+AZ85,$F$9+AY85))</f>
        <v/>
      </c>
      <c r="BB85">
        <f>IF(G84&lt;=0,AY85,MAX(0,$F$9+AY85-G84-AZ85))</f>
        <v/>
      </c>
      <c r="BC85">
        <f>IF(H84&lt;=0,0,H84*$E$10/12)</f>
        <v/>
      </c>
      <c r="BD85">
        <f>IF(H84&lt;=0,0,MIN(H84+BC85,$F$10+BB85))</f>
        <v/>
      </c>
      <c r="BE85">
        <f>IF(H84&lt;=0,BB85,MAX(0,$F$10+BB85-H84-BC85))</f>
        <v/>
      </c>
      <c r="BF85">
        <f>IF(I84&lt;=0,0,I84*$E$11/12)</f>
        <v/>
      </c>
      <c r="BG85">
        <f>IF(I84&lt;=0,0,MIN(I84+BF85,$F$11+BE85))</f>
        <v/>
      </c>
      <c r="BH85">
        <f>IF(I84&lt;=0,BE85,MAX(0,$F$11+BE85-I84-BF85))</f>
        <v/>
      </c>
      <c r="BI85">
        <f>IF(J84&lt;=0,0,J84*$E$12/12)</f>
        <v/>
      </c>
      <c r="BJ85">
        <f>IF(J84&lt;=0,0,MIN(J84+BI85,$F$12+BH85))</f>
        <v/>
      </c>
      <c r="BK85">
        <f>IF(J84&lt;=0,BH85,MAX(0,$F$12+BH85-J84-BI85))</f>
        <v/>
      </c>
      <c r="BL85">
        <f>IF(K84&lt;=0,0,K84*$E$13/12)</f>
        <v/>
      </c>
      <c r="BM85">
        <f>IF(K84&lt;=0,0,MIN(K84+BL85,$F$13+BK85))</f>
        <v/>
      </c>
      <c r="BN85">
        <f>IF(K84&lt;=0,BK85,MAX(0,$F$13+BK85-K84-BL85))</f>
        <v/>
      </c>
      <c r="BO85">
        <f>IF(L84&lt;=0,0,L84*$E$14/12)</f>
        <v/>
      </c>
      <c r="BP85">
        <f>IF(L84&lt;=0,0,MIN(L84+BO85,$F$14+BN85))</f>
        <v/>
      </c>
      <c r="BQ85">
        <f>IF(L84&lt;=0,BN85,MAX(0,$F$14+BN85-L84-BO85))</f>
        <v/>
      </c>
      <c r="BR85">
        <f>IF(M84&lt;=0,0,M84*$E$15/12)</f>
        <v/>
      </c>
      <c r="BS85">
        <f>IF(M84&lt;=0,0,MIN(M84+BR85,$F$15+BQ85))</f>
        <v/>
      </c>
      <c r="BT85">
        <f>IF(M84&lt;=0,BQ85,MAX(0,$F$15+BQ85-M84-BR85))</f>
        <v/>
      </c>
      <c r="BU85">
        <f>IF(N84&lt;=0,0,N84*$E$16/12)</f>
        <v/>
      </c>
      <c r="BV85">
        <f>IF(N84&lt;=0,0,MIN(N84+BU85,$F$16+BT85))</f>
        <v/>
      </c>
      <c r="BW85">
        <f>IF(N84&lt;=0,BT85,MAX(0,$F$16+BT85-N84-BU85))</f>
        <v/>
      </c>
      <c r="BX85">
        <f>IF(O84&lt;=0,0,O84*$E$17/12)</f>
        <v/>
      </c>
      <c r="BY85">
        <f>IF(O84&lt;=0,0,MIN(O84+BX85,$F$17+BW85))</f>
        <v/>
      </c>
      <c r="BZ85">
        <f>IF(O84&lt;=0,BW85,MAX(0,$F$17+BW85-O84-BX85))</f>
        <v/>
      </c>
      <c r="CA85">
        <f>IF(P84&lt;=0,0,P84*$E$18/12)</f>
        <v/>
      </c>
      <c r="CB85">
        <f>IF(P84&lt;=0,0,MIN(P84+CA85,$F$18+BZ85))</f>
        <v/>
      </c>
      <c r="CC85">
        <f>IF(P84&lt;=0,BZ85,MAX(0,$F$18+BZ85-P84-CA85))</f>
        <v/>
      </c>
      <c r="CD85">
        <f>IF(Q84&lt;=0,0,Q84*$E$19/12)</f>
        <v/>
      </c>
      <c r="CE85">
        <f>IF(Q84&lt;=0,0,MIN(Q84+CD85,$F$19+CC85))</f>
        <v/>
      </c>
      <c r="CF85">
        <f>IF(Q84&lt;=0,CC85,MAX(0,$F$19+CC85-Q84-CD85))</f>
        <v/>
      </c>
      <c r="CG85">
        <f>IF(R84&lt;=0,0,R84*$E$20/12)</f>
        <v/>
      </c>
      <c r="CH85">
        <f>IF(R84&lt;=0,0,MIN(R84+CG85,$F$20+CF85))</f>
        <v/>
      </c>
      <c r="CI85">
        <f>IF(R84&lt;=0,CF85,MAX(0,$F$20+CF85-R84-CG85))</f>
        <v/>
      </c>
      <c r="CJ85">
        <f>IF(S84&lt;=0,0,S84*$E$21/12)</f>
        <v/>
      </c>
      <c r="CK85">
        <f>IF(S84&lt;=0,0,MIN(S84+CJ85,$F$21+CI85))</f>
        <v/>
      </c>
      <c r="CL85">
        <f>IF(S84&lt;=0,CI85,MAX(0,$F$21+CI85-S84-CJ85))</f>
        <v/>
      </c>
      <c r="CM85">
        <f>IF(T84&lt;=0,0,T84*$E$22/12)</f>
        <v/>
      </c>
      <c r="CN85">
        <f>IF(T84&lt;=0,0,MIN(T84+CM85,$F$22+CL85))</f>
        <v/>
      </c>
      <c r="CO85">
        <f>IF(T84&lt;=0,CL85,MAX(0,$F$22+CL85-T84-CM85))</f>
        <v/>
      </c>
      <c r="CP85">
        <f>IF(U84&lt;=0,0,U84*$E$23/12)</f>
        <v/>
      </c>
      <c r="CQ85">
        <f>IF(U84&lt;=0,0,MIN(U84+CP85,$F$23+CO85))</f>
        <v/>
      </c>
      <c r="CR85">
        <f>IF(U84&lt;=0,CO85,MAX(0,$F$23+CO85-U84-CP85))</f>
        <v/>
      </c>
      <c r="CS85">
        <f>IF(V84&lt;=0,0,V84*$E$24/12)</f>
        <v/>
      </c>
      <c r="CT85">
        <f>IF(V84&lt;=0,0,MIN(V84+CS85,$F$24+CR85))</f>
        <v/>
      </c>
      <c r="CU85">
        <f>IF(V84&lt;=0,CR85,MAX(0,$F$24+CR85-V84-CS85))</f>
        <v/>
      </c>
    </row>
    <row r="86">
      <c r="B86" s="39" t="n">
        <v>60</v>
      </c>
      <c r="C86" s="13">
        <f>IF(C85&lt;=0,0,MAX(0,C85+AN86-AO86))</f>
        <v/>
      </c>
      <c r="D86" s="13">
        <f>IF(D85&lt;=0,0,MAX(0,D85+AQ86-AR86))</f>
        <v/>
      </c>
      <c r="E86" s="13">
        <f>IF(E85&lt;=0,0,MAX(0,E85+AT86-AU86))</f>
        <v/>
      </c>
      <c r="F86" s="13">
        <f>IF(F85&lt;=0,0,MAX(0,F85+AW86-AX86))</f>
        <v/>
      </c>
      <c r="G86" s="13">
        <f>IF(G85&lt;=0,0,MAX(0,G85+AZ86-BA86))</f>
        <v/>
      </c>
      <c r="H86" s="13">
        <f>IF(H85&lt;=0,0,MAX(0,H85+BC86-BD86))</f>
        <v/>
      </c>
      <c r="I86" s="13">
        <f>IF(I85&lt;=0,0,MAX(0,I85+BF86-BG86))</f>
        <v/>
      </c>
      <c r="J86" s="13">
        <f>IF(J85&lt;=0,0,MAX(0,J85+BI86-BJ86))</f>
        <v/>
      </c>
      <c r="K86" s="13">
        <f>IF(K85&lt;=0,0,MAX(0,K85+BL86-BM86))</f>
        <v/>
      </c>
      <c r="L86" s="13">
        <f>IF(L85&lt;=0,0,MAX(0,L85+BO86-BP86))</f>
        <v/>
      </c>
      <c r="M86" s="13">
        <f>IF(M85&lt;=0,0,MAX(0,M85+BR86-BS86))</f>
        <v/>
      </c>
      <c r="N86" s="13">
        <f>IF(N85&lt;=0,0,MAX(0,N85+BU86-BV86))</f>
        <v/>
      </c>
      <c r="O86" s="13">
        <f>IF(O85&lt;=0,0,MAX(0,O85+BX86-BY86))</f>
        <v/>
      </c>
      <c r="P86" s="13">
        <f>IF(P85&lt;=0,0,MAX(0,P85+CA86-CB86))</f>
        <v/>
      </c>
      <c r="Q86" s="13">
        <f>IF(Q85&lt;=0,0,MAX(0,Q85+CD86-CE86))</f>
        <v/>
      </c>
      <c r="R86" s="13">
        <f>IF(R85&lt;=0,0,MAX(0,R85+CG86-CH86))</f>
        <v/>
      </c>
      <c r="S86" s="13">
        <f>IF(S85&lt;=0,0,MAX(0,S85+CJ86-CK86))</f>
        <v/>
      </c>
      <c r="T86" s="13">
        <f>IF(T85&lt;=0,0,MAX(0,T85+CM86-CN86))</f>
        <v/>
      </c>
      <c r="U86" s="13">
        <f>IF(U85&lt;=0,0,MAX(0,U85+CP86-CQ86))</f>
        <v/>
      </c>
      <c r="V86" s="13">
        <f>IF(V85&lt;=0,0,MAX(0,V85+CS86-CT86))</f>
        <v/>
      </c>
      <c r="W86" s="13">
        <f>AO86+AR86+AU86+AX86+BA86+BD86+BG86+BJ86+BM86+BP86+BS86+BV86+BY86+CB86+CE86+CH86+CK86+CN86+CQ86+CT86</f>
        <v/>
      </c>
      <c r="X86" s="13">
        <f>AN86+AQ86+AT86+AW86+AZ86+BC86+BF86+BI86+BL86+BO86+BR86+BU86+BX86+CA86+CD86+CG86+CJ86+CM86+CP86+CS86</f>
        <v/>
      </c>
      <c r="Y86" s="27">
        <f>C86+D86+E86+F86+G86+H86+I86+J86+K86+L86+M86+N86+O86+P86+Q86+R86+S86+T86+U86+V86</f>
        <v/>
      </c>
      <c r="AN86">
        <f>IF(C85&lt;=0,0,C85*$E$5/12)</f>
        <v/>
      </c>
      <c r="AO86">
        <f>IF(C85&lt;=0,0,MIN(C85+AN86,$F$5+(Dashboard!$C$11+IF(C85&lt;=0,$F$5,0)+IF(D85&lt;=0,$F$6,0)+IF(E85&lt;=0,$F$7,0)+IF(F85&lt;=0,$F$8,0)+IF(G85&lt;=0,$F$9,0)+IF(H85&lt;=0,$F$10,0)+IF(I85&lt;=0,$F$11,0)+IF(J85&lt;=0,$F$12,0)+IF(K85&lt;=0,$F$13,0)+IF(L85&lt;=0,$F$14,0)+IF(M85&lt;=0,$F$15,0)+IF(N85&lt;=0,$F$16,0)+IF(O85&lt;=0,$F$17,0)+IF(P85&lt;=0,$F$18,0)+IF(Q85&lt;=0,$F$19,0)+IF(R85&lt;=0,$F$20,0)+IF(S85&lt;=0,$F$21,0)+IF(T85&lt;=0,$F$22,0)+IF(U85&lt;=0,$F$23,0)+IF(V85&lt;=0,$F$24,0))))</f>
        <v/>
      </c>
      <c r="AP86">
        <f>IF(C85&lt;=0,(Dashboard!$C$11+IF(C85&lt;=0,$F$5,0)+IF(D85&lt;=0,$F$6,0)+IF(E85&lt;=0,$F$7,0)+IF(F85&lt;=0,$F$8,0)+IF(G85&lt;=0,$F$9,0)+IF(H85&lt;=0,$F$10,0)+IF(I85&lt;=0,$F$11,0)+IF(J85&lt;=0,$F$12,0)+IF(K85&lt;=0,$F$13,0)+IF(L85&lt;=0,$F$14,0)+IF(M85&lt;=0,$F$15,0)+IF(N85&lt;=0,$F$16,0)+IF(O85&lt;=0,$F$17,0)+IF(P85&lt;=0,$F$18,0)+IF(Q85&lt;=0,$F$19,0)+IF(R85&lt;=0,$F$20,0)+IF(S85&lt;=0,$F$21,0)+IF(T85&lt;=0,$F$22,0)+IF(U85&lt;=0,$F$23,0)+IF(V85&lt;=0,$F$24,0)),MAX(0,$F$5+(Dashboard!$C$11+IF(C85&lt;=0,$F$5,0)+IF(D85&lt;=0,$F$6,0)+IF(E85&lt;=0,$F$7,0)+IF(F85&lt;=0,$F$8,0)+IF(G85&lt;=0,$F$9,0)+IF(H85&lt;=0,$F$10,0)+IF(I85&lt;=0,$F$11,0)+IF(J85&lt;=0,$F$12,0)+IF(K85&lt;=0,$F$13,0)+IF(L85&lt;=0,$F$14,0)+IF(M85&lt;=0,$F$15,0)+IF(N85&lt;=0,$F$16,0)+IF(O85&lt;=0,$F$17,0)+IF(P85&lt;=0,$F$18,0)+IF(Q85&lt;=0,$F$19,0)+IF(R85&lt;=0,$F$20,0)+IF(S85&lt;=0,$F$21,0)+IF(T85&lt;=0,$F$22,0)+IF(U85&lt;=0,$F$23,0)+IF(V85&lt;=0,$F$24,0))-C85-AN86))</f>
        <v/>
      </c>
      <c r="AQ86">
        <f>IF(D85&lt;=0,0,D85*$E$6/12)</f>
        <v/>
      </c>
      <c r="AR86">
        <f>IF(D85&lt;=0,0,MIN(D85+AQ86,$F$6+AP86))</f>
        <v/>
      </c>
      <c r="AS86">
        <f>IF(D85&lt;=0,AP86,MAX(0,$F$6+AP86-D85-AQ86))</f>
        <v/>
      </c>
      <c r="AT86">
        <f>IF(E85&lt;=0,0,E85*$E$7/12)</f>
        <v/>
      </c>
      <c r="AU86">
        <f>IF(E85&lt;=0,0,MIN(E85+AT86,$F$7+AS86))</f>
        <v/>
      </c>
      <c r="AV86">
        <f>IF(E85&lt;=0,AS86,MAX(0,$F$7+AS86-E85-AT86))</f>
        <v/>
      </c>
      <c r="AW86">
        <f>IF(F85&lt;=0,0,F85*$E$8/12)</f>
        <v/>
      </c>
      <c r="AX86">
        <f>IF(F85&lt;=0,0,MIN(F85+AW86,$F$8+AV86))</f>
        <v/>
      </c>
      <c r="AY86">
        <f>IF(F85&lt;=0,AV86,MAX(0,$F$8+AV86-F85-AW86))</f>
        <v/>
      </c>
      <c r="AZ86">
        <f>IF(G85&lt;=0,0,G85*$E$9/12)</f>
        <v/>
      </c>
      <c r="BA86">
        <f>IF(G85&lt;=0,0,MIN(G85+AZ86,$F$9+AY86))</f>
        <v/>
      </c>
      <c r="BB86">
        <f>IF(G85&lt;=0,AY86,MAX(0,$F$9+AY86-G85-AZ86))</f>
        <v/>
      </c>
      <c r="BC86">
        <f>IF(H85&lt;=0,0,H85*$E$10/12)</f>
        <v/>
      </c>
      <c r="BD86">
        <f>IF(H85&lt;=0,0,MIN(H85+BC86,$F$10+BB86))</f>
        <v/>
      </c>
      <c r="BE86">
        <f>IF(H85&lt;=0,BB86,MAX(0,$F$10+BB86-H85-BC86))</f>
        <v/>
      </c>
      <c r="BF86">
        <f>IF(I85&lt;=0,0,I85*$E$11/12)</f>
        <v/>
      </c>
      <c r="BG86">
        <f>IF(I85&lt;=0,0,MIN(I85+BF86,$F$11+BE86))</f>
        <v/>
      </c>
      <c r="BH86">
        <f>IF(I85&lt;=0,BE86,MAX(0,$F$11+BE86-I85-BF86))</f>
        <v/>
      </c>
      <c r="BI86">
        <f>IF(J85&lt;=0,0,J85*$E$12/12)</f>
        <v/>
      </c>
      <c r="BJ86">
        <f>IF(J85&lt;=0,0,MIN(J85+BI86,$F$12+BH86))</f>
        <v/>
      </c>
      <c r="BK86">
        <f>IF(J85&lt;=0,BH86,MAX(0,$F$12+BH86-J85-BI86))</f>
        <v/>
      </c>
      <c r="BL86">
        <f>IF(K85&lt;=0,0,K85*$E$13/12)</f>
        <v/>
      </c>
      <c r="BM86">
        <f>IF(K85&lt;=0,0,MIN(K85+BL86,$F$13+BK86))</f>
        <v/>
      </c>
      <c r="BN86">
        <f>IF(K85&lt;=0,BK86,MAX(0,$F$13+BK86-K85-BL86))</f>
        <v/>
      </c>
      <c r="BO86">
        <f>IF(L85&lt;=0,0,L85*$E$14/12)</f>
        <v/>
      </c>
      <c r="BP86">
        <f>IF(L85&lt;=0,0,MIN(L85+BO86,$F$14+BN86))</f>
        <v/>
      </c>
      <c r="BQ86">
        <f>IF(L85&lt;=0,BN86,MAX(0,$F$14+BN86-L85-BO86))</f>
        <v/>
      </c>
      <c r="BR86">
        <f>IF(M85&lt;=0,0,M85*$E$15/12)</f>
        <v/>
      </c>
      <c r="BS86">
        <f>IF(M85&lt;=0,0,MIN(M85+BR86,$F$15+BQ86))</f>
        <v/>
      </c>
      <c r="BT86">
        <f>IF(M85&lt;=0,BQ86,MAX(0,$F$15+BQ86-M85-BR86))</f>
        <v/>
      </c>
      <c r="BU86">
        <f>IF(N85&lt;=0,0,N85*$E$16/12)</f>
        <v/>
      </c>
      <c r="BV86">
        <f>IF(N85&lt;=0,0,MIN(N85+BU86,$F$16+BT86))</f>
        <v/>
      </c>
      <c r="BW86">
        <f>IF(N85&lt;=0,BT86,MAX(0,$F$16+BT86-N85-BU86))</f>
        <v/>
      </c>
      <c r="BX86">
        <f>IF(O85&lt;=0,0,O85*$E$17/12)</f>
        <v/>
      </c>
      <c r="BY86">
        <f>IF(O85&lt;=0,0,MIN(O85+BX86,$F$17+BW86))</f>
        <v/>
      </c>
      <c r="BZ86">
        <f>IF(O85&lt;=0,BW86,MAX(0,$F$17+BW86-O85-BX86))</f>
        <v/>
      </c>
      <c r="CA86">
        <f>IF(P85&lt;=0,0,P85*$E$18/12)</f>
        <v/>
      </c>
      <c r="CB86">
        <f>IF(P85&lt;=0,0,MIN(P85+CA86,$F$18+BZ86))</f>
        <v/>
      </c>
      <c r="CC86">
        <f>IF(P85&lt;=0,BZ86,MAX(0,$F$18+BZ86-P85-CA86))</f>
        <v/>
      </c>
      <c r="CD86">
        <f>IF(Q85&lt;=0,0,Q85*$E$19/12)</f>
        <v/>
      </c>
      <c r="CE86">
        <f>IF(Q85&lt;=0,0,MIN(Q85+CD86,$F$19+CC86))</f>
        <v/>
      </c>
      <c r="CF86">
        <f>IF(Q85&lt;=0,CC86,MAX(0,$F$19+CC86-Q85-CD86))</f>
        <v/>
      </c>
      <c r="CG86">
        <f>IF(R85&lt;=0,0,R85*$E$20/12)</f>
        <v/>
      </c>
      <c r="CH86">
        <f>IF(R85&lt;=0,0,MIN(R85+CG86,$F$20+CF86))</f>
        <v/>
      </c>
      <c r="CI86">
        <f>IF(R85&lt;=0,CF86,MAX(0,$F$20+CF86-R85-CG86))</f>
        <v/>
      </c>
      <c r="CJ86">
        <f>IF(S85&lt;=0,0,S85*$E$21/12)</f>
        <v/>
      </c>
      <c r="CK86">
        <f>IF(S85&lt;=0,0,MIN(S85+CJ86,$F$21+CI86))</f>
        <v/>
      </c>
      <c r="CL86">
        <f>IF(S85&lt;=0,CI86,MAX(0,$F$21+CI86-S85-CJ86))</f>
        <v/>
      </c>
      <c r="CM86">
        <f>IF(T85&lt;=0,0,T85*$E$22/12)</f>
        <v/>
      </c>
      <c r="CN86">
        <f>IF(T85&lt;=0,0,MIN(T85+CM86,$F$22+CL86))</f>
        <v/>
      </c>
      <c r="CO86">
        <f>IF(T85&lt;=0,CL86,MAX(0,$F$22+CL86-T85-CM86))</f>
        <v/>
      </c>
      <c r="CP86">
        <f>IF(U85&lt;=0,0,U85*$E$23/12)</f>
        <v/>
      </c>
      <c r="CQ86">
        <f>IF(U85&lt;=0,0,MIN(U85+CP86,$F$23+CO86))</f>
        <v/>
      </c>
      <c r="CR86">
        <f>IF(U85&lt;=0,CO86,MAX(0,$F$23+CO86-U85-CP86))</f>
        <v/>
      </c>
      <c r="CS86">
        <f>IF(V85&lt;=0,0,V85*$E$24/12)</f>
        <v/>
      </c>
      <c r="CT86">
        <f>IF(V85&lt;=0,0,MIN(V85+CS86,$F$24+CR86))</f>
        <v/>
      </c>
      <c r="CU86">
        <f>IF(V85&lt;=0,CR86,MAX(0,$F$24+CR86-V85-CS86))</f>
        <v/>
      </c>
    </row>
    <row r="87">
      <c r="B87" s="39" t="n">
        <v>61</v>
      </c>
      <c r="C87" s="13">
        <f>IF(C86&lt;=0,0,MAX(0,C86+AN87-AO87))</f>
        <v/>
      </c>
      <c r="D87" s="13">
        <f>IF(D86&lt;=0,0,MAX(0,D86+AQ87-AR87))</f>
        <v/>
      </c>
      <c r="E87" s="13">
        <f>IF(E86&lt;=0,0,MAX(0,E86+AT87-AU87))</f>
        <v/>
      </c>
      <c r="F87" s="13">
        <f>IF(F86&lt;=0,0,MAX(0,F86+AW87-AX87))</f>
        <v/>
      </c>
      <c r="G87" s="13">
        <f>IF(G86&lt;=0,0,MAX(0,G86+AZ87-BA87))</f>
        <v/>
      </c>
      <c r="H87" s="13">
        <f>IF(H86&lt;=0,0,MAX(0,H86+BC87-BD87))</f>
        <v/>
      </c>
      <c r="I87" s="13">
        <f>IF(I86&lt;=0,0,MAX(0,I86+BF87-BG87))</f>
        <v/>
      </c>
      <c r="J87" s="13">
        <f>IF(J86&lt;=0,0,MAX(0,J86+BI87-BJ87))</f>
        <v/>
      </c>
      <c r="K87" s="13">
        <f>IF(K86&lt;=0,0,MAX(0,K86+BL87-BM87))</f>
        <v/>
      </c>
      <c r="L87" s="13">
        <f>IF(L86&lt;=0,0,MAX(0,L86+BO87-BP87))</f>
        <v/>
      </c>
      <c r="M87" s="13">
        <f>IF(M86&lt;=0,0,MAX(0,M86+BR87-BS87))</f>
        <v/>
      </c>
      <c r="N87" s="13">
        <f>IF(N86&lt;=0,0,MAX(0,N86+BU87-BV87))</f>
        <v/>
      </c>
      <c r="O87" s="13">
        <f>IF(O86&lt;=0,0,MAX(0,O86+BX87-BY87))</f>
        <v/>
      </c>
      <c r="P87" s="13">
        <f>IF(P86&lt;=0,0,MAX(0,P86+CA87-CB87))</f>
        <v/>
      </c>
      <c r="Q87" s="13">
        <f>IF(Q86&lt;=0,0,MAX(0,Q86+CD87-CE87))</f>
        <v/>
      </c>
      <c r="R87" s="13">
        <f>IF(R86&lt;=0,0,MAX(0,R86+CG87-CH87))</f>
        <v/>
      </c>
      <c r="S87" s="13">
        <f>IF(S86&lt;=0,0,MAX(0,S86+CJ87-CK87))</f>
        <v/>
      </c>
      <c r="T87" s="13">
        <f>IF(T86&lt;=0,0,MAX(0,T86+CM87-CN87))</f>
        <v/>
      </c>
      <c r="U87" s="13">
        <f>IF(U86&lt;=0,0,MAX(0,U86+CP87-CQ87))</f>
        <v/>
      </c>
      <c r="V87" s="13">
        <f>IF(V86&lt;=0,0,MAX(0,V86+CS87-CT87))</f>
        <v/>
      </c>
      <c r="W87" s="13">
        <f>AO87+AR87+AU87+AX87+BA87+BD87+BG87+BJ87+BM87+BP87+BS87+BV87+BY87+CB87+CE87+CH87+CK87+CN87+CQ87+CT87</f>
        <v/>
      </c>
      <c r="X87" s="13">
        <f>AN87+AQ87+AT87+AW87+AZ87+BC87+BF87+BI87+BL87+BO87+BR87+BU87+BX87+CA87+CD87+CG87+CJ87+CM87+CP87+CS87</f>
        <v/>
      </c>
      <c r="Y87" s="27">
        <f>C87+D87+E87+F87+G87+H87+I87+J87+K87+L87+M87+N87+O87+P87+Q87+R87+S87+T87+U87+V87</f>
        <v/>
      </c>
      <c r="AN87">
        <f>IF(C86&lt;=0,0,C86*$E$5/12)</f>
        <v/>
      </c>
      <c r="AO87">
        <f>IF(C86&lt;=0,0,MIN(C86+AN87,$F$5+(Dashboard!$C$11+IF(C86&lt;=0,$F$5,0)+IF(D86&lt;=0,$F$6,0)+IF(E86&lt;=0,$F$7,0)+IF(F86&lt;=0,$F$8,0)+IF(G86&lt;=0,$F$9,0)+IF(H86&lt;=0,$F$10,0)+IF(I86&lt;=0,$F$11,0)+IF(J86&lt;=0,$F$12,0)+IF(K86&lt;=0,$F$13,0)+IF(L86&lt;=0,$F$14,0)+IF(M86&lt;=0,$F$15,0)+IF(N86&lt;=0,$F$16,0)+IF(O86&lt;=0,$F$17,0)+IF(P86&lt;=0,$F$18,0)+IF(Q86&lt;=0,$F$19,0)+IF(R86&lt;=0,$F$20,0)+IF(S86&lt;=0,$F$21,0)+IF(T86&lt;=0,$F$22,0)+IF(U86&lt;=0,$F$23,0)+IF(V86&lt;=0,$F$24,0))))</f>
        <v/>
      </c>
      <c r="AP87">
        <f>IF(C86&lt;=0,(Dashboard!$C$11+IF(C86&lt;=0,$F$5,0)+IF(D86&lt;=0,$F$6,0)+IF(E86&lt;=0,$F$7,0)+IF(F86&lt;=0,$F$8,0)+IF(G86&lt;=0,$F$9,0)+IF(H86&lt;=0,$F$10,0)+IF(I86&lt;=0,$F$11,0)+IF(J86&lt;=0,$F$12,0)+IF(K86&lt;=0,$F$13,0)+IF(L86&lt;=0,$F$14,0)+IF(M86&lt;=0,$F$15,0)+IF(N86&lt;=0,$F$16,0)+IF(O86&lt;=0,$F$17,0)+IF(P86&lt;=0,$F$18,0)+IF(Q86&lt;=0,$F$19,0)+IF(R86&lt;=0,$F$20,0)+IF(S86&lt;=0,$F$21,0)+IF(T86&lt;=0,$F$22,0)+IF(U86&lt;=0,$F$23,0)+IF(V86&lt;=0,$F$24,0)),MAX(0,$F$5+(Dashboard!$C$11+IF(C86&lt;=0,$F$5,0)+IF(D86&lt;=0,$F$6,0)+IF(E86&lt;=0,$F$7,0)+IF(F86&lt;=0,$F$8,0)+IF(G86&lt;=0,$F$9,0)+IF(H86&lt;=0,$F$10,0)+IF(I86&lt;=0,$F$11,0)+IF(J86&lt;=0,$F$12,0)+IF(K86&lt;=0,$F$13,0)+IF(L86&lt;=0,$F$14,0)+IF(M86&lt;=0,$F$15,0)+IF(N86&lt;=0,$F$16,0)+IF(O86&lt;=0,$F$17,0)+IF(P86&lt;=0,$F$18,0)+IF(Q86&lt;=0,$F$19,0)+IF(R86&lt;=0,$F$20,0)+IF(S86&lt;=0,$F$21,0)+IF(T86&lt;=0,$F$22,0)+IF(U86&lt;=0,$F$23,0)+IF(V86&lt;=0,$F$24,0))-C86-AN87))</f>
        <v/>
      </c>
      <c r="AQ87">
        <f>IF(D86&lt;=0,0,D86*$E$6/12)</f>
        <v/>
      </c>
      <c r="AR87">
        <f>IF(D86&lt;=0,0,MIN(D86+AQ87,$F$6+AP87))</f>
        <v/>
      </c>
      <c r="AS87">
        <f>IF(D86&lt;=0,AP87,MAX(0,$F$6+AP87-D86-AQ87))</f>
        <v/>
      </c>
      <c r="AT87">
        <f>IF(E86&lt;=0,0,E86*$E$7/12)</f>
        <v/>
      </c>
      <c r="AU87">
        <f>IF(E86&lt;=0,0,MIN(E86+AT87,$F$7+AS87))</f>
        <v/>
      </c>
      <c r="AV87">
        <f>IF(E86&lt;=0,AS87,MAX(0,$F$7+AS87-E86-AT87))</f>
        <v/>
      </c>
      <c r="AW87">
        <f>IF(F86&lt;=0,0,F86*$E$8/12)</f>
        <v/>
      </c>
      <c r="AX87">
        <f>IF(F86&lt;=0,0,MIN(F86+AW87,$F$8+AV87))</f>
        <v/>
      </c>
      <c r="AY87">
        <f>IF(F86&lt;=0,AV87,MAX(0,$F$8+AV87-F86-AW87))</f>
        <v/>
      </c>
      <c r="AZ87">
        <f>IF(G86&lt;=0,0,G86*$E$9/12)</f>
        <v/>
      </c>
      <c r="BA87">
        <f>IF(G86&lt;=0,0,MIN(G86+AZ87,$F$9+AY87))</f>
        <v/>
      </c>
      <c r="BB87">
        <f>IF(G86&lt;=0,AY87,MAX(0,$F$9+AY87-G86-AZ87))</f>
        <v/>
      </c>
      <c r="BC87">
        <f>IF(H86&lt;=0,0,H86*$E$10/12)</f>
        <v/>
      </c>
      <c r="BD87">
        <f>IF(H86&lt;=0,0,MIN(H86+BC87,$F$10+BB87))</f>
        <v/>
      </c>
      <c r="BE87">
        <f>IF(H86&lt;=0,BB87,MAX(0,$F$10+BB87-H86-BC87))</f>
        <v/>
      </c>
      <c r="BF87">
        <f>IF(I86&lt;=0,0,I86*$E$11/12)</f>
        <v/>
      </c>
      <c r="BG87">
        <f>IF(I86&lt;=0,0,MIN(I86+BF87,$F$11+BE87))</f>
        <v/>
      </c>
      <c r="BH87">
        <f>IF(I86&lt;=0,BE87,MAX(0,$F$11+BE87-I86-BF87))</f>
        <v/>
      </c>
      <c r="BI87">
        <f>IF(J86&lt;=0,0,J86*$E$12/12)</f>
        <v/>
      </c>
      <c r="BJ87">
        <f>IF(J86&lt;=0,0,MIN(J86+BI87,$F$12+BH87))</f>
        <v/>
      </c>
      <c r="BK87">
        <f>IF(J86&lt;=0,BH87,MAX(0,$F$12+BH87-J86-BI87))</f>
        <v/>
      </c>
      <c r="BL87">
        <f>IF(K86&lt;=0,0,K86*$E$13/12)</f>
        <v/>
      </c>
      <c r="BM87">
        <f>IF(K86&lt;=0,0,MIN(K86+BL87,$F$13+BK87))</f>
        <v/>
      </c>
      <c r="BN87">
        <f>IF(K86&lt;=0,BK87,MAX(0,$F$13+BK87-K86-BL87))</f>
        <v/>
      </c>
      <c r="BO87">
        <f>IF(L86&lt;=0,0,L86*$E$14/12)</f>
        <v/>
      </c>
      <c r="BP87">
        <f>IF(L86&lt;=0,0,MIN(L86+BO87,$F$14+BN87))</f>
        <v/>
      </c>
      <c r="BQ87">
        <f>IF(L86&lt;=0,BN87,MAX(0,$F$14+BN87-L86-BO87))</f>
        <v/>
      </c>
      <c r="BR87">
        <f>IF(M86&lt;=0,0,M86*$E$15/12)</f>
        <v/>
      </c>
      <c r="BS87">
        <f>IF(M86&lt;=0,0,MIN(M86+BR87,$F$15+BQ87))</f>
        <v/>
      </c>
      <c r="BT87">
        <f>IF(M86&lt;=0,BQ87,MAX(0,$F$15+BQ87-M86-BR87))</f>
        <v/>
      </c>
      <c r="BU87">
        <f>IF(N86&lt;=0,0,N86*$E$16/12)</f>
        <v/>
      </c>
      <c r="BV87">
        <f>IF(N86&lt;=0,0,MIN(N86+BU87,$F$16+BT87))</f>
        <v/>
      </c>
      <c r="BW87">
        <f>IF(N86&lt;=0,BT87,MAX(0,$F$16+BT87-N86-BU87))</f>
        <v/>
      </c>
      <c r="BX87">
        <f>IF(O86&lt;=0,0,O86*$E$17/12)</f>
        <v/>
      </c>
      <c r="BY87">
        <f>IF(O86&lt;=0,0,MIN(O86+BX87,$F$17+BW87))</f>
        <v/>
      </c>
      <c r="BZ87">
        <f>IF(O86&lt;=0,BW87,MAX(0,$F$17+BW87-O86-BX87))</f>
        <v/>
      </c>
      <c r="CA87">
        <f>IF(P86&lt;=0,0,P86*$E$18/12)</f>
        <v/>
      </c>
      <c r="CB87">
        <f>IF(P86&lt;=0,0,MIN(P86+CA87,$F$18+BZ87))</f>
        <v/>
      </c>
      <c r="CC87">
        <f>IF(P86&lt;=0,BZ87,MAX(0,$F$18+BZ87-P86-CA87))</f>
        <v/>
      </c>
      <c r="CD87">
        <f>IF(Q86&lt;=0,0,Q86*$E$19/12)</f>
        <v/>
      </c>
      <c r="CE87">
        <f>IF(Q86&lt;=0,0,MIN(Q86+CD87,$F$19+CC87))</f>
        <v/>
      </c>
      <c r="CF87">
        <f>IF(Q86&lt;=0,CC87,MAX(0,$F$19+CC87-Q86-CD87))</f>
        <v/>
      </c>
      <c r="CG87">
        <f>IF(R86&lt;=0,0,R86*$E$20/12)</f>
        <v/>
      </c>
      <c r="CH87">
        <f>IF(R86&lt;=0,0,MIN(R86+CG87,$F$20+CF87))</f>
        <v/>
      </c>
      <c r="CI87">
        <f>IF(R86&lt;=0,CF87,MAX(0,$F$20+CF87-R86-CG87))</f>
        <v/>
      </c>
      <c r="CJ87">
        <f>IF(S86&lt;=0,0,S86*$E$21/12)</f>
        <v/>
      </c>
      <c r="CK87">
        <f>IF(S86&lt;=0,0,MIN(S86+CJ87,$F$21+CI87))</f>
        <v/>
      </c>
      <c r="CL87">
        <f>IF(S86&lt;=0,CI87,MAX(0,$F$21+CI87-S86-CJ87))</f>
        <v/>
      </c>
      <c r="CM87">
        <f>IF(T86&lt;=0,0,T86*$E$22/12)</f>
        <v/>
      </c>
      <c r="CN87">
        <f>IF(T86&lt;=0,0,MIN(T86+CM87,$F$22+CL87))</f>
        <v/>
      </c>
      <c r="CO87">
        <f>IF(T86&lt;=0,CL87,MAX(0,$F$22+CL87-T86-CM87))</f>
        <v/>
      </c>
      <c r="CP87">
        <f>IF(U86&lt;=0,0,U86*$E$23/12)</f>
        <v/>
      </c>
      <c r="CQ87">
        <f>IF(U86&lt;=0,0,MIN(U86+CP87,$F$23+CO87))</f>
        <v/>
      </c>
      <c r="CR87">
        <f>IF(U86&lt;=0,CO87,MAX(0,$F$23+CO87-U86-CP87))</f>
        <v/>
      </c>
      <c r="CS87">
        <f>IF(V86&lt;=0,0,V86*$E$24/12)</f>
        <v/>
      </c>
      <c r="CT87">
        <f>IF(V86&lt;=0,0,MIN(V86+CS87,$F$24+CR87))</f>
        <v/>
      </c>
      <c r="CU87">
        <f>IF(V86&lt;=0,CR87,MAX(0,$F$24+CR87-V86-CS87))</f>
        <v/>
      </c>
    </row>
    <row r="88">
      <c r="B88" s="39" t="n">
        <v>62</v>
      </c>
      <c r="C88" s="13">
        <f>IF(C87&lt;=0,0,MAX(0,C87+AN88-AO88))</f>
        <v/>
      </c>
      <c r="D88" s="13">
        <f>IF(D87&lt;=0,0,MAX(0,D87+AQ88-AR88))</f>
        <v/>
      </c>
      <c r="E88" s="13">
        <f>IF(E87&lt;=0,0,MAX(0,E87+AT88-AU88))</f>
        <v/>
      </c>
      <c r="F88" s="13">
        <f>IF(F87&lt;=0,0,MAX(0,F87+AW88-AX88))</f>
        <v/>
      </c>
      <c r="G88" s="13">
        <f>IF(G87&lt;=0,0,MAX(0,G87+AZ88-BA88))</f>
        <v/>
      </c>
      <c r="H88" s="13">
        <f>IF(H87&lt;=0,0,MAX(0,H87+BC88-BD88))</f>
        <v/>
      </c>
      <c r="I88" s="13">
        <f>IF(I87&lt;=0,0,MAX(0,I87+BF88-BG88))</f>
        <v/>
      </c>
      <c r="J88" s="13">
        <f>IF(J87&lt;=0,0,MAX(0,J87+BI88-BJ88))</f>
        <v/>
      </c>
      <c r="K88" s="13">
        <f>IF(K87&lt;=0,0,MAX(0,K87+BL88-BM88))</f>
        <v/>
      </c>
      <c r="L88" s="13">
        <f>IF(L87&lt;=0,0,MAX(0,L87+BO88-BP88))</f>
        <v/>
      </c>
      <c r="M88" s="13">
        <f>IF(M87&lt;=0,0,MAX(0,M87+BR88-BS88))</f>
        <v/>
      </c>
      <c r="N88" s="13">
        <f>IF(N87&lt;=0,0,MAX(0,N87+BU88-BV88))</f>
        <v/>
      </c>
      <c r="O88" s="13">
        <f>IF(O87&lt;=0,0,MAX(0,O87+BX88-BY88))</f>
        <v/>
      </c>
      <c r="P88" s="13">
        <f>IF(P87&lt;=0,0,MAX(0,P87+CA88-CB88))</f>
        <v/>
      </c>
      <c r="Q88" s="13">
        <f>IF(Q87&lt;=0,0,MAX(0,Q87+CD88-CE88))</f>
        <v/>
      </c>
      <c r="R88" s="13">
        <f>IF(R87&lt;=0,0,MAX(0,R87+CG88-CH88))</f>
        <v/>
      </c>
      <c r="S88" s="13">
        <f>IF(S87&lt;=0,0,MAX(0,S87+CJ88-CK88))</f>
        <v/>
      </c>
      <c r="T88" s="13">
        <f>IF(T87&lt;=0,0,MAX(0,T87+CM88-CN88))</f>
        <v/>
      </c>
      <c r="U88" s="13">
        <f>IF(U87&lt;=0,0,MAX(0,U87+CP88-CQ88))</f>
        <v/>
      </c>
      <c r="V88" s="13">
        <f>IF(V87&lt;=0,0,MAX(0,V87+CS88-CT88))</f>
        <v/>
      </c>
      <c r="W88" s="13">
        <f>AO88+AR88+AU88+AX88+BA88+BD88+BG88+BJ88+BM88+BP88+BS88+BV88+BY88+CB88+CE88+CH88+CK88+CN88+CQ88+CT88</f>
        <v/>
      </c>
      <c r="X88" s="13">
        <f>AN88+AQ88+AT88+AW88+AZ88+BC88+BF88+BI88+BL88+BO88+BR88+BU88+BX88+CA88+CD88+CG88+CJ88+CM88+CP88+CS88</f>
        <v/>
      </c>
      <c r="Y88" s="27">
        <f>C88+D88+E88+F88+G88+H88+I88+J88+K88+L88+M88+N88+O88+P88+Q88+R88+S88+T88+U88+V88</f>
        <v/>
      </c>
      <c r="AN88">
        <f>IF(C87&lt;=0,0,C87*$E$5/12)</f>
        <v/>
      </c>
      <c r="AO88">
        <f>IF(C87&lt;=0,0,MIN(C87+AN88,$F$5+(Dashboard!$C$11+IF(C87&lt;=0,$F$5,0)+IF(D87&lt;=0,$F$6,0)+IF(E87&lt;=0,$F$7,0)+IF(F87&lt;=0,$F$8,0)+IF(G87&lt;=0,$F$9,0)+IF(H87&lt;=0,$F$10,0)+IF(I87&lt;=0,$F$11,0)+IF(J87&lt;=0,$F$12,0)+IF(K87&lt;=0,$F$13,0)+IF(L87&lt;=0,$F$14,0)+IF(M87&lt;=0,$F$15,0)+IF(N87&lt;=0,$F$16,0)+IF(O87&lt;=0,$F$17,0)+IF(P87&lt;=0,$F$18,0)+IF(Q87&lt;=0,$F$19,0)+IF(R87&lt;=0,$F$20,0)+IF(S87&lt;=0,$F$21,0)+IF(T87&lt;=0,$F$22,0)+IF(U87&lt;=0,$F$23,0)+IF(V87&lt;=0,$F$24,0))))</f>
        <v/>
      </c>
      <c r="AP88">
        <f>IF(C87&lt;=0,(Dashboard!$C$11+IF(C87&lt;=0,$F$5,0)+IF(D87&lt;=0,$F$6,0)+IF(E87&lt;=0,$F$7,0)+IF(F87&lt;=0,$F$8,0)+IF(G87&lt;=0,$F$9,0)+IF(H87&lt;=0,$F$10,0)+IF(I87&lt;=0,$F$11,0)+IF(J87&lt;=0,$F$12,0)+IF(K87&lt;=0,$F$13,0)+IF(L87&lt;=0,$F$14,0)+IF(M87&lt;=0,$F$15,0)+IF(N87&lt;=0,$F$16,0)+IF(O87&lt;=0,$F$17,0)+IF(P87&lt;=0,$F$18,0)+IF(Q87&lt;=0,$F$19,0)+IF(R87&lt;=0,$F$20,0)+IF(S87&lt;=0,$F$21,0)+IF(T87&lt;=0,$F$22,0)+IF(U87&lt;=0,$F$23,0)+IF(V87&lt;=0,$F$24,0)),MAX(0,$F$5+(Dashboard!$C$11+IF(C87&lt;=0,$F$5,0)+IF(D87&lt;=0,$F$6,0)+IF(E87&lt;=0,$F$7,0)+IF(F87&lt;=0,$F$8,0)+IF(G87&lt;=0,$F$9,0)+IF(H87&lt;=0,$F$10,0)+IF(I87&lt;=0,$F$11,0)+IF(J87&lt;=0,$F$12,0)+IF(K87&lt;=0,$F$13,0)+IF(L87&lt;=0,$F$14,0)+IF(M87&lt;=0,$F$15,0)+IF(N87&lt;=0,$F$16,0)+IF(O87&lt;=0,$F$17,0)+IF(P87&lt;=0,$F$18,0)+IF(Q87&lt;=0,$F$19,0)+IF(R87&lt;=0,$F$20,0)+IF(S87&lt;=0,$F$21,0)+IF(T87&lt;=0,$F$22,0)+IF(U87&lt;=0,$F$23,0)+IF(V87&lt;=0,$F$24,0))-C87-AN88))</f>
        <v/>
      </c>
      <c r="AQ88">
        <f>IF(D87&lt;=0,0,D87*$E$6/12)</f>
        <v/>
      </c>
      <c r="AR88">
        <f>IF(D87&lt;=0,0,MIN(D87+AQ88,$F$6+AP88))</f>
        <v/>
      </c>
      <c r="AS88">
        <f>IF(D87&lt;=0,AP88,MAX(0,$F$6+AP88-D87-AQ88))</f>
        <v/>
      </c>
      <c r="AT88">
        <f>IF(E87&lt;=0,0,E87*$E$7/12)</f>
        <v/>
      </c>
      <c r="AU88">
        <f>IF(E87&lt;=0,0,MIN(E87+AT88,$F$7+AS88))</f>
        <v/>
      </c>
      <c r="AV88">
        <f>IF(E87&lt;=0,AS88,MAX(0,$F$7+AS88-E87-AT88))</f>
        <v/>
      </c>
      <c r="AW88">
        <f>IF(F87&lt;=0,0,F87*$E$8/12)</f>
        <v/>
      </c>
      <c r="AX88">
        <f>IF(F87&lt;=0,0,MIN(F87+AW88,$F$8+AV88))</f>
        <v/>
      </c>
      <c r="AY88">
        <f>IF(F87&lt;=0,AV88,MAX(0,$F$8+AV88-F87-AW88))</f>
        <v/>
      </c>
      <c r="AZ88">
        <f>IF(G87&lt;=0,0,G87*$E$9/12)</f>
        <v/>
      </c>
      <c r="BA88">
        <f>IF(G87&lt;=0,0,MIN(G87+AZ88,$F$9+AY88))</f>
        <v/>
      </c>
      <c r="BB88">
        <f>IF(G87&lt;=0,AY88,MAX(0,$F$9+AY88-G87-AZ88))</f>
        <v/>
      </c>
      <c r="BC88">
        <f>IF(H87&lt;=0,0,H87*$E$10/12)</f>
        <v/>
      </c>
      <c r="BD88">
        <f>IF(H87&lt;=0,0,MIN(H87+BC88,$F$10+BB88))</f>
        <v/>
      </c>
      <c r="BE88">
        <f>IF(H87&lt;=0,BB88,MAX(0,$F$10+BB88-H87-BC88))</f>
        <v/>
      </c>
      <c r="BF88">
        <f>IF(I87&lt;=0,0,I87*$E$11/12)</f>
        <v/>
      </c>
      <c r="BG88">
        <f>IF(I87&lt;=0,0,MIN(I87+BF88,$F$11+BE88))</f>
        <v/>
      </c>
      <c r="BH88">
        <f>IF(I87&lt;=0,BE88,MAX(0,$F$11+BE88-I87-BF88))</f>
        <v/>
      </c>
      <c r="BI88">
        <f>IF(J87&lt;=0,0,J87*$E$12/12)</f>
        <v/>
      </c>
      <c r="BJ88">
        <f>IF(J87&lt;=0,0,MIN(J87+BI88,$F$12+BH88))</f>
        <v/>
      </c>
      <c r="BK88">
        <f>IF(J87&lt;=0,BH88,MAX(0,$F$12+BH88-J87-BI88))</f>
        <v/>
      </c>
      <c r="BL88">
        <f>IF(K87&lt;=0,0,K87*$E$13/12)</f>
        <v/>
      </c>
      <c r="BM88">
        <f>IF(K87&lt;=0,0,MIN(K87+BL88,$F$13+BK88))</f>
        <v/>
      </c>
      <c r="BN88">
        <f>IF(K87&lt;=0,BK88,MAX(0,$F$13+BK88-K87-BL88))</f>
        <v/>
      </c>
      <c r="BO88">
        <f>IF(L87&lt;=0,0,L87*$E$14/12)</f>
        <v/>
      </c>
      <c r="BP88">
        <f>IF(L87&lt;=0,0,MIN(L87+BO88,$F$14+BN88))</f>
        <v/>
      </c>
      <c r="BQ88">
        <f>IF(L87&lt;=0,BN88,MAX(0,$F$14+BN88-L87-BO88))</f>
        <v/>
      </c>
      <c r="BR88">
        <f>IF(M87&lt;=0,0,M87*$E$15/12)</f>
        <v/>
      </c>
      <c r="BS88">
        <f>IF(M87&lt;=0,0,MIN(M87+BR88,$F$15+BQ88))</f>
        <v/>
      </c>
      <c r="BT88">
        <f>IF(M87&lt;=0,BQ88,MAX(0,$F$15+BQ88-M87-BR88))</f>
        <v/>
      </c>
      <c r="BU88">
        <f>IF(N87&lt;=0,0,N87*$E$16/12)</f>
        <v/>
      </c>
      <c r="BV88">
        <f>IF(N87&lt;=0,0,MIN(N87+BU88,$F$16+BT88))</f>
        <v/>
      </c>
      <c r="BW88">
        <f>IF(N87&lt;=0,BT88,MAX(0,$F$16+BT88-N87-BU88))</f>
        <v/>
      </c>
      <c r="BX88">
        <f>IF(O87&lt;=0,0,O87*$E$17/12)</f>
        <v/>
      </c>
      <c r="BY88">
        <f>IF(O87&lt;=0,0,MIN(O87+BX88,$F$17+BW88))</f>
        <v/>
      </c>
      <c r="BZ88">
        <f>IF(O87&lt;=0,BW88,MAX(0,$F$17+BW88-O87-BX88))</f>
        <v/>
      </c>
      <c r="CA88">
        <f>IF(P87&lt;=0,0,P87*$E$18/12)</f>
        <v/>
      </c>
      <c r="CB88">
        <f>IF(P87&lt;=0,0,MIN(P87+CA88,$F$18+BZ88))</f>
        <v/>
      </c>
      <c r="CC88">
        <f>IF(P87&lt;=0,BZ88,MAX(0,$F$18+BZ88-P87-CA88))</f>
        <v/>
      </c>
      <c r="CD88">
        <f>IF(Q87&lt;=0,0,Q87*$E$19/12)</f>
        <v/>
      </c>
      <c r="CE88">
        <f>IF(Q87&lt;=0,0,MIN(Q87+CD88,$F$19+CC88))</f>
        <v/>
      </c>
      <c r="CF88">
        <f>IF(Q87&lt;=0,CC88,MAX(0,$F$19+CC88-Q87-CD88))</f>
        <v/>
      </c>
      <c r="CG88">
        <f>IF(R87&lt;=0,0,R87*$E$20/12)</f>
        <v/>
      </c>
      <c r="CH88">
        <f>IF(R87&lt;=0,0,MIN(R87+CG88,$F$20+CF88))</f>
        <v/>
      </c>
      <c r="CI88">
        <f>IF(R87&lt;=0,CF88,MAX(0,$F$20+CF88-R87-CG88))</f>
        <v/>
      </c>
      <c r="CJ88">
        <f>IF(S87&lt;=0,0,S87*$E$21/12)</f>
        <v/>
      </c>
      <c r="CK88">
        <f>IF(S87&lt;=0,0,MIN(S87+CJ88,$F$21+CI88))</f>
        <v/>
      </c>
      <c r="CL88">
        <f>IF(S87&lt;=0,CI88,MAX(0,$F$21+CI88-S87-CJ88))</f>
        <v/>
      </c>
      <c r="CM88">
        <f>IF(T87&lt;=0,0,T87*$E$22/12)</f>
        <v/>
      </c>
      <c r="CN88">
        <f>IF(T87&lt;=0,0,MIN(T87+CM88,$F$22+CL88))</f>
        <v/>
      </c>
      <c r="CO88">
        <f>IF(T87&lt;=0,CL88,MAX(0,$F$22+CL88-T87-CM88))</f>
        <v/>
      </c>
      <c r="CP88">
        <f>IF(U87&lt;=0,0,U87*$E$23/12)</f>
        <v/>
      </c>
      <c r="CQ88">
        <f>IF(U87&lt;=0,0,MIN(U87+CP88,$F$23+CO88))</f>
        <v/>
      </c>
      <c r="CR88">
        <f>IF(U87&lt;=0,CO88,MAX(0,$F$23+CO88-U87-CP88))</f>
        <v/>
      </c>
      <c r="CS88">
        <f>IF(V87&lt;=0,0,V87*$E$24/12)</f>
        <v/>
      </c>
      <c r="CT88">
        <f>IF(V87&lt;=0,0,MIN(V87+CS88,$F$24+CR88))</f>
        <v/>
      </c>
      <c r="CU88">
        <f>IF(V87&lt;=0,CR88,MAX(0,$F$24+CR88-V87-CS88))</f>
        <v/>
      </c>
    </row>
    <row r="89">
      <c r="B89" s="39" t="n">
        <v>63</v>
      </c>
      <c r="C89" s="13">
        <f>IF(C88&lt;=0,0,MAX(0,C88+AN89-AO89))</f>
        <v/>
      </c>
      <c r="D89" s="13">
        <f>IF(D88&lt;=0,0,MAX(0,D88+AQ89-AR89))</f>
        <v/>
      </c>
      <c r="E89" s="13">
        <f>IF(E88&lt;=0,0,MAX(0,E88+AT89-AU89))</f>
        <v/>
      </c>
      <c r="F89" s="13">
        <f>IF(F88&lt;=0,0,MAX(0,F88+AW89-AX89))</f>
        <v/>
      </c>
      <c r="G89" s="13">
        <f>IF(G88&lt;=0,0,MAX(0,G88+AZ89-BA89))</f>
        <v/>
      </c>
      <c r="H89" s="13">
        <f>IF(H88&lt;=0,0,MAX(0,H88+BC89-BD89))</f>
        <v/>
      </c>
      <c r="I89" s="13">
        <f>IF(I88&lt;=0,0,MAX(0,I88+BF89-BG89))</f>
        <v/>
      </c>
      <c r="J89" s="13">
        <f>IF(J88&lt;=0,0,MAX(0,J88+BI89-BJ89))</f>
        <v/>
      </c>
      <c r="K89" s="13">
        <f>IF(K88&lt;=0,0,MAX(0,K88+BL89-BM89))</f>
        <v/>
      </c>
      <c r="L89" s="13">
        <f>IF(L88&lt;=0,0,MAX(0,L88+BO89-BP89))</f>
        <v/>
      </c>
      <c r="M89" s="13">
        <f>IF(M88&lt;=0,0,MAX(0,M88+BR89-BS89))</f>
        <v/>
      </c>
      <c r="N89" s="13">
        <f>IF(N88&lt;=0,0,MAX(0,N88+BU89-BV89))</f>
        <v/>
      </c>
      <c r="O89" s="13">
        <f>IF(O88&lt;=0,0,MAX(0,O88+BX89-BY89))</f>
        <v/>
      </c>
      <c r="P89" s="13">
        <f>IF(P88&lt;=0,0,MAX(0,P88+CA89-CB89))</f>
        <v/>
      </c>
      <c r="Q89" s="13">
        <f>IF(Q88&lt;=0,0,MAX(0,Q88+CD89-CE89))</f>
        <v/>
      </c>
      <c r="R89" s="13">
        <f>IF(R88&lt;=0,0,MAX(0,R88+CG89-CH89))</f>
        <v/>
      </c>
      <c r="S89" s="13">
        <f>IF(S88&lt;=0,0,MAX(0,S88+CJ89-CK89))</f>
        <v/>
      </c>
      <c r="T89" s="13">
        <f>IF(T88&lt;=0,0,MAX(0,T88+CM89-CN89))</f>
        <v/>
      </c>
      <c r="U89" s="13">
        <f>IF(U88&lt;=0,0,MAX(0,U88+CP89-CQ89))</f>
        <v/>
      </c>
      <c r="V89" s="13">
        <f>IF(V88&lt;=0,0,MAX(0,V88+CS89-CT89))</f>
        <v/>
      </c>
      <c r="W89" s="13">
        <f>AO89+AR89+AU89+AX89+BA89+BD89+BG89+BJ89+BM89+BP89+BS89+BV89+BY89+CB89+CE89+CH89+CK89+CN89+CQ89+CT89</f>
        <v/>
      </c>
      <c r="X89" s="13">
        <f>AN89+AQ89+AT89+AW89+AZ89+BC89+BF89+BI89+BL89+BO89+BR89+BU89+BX89+CA89+CD89+CG89+CJ89+CM89+CP89+CS89</f>
        <v/>
      </c>
      <c r="Y89" s="27">
        <f>C89+D89+E89+F89+G89+H89+I89+J89+K89+L89+M89+N89+O89+P89+Q89+R89+S89+T89+U89+V89</f>
        <v/>
      </c>
      <c r="AN89">
        <f>IF(C88&lt;=0,0,C88*$E$5/12)</f>
        <v/>
      </c>
      <c r="AO89">
        <f>IF(C88&lt;=0,0,MIN(C88+AN89,$F$5+(Dashboard!$C$11+IF(C88&lt;=0,$F$5,0)+IF(D88&lt;=0,$F$6,0)+IF(E88&lt;=0,$F$7,0)+IF(F88&lt;=0,$F$8,0)+IF(G88&lt;=0,$F$9,0)+IF(H88&lt;=0,$F$10,0)+IF(I88&lt;=0,$F$11,0)+IF(J88&lt;=0,$F$12,0)+IF(K88&lt;=0,$F$13,0)+IF(L88&lt;=0,$F$14,0)+IF(M88&lt;=0,$F$15,0)+IF(N88&lt;=0,$F$16,0)+IF(O88&lt;=0,$F$17,0)+IF(P88&lt;=0,$F$18,0)+IF(Q88&lt;=0,$F$19,0)+IF(R88&lt;=0,$F$20,0)+IF(S88&lt;=0,$F$21,0)+IF(T88&lt;=0,$F$22,0)+IF(U88&lt;=0,$F$23,0)+IF(V88&lt;=0,$F$24,0))))</f>
        <v/>
      </c>
      <c r="AP89">
        <f>IF(C88&lt;=0,(Dashboard!$C$11+IF(C88&lt;=0,$F$5,0)+IF(D88&lt;=0,$F$6,0)+IF(E88&lt;=0,$F$7,0)+IF(F88&lt;=0,$F$8,0)+IF(G88&lt;=0,$F$9,0)+IF(H88&lt;=0,$F$10,0)+IF(I88&lt;=0,$F$11,0)+IF(J88&lt;=0,$F$12,0)+IF(K88&lt;=0,$F$13,0)+IF(L88&lt;=0,$F$14,0)+IF(M88&lt;=0,$F$15,0)+IF(N88&lt;=0,$F$16,0)+IF(O88&lt;=0,$F$17,0)+IF(P88&lt;=0,$F$18,0)+IF(Q88&lt;=0,$F$19,0)+IF(R88&lt;=0,$F$20,0)+IF(S88&lt;=0,$F$21,0)+IF(T88&lt;=0,$F$22,0)+IF(U88&lt;=0,$F$23,0)+IF(V88&lt;=0,$F$24,0)),MAX(0,$F$5+(Dashboard!$C$11+IF(C88&lt;=0,$F$5,0)+IF(D88&lt;=0,$F$6,0)+IF(E88&lt;=0,$F$7,0)+IF(F88&lt;=0,$F$8,0)+IF(G88&lt;=0,$F$9,0)+IF(H88&lt;=0,$F$10,0)+IF(I88&lt;=0,$F$11,0)+IF(J88&lt;=0,$F$12,0)+IF(K88&lt;=0,$F$13,0)+IF(L88&lt;=0,$F$14,0)+IF(M88&lt;=0,$F$15,0)+IF(N88&lt;=0,$F$16,0)+IF(O88&lt;=0,$F$17,0)+IF(P88&lt;=0,$F$18,0)+IF(Q88&lt;=0,$F$19,0)+IF(R88&lt;=0,$F$20,0)+IF(S88&lt;=0,$F$21,0)+IF(T88&lt;=0,$F$22,0)+IF(U88&lt;=0,$F$23,0)+IF(V88&lt;=0,$F$24,0))-C88-AN89))</f>
        <v/>
      </c>
      <c r="AQ89">
        <f>IF(D88&lt;=0,0,D88*$E$6/12)</f>
        <v/>
      </c>
      <c r="AR89">
        <f>IF(D88&lt;=0,0,MIN(D88+AQ89,$F$6+AP89))</f>
        <v/>
      </c>
      <c r="AS89">
        <f>IF(D88&lt;=0,AP89,MAX(0,$F$6+AP89-D88-AQ89))</f>
        <v/>
      </c>
      <c r="AT89">
        <f>IF(E88&lt;=0,0,E88*$E$7/12)</f>
        <v/>
      </c>
      <c r="AU89">
        <f>IF(E88&lt;=0,0,MIN(E88+AT89,$F$7+AS89))</f>
        <v/>
      </c>
      <c r="AV89">
        <f>IF(E88&lt;=0,AS89,MAX(0,$F$7+AS89-E88-AT89))</f>
        <v/>
      </c>
      <c r="AW89">
        <f>IF(F88&lt;=0,0,F88*$E$8/12)</f>
        <v/>
      </c>
      <c r="AX89">
        <f>IF(F88&lt;=0,0,MIN(F88+AW89,$F$8+AV89))</f>
        <v/>
      </c>
      <c r="AY89">
        <f>IF(F88&lt;=0,AV89,MAX(0,$F$8+AV89-F88-AW89))</f>
        <v/>
      </c>
      <c r="AZ89">
        <f>IF(G88&lt;=0,0,G88*$E$9/12)</f>
        <v/>
      </c>
      <c r="BA89">
        <f>IF(G88&lt;=0,0,MIN(G88+AZ89,$F$9+AY89))</f>
        <v/>
      </c>
      <c r="BB89">
        <f>IF(G88&lt;=0,AY89,MAX(0,$F$9+AY89-G88-AZ89))</f>
        <v/>
      </c>
      <c r="BC89">
        <f>IF(H88&lt;=0,0,H88*$E$10/12)</f>
        <v/>
      </c>
      <c r="BD89">
        <f>IF(H88&lt;=0,0,MIN(H88+BC89,$F$10+BB89))</f>
        <v/>
      </c>
      <c r="BE89">
        <f>IF(H88&lt;=0,BB89,MAX(0,$F$10+BB89-H88-BC89))</f>
        <v/>
      </c>
      <c r="BF89">
        <f>IF(I88&lt;=0,0,I88*$E$11/12)</f>
        <v/>
      </c>
      <c r="BG89">
        <f>IF(I88&lt;=0,0,MIN(I88+BF89,$F$11+BE89))</f>
        <v/>
      </c>
      <c r="BH89">
        <f>IF(I88&lt;=0,BE89,MAX(0,$F$11+BE89-I88-BF89))</f>
        <v/>
      </c>
      <c r="BI89">
        <f>IF(J88&lt;=0,0,J88*$E$12/12)</f>
        <v/>
      </c>
      <c r="BJ89">
        <f>IF(J88&lt;=0,0,MIN(J88+BI89,$F$12+BH89))</f>
        <v/>
      </c>
      <c r="BK89">
        <f>IF(J88&lt;=0,BH89,MAX(0,$F$12+BH89-J88-BI89))</f>
        <v/>
      </c>
      <c r="BL89">
        <f>IF(K88&lt;=0,0,K88*$E$13/12)</f>
        <v/>
      </c>
      <c r="BM89">
        <f>IF(K88&lt;=0,0,MIN(K88+BL89,$F$13+BK89))</f>
        <v/>
      </c>
      <c r="BN89">
        <f>IF(K88&lt;=0,BK89,MAX(0,$F$13+BK89-K88-BL89))</f>
        <v/>
      </c>
      <c r="BO89">
        <f>IF(L88&lt;=0,0,L88*$E$14/12)</f>
        <v/>
      </c>
      <c r="BP89">
        <f>IF(L88&lt;=0,0,MIN(L88+BO89,$F$14+BN89))</f>
        <v/>
      </c>
      <c r="BQ89">
        <f>IF(L88&lt;=0,BN89,MAX(0,$F$14+BN89-L88-BO89))</f>
        <v/>
      </c>
      <c r="BR89">
        <f>IF(M88&lt;=0,0,M88*$E$15/12)</f>
        <v/>
      </c>
      <c r="BS89">
        <f>IF(M88&lt;=0,0,MIN(M88+BR89,$F$15+BQ89))</f>
        <v/>
      </c>
      <c r="BT89">
        <f>IF(M88&lt;=0,BQ89,MAX(0,$F$15+BQ89-M88-BR89))</f>
        <v/>
      </c>
      <c r="BU89">
        <f>IF(N88&lt;=0,0,N88*$E$16/12)</f>
        <v/>
      </c>
      <c r="BV89">
        <f>IF(N88&lt;=0,0,MIN(N88+BU89,$F$16+BT89))</f>
        <v/>
      </c>
      <c r="BW89">
        <f>IF(N88&lt;=0,BT89,MAX(0,$F$16+BT89-N88-BU89))</f>
        <v/>
      </c>
      <c r="BX89">
        <f>IF(O88&lt;=0,0,O88*$E$17/12)</f>
        <v/>
      </c>
      <c r="BY89">
        <f>IF(O88&lt;=0,0,MIN(O88+BX89,$F$17+BW89))</f>
        <v/>
      </c>
      <c r="BZ89">
        <f>IF(O88&lt;=0,BW89,MAX(0,$F$17+BW89-O88-BX89))</f>
        <v/>
      </c>
      <c r="CA89">
        <f>IF(P88&lt;=0,0,P88*$E$18/12)</f>
        <v/>
      </c>
      <c r="CB89">
        <f>IF(P88&lt;=0,0,MIN(P88+CA89,$F$18+BZ89))</f>
        <v/>
      </c>
      <c r="CC89">
        <f>IF(P88&lt;=0,BZ89,MAX(0,$F$18+BZ89-P88-CA89))</f>
        <v/>
      </c>
      <c r="CD89">
        <f>IF(Q88&lt;=0,0,Q88*$E$19/12)</f>
        <v/>
      </c>
      <c r="CE89">
        <f>IF(Q88&lt;=0,0,MIN(Q88+CD89,$F$19+CC89))</f>
        <v/>
      </c>
      <c r="CF89">
        <f>IF(Q88&lt;=0,CC89,MAX(0,$F$19+CC89-Q88-CD89))</f>
        <v/>
      </c>
      <c r="CG89">
        <f>IF(R88&lt;=0,0,R88*$E$20/12)</f>
        <v/>
      </c>
      <c r="CH89">
        <f>IF(R88&lt;=0,0,MIN(R88+CG89,$F$20+CF89))</f>
        <v/>
      </c>
      <c r="CI89">
        <f>IF(R88&lt;=0,CF89,MAX(0,$F$20+CF89-R88-CG89))</f>
        <v/>
      </c>
      <c r="CJ89">
        <f>IF(S88&lt;=0,0,S88*$E$21/12)</f>
        <v/>
      </c>
      <c r="CK89">
        <f>IF(S88&lt;=0,0,MIN(S88+CJ89,$F$21+CI89))</f>
        <v/>
      </c>
      <c r="CL89">
        <f>IF(S88&lt;=0,CI89,MAX(0,$F$21+CI89-S88-CJ89))</f>
        <v/>
      </c>
      <c r="CM89">
        <f>IF(T88&lt;=0,0,T88*$E$22/12)</f>
        <v/>
      </c>
      <c r="CN89">
        <f>IF(T88&lt;=0,0,MIN(T88+CM89,$F$22+CL89))</f>
        <v/>
      </c>
      <c r="CO89">
        <f>IF(T88&lt;=0,CL89,MAX(0,$F$22+CL89-T88-CM89))</f>
        <v/>
      </c>
      <c r="CP89">
        <f>IF(U88&lt;=0,0,U88*$E$23/12)</f>
        <v/>
      </c>
      <c r="CQ89">
        <f>IF(U88&lt;=0,0,MIN(U88+CP89,$F$23+CO89))</f>
        <v/>
      </c>
      <c r="CR89">
        <f>IF(U88&lt;=0,CO89,MAX(0,$F$23+CO89-U88-CP89))</f>
        <v/>
      </c>
      <c r="CS89">
        <f>IF(V88&lt;=0,0,V88*$E$24/12)</f>
        <v/>
      </c>
      <c r="CT89">
        <f>IF(V88&lt;=0,0,MIN(V88+CS89,$F$24+CR89))</f>
        <v/>
      </c>
      <c r="CU89">
        <f>IF(V88&lt;=0,CR89,MAX(0,$F$24+CR89-V88-CS89))</f>
        <v/>
      </c>
    </row>
    <row r="90">
      <c r="B90" s="39" t="n">
        <v>64</v>
      </c>
      <c r="C90" s="13">
        <f>IF(C89&lt;=0,0,MAX(0,C89+AN90-AO90))</f>
        <v/>
      </c>
      <c r="D90" s="13">
        <f>IF(D89&lt;=0,0,MAX(0,D89+AQ90-AR90))</f>
        <v/>
      </c>
      <c r="E90" s="13">
        <f>IF(E89&lt;=0,0,MAX(0,E89+AT90-AU90))</f>
        <v/>
      </c>
      <c r="F90" s="13">
        <f>IF(F89&lt;=0,0,MAX(0,F89+AW90-AX90))</f>
        <v/>
      </c>
      <c r="G90" s="13">
        <f>IF(G89&lt;=0,0,MAX(0,G89+AZ90-BA90))</f>
        <v/>
      </c>
      <c r="H90" s="13">
        <f>IF(H89&lt;=0,0,MAX(0,H89+BC90-BD90))</f>
        <v/>
      </c>
      <c r="I90" s="13">
        <f>IF(I89&lt;=0,0,MAX(0,I89+BF90-BG90))</f>
        <v/>
      </c>
      <c r="J90" s="13">
        <f>IF(J89&lt;=0,0,MAX(0,J89+BI90-BJ90))</f>
        <v/>
      </c>
      <c r="K90" s="13">
        <f>IF(K89&lt;=0,0,MAX(0,K89+BL90-BM90))</f>
        <v/>
      </c>
      <c r="L90" s="13">
        <f>IF(L89&lt;=0,0,MAX(0,L89+BO90-BP90))</f>
        <v/>
      </c>
      <c r="M90" s="13">
        <f>IF(M89&lt;=0,0,MAX(0,M89+BR90-BS90))</f>
        <v/>
      </c>
      <c r="N90" s="13">
        <f>IF(N89&lt;=0,0,MAX(0,N89+BU90-BV90))</f>
        <v/>
      </c>
      <c r="O90" s="13">
        <f>IF(O89&lt;=0,0,MAX(0,O89+BX90-BY90))</f>
        <v/>
      </c>
      <c r="P90" s="13">
        <f>IF(P89&lt;=0,0,MAX(0,P89+CA90-CB90))</f>
        <v/>
      </c>
      <c r="Q90" s="13">
        <f>IF(Q89&lt;=0,0,MAX(0,Q89+CD90-CE90))</f>
        <v/>
      </c>
      <c r="R90" s="13">
        <f>IF(R89&lt;=0,0,MAX(0,R89+CG90-CH90))</f>
        <v/>
      </c>
      <c r="S90" s="13">
        <f>IF(S89&lt;=0,0,MAX(0,S89+CJ90-CK90))</f>
        <v/>
      </c>
      <c r="T90" s="13">
        <f>IF(T89&lt;=0,0,MAX(0,T89+CM90-CN90))</f>
        <v/>
      </c>
      <c r="U90" s="13">
        <f>IF(U89&lt;=0,0,MAX(0,U89+CP90-CQ90))</f>
        <v/>
      </c>
      <c r="V90" s="13">
        <f>IF(V89&lt;=0,0,MAX(0,V89+CS90-CT90))</f>
        <v/>
      </c>
      <c r="W90" s="13">
        <f>AO90+AR90+AU90+AX90+BA90+BD90+BG90+BJ90+BM90+BP90+BS90+BV90+BY90+CB90+CE90+CH90+CK90+CN90+CQ90+CT90</f>
        <v/>
      </c>
      <c r="X90" s="13">
        <f>AN90+AQ90+AT90+AW90+AZ90+BC90+BF90+BI90+BL90+BO90+BR90+BU90+BX90+CA90+CD90+CG90+CJ90+CM90+CP90+CS90</f>
        <v/>
      </c>
      <c r="Y90" s="27">
        <f>C90+D90+E90+F90+G90+H90+I90+J90+K90+L90+M90+N90+O90+P90+Q90+R90+S90+T90+U90+V90</f>
        <v/>
      </c>
      <c r="AN90">
        <f>IF(C89&lt;=0,0,C89*$E$5/12)</f>
        <v/>
      </c>
      <c r="AO90">
        <f>IF(C89&lt;=0,0,MIN(C89+AN90,$F$5+(Dashboard!$C$11+IF(C89&lt;=0,$F$5,0)+IF(D89&lt;=0,$F$6,0)+IF(E89&lt;=0,$F$7,0)+IF(F89&lt;=0,$F$8,0)+IF(G89&lt;=0,$F$9,0)+IF(H89&lt;=0,$F$10,0)+IF(I89&lt;=0,$F$11,0)+IF(J89&lt;=0,$F$12,0)+IF(K89&lt;=0,$F$13,0)+IF(L89&lt;=0,$F$14,0)+IF(M89&lt;=0,$F$15,0)+IF(N89&lt;=0,$F$16,0)+IF(O89&lt;=0,$F$17,0)+IF(P89&lt;=0,$F$18,0)+IF(Q89&lt;=0,$F$19,0)+IF(R89&lt;=0,$F$20,0)+IF(S89&lt;=0,$F$21,0)+IF(T89&lt;=0,$F$22,0)+IF(U89&lt;=0,$F$23,0)+IF(V89&lt;=0,$F$24,0))))</f>
        <v/>
      </c>
      <c r="AP90">
        <f>IF(C89&lt;=0,(Dashboard!$C$11+IF(C89&lt;=0,$F$5,0)+IF(D89&lt;=0,$F$6,0)+IF(E89&lt;=0,$F$7,0)+IF(F89&lt;=0,$F$8,0)+IF(G89&lt;=0,$F$9,0)+IF(H89&lt;=0,$F$10,0)+IF(I89&lt;=0,$F$11,0)+IF(J89&lt;=0,$F$12,0)+IF(K89&lt;=0,$F$13,0)+IF(L89&lt;=0,$F$14,0)+IF(M89&lt;=0,$F$15,0)+IF(N89&lt;=0,$F$16,0)+IF(O89&lt;=0,$F$17,0)+IF(P89&lt;=0,$F$18,0)+IF(Q89&lt;=0,$F$19,0)+IF(R89&lt;=0,$F$20,0)+IF(S89&lt;=0,$F$21,0)+IF(T89&lt;=0,$F$22,0)+IF(U89&lt;=0,$F$23,0)+IF(V89&lt;=0,$F$24,0)),MAX(0,$F$5+(Dashboard!$C$11+IF(C89&lt;=0,$F$5,0)+IF(D89&lt;=0,$F$6,0)+IF(E89&lt;=0,$F$7,0)+IF(F89&lt;=0,$F$8,0)+IF(G89&lt;=0,$F$9,0)+IF(H89&lt;=0,$F$10,0)+IF(I89&lt;=0,$F$11,0)+IF(J89&lt;=0,$F$12,0)+IF(K89&lt;=0,$F$13,0)+IF(L89&lt;=0,$F$14,0)+IF(M89&lt;=0,$F$15,0)+IF(N89&lt;=0,$F$16,0)+IF(O89&lt;=0,$F$17,0)+IF(P89&lt;=0,$F$18,0)+IF(Q89&lt;=0,$F$19,0)+IF(R89&lt;=0,$F$20,0)+IF(S89&lt;=0,$F$21,0)+IF(T89&lt;=0,$F$22,0)+IF(U89&lt;=0,$F$23,0)+IF(V89&lt;=0,$F$24,0))-C89-AN90))</f>
        <v/>
      </c>
      <c r="AQ90">
        <f>IF(D89&lt;=0,0,D89*$E$6/12)</f>
        <v/>
      </c>
      <c r="AR90">
        <f>IF(D89&lt;=0,0,MIN(D89+AQ90,$F$6+AP90))</f>
        <v/>
      </c>
      <c r="AS90">
        <f>IF(D89&lt;=0,AP90,MAX(0,$F$6+AP90-D89-AQ90))</f>
        <v/>
      </c>
      <c r="AT90">
        <f>IF(E89&lt;=0,0,E89*$E$7/12)</f>
        <v/>
      </c>
      <c r="AU90">
        <f>IF(E89&lt;=0,0,MIN(E89+AT90,$F$7+AS90))</f>
        <v/>
      </c>
      <c r="AV90">
        <f>IF(E89&lt;=0,AS90,MAX(0,$F$7+AS90-E89-AT90))</f>
        <v/>
      </c>
      <c r="AW90">
        <f>IF(F89&lt;=0,0,F89*$E$8/12)</f>
        <v/>
      </c>
      <c r="AX90">
        <f>IF(F89&lt;=0,0,MIN(F89+AW90,$F$8+AV90))</f>
        <v/>
      </c>
      <c r="AY90">
        <f>IF(F89&lt;=0,AV90,MAX(0,$F$8+AV90-F89-AW90))</f>
        <v/>
      </c>
      <c r="AZ90">
        <f>IF(G89&lt;=0,0,G89*$E$9/12)</f>
        <v/>
      </c>
      <c r="BA90">
        <f>IF(G89&lt;=0,0,MIN(G89+AZ90,$F$9+AY90))</f>
        <v/>
      </c>
      <c r="BB90">
        <f>IF(G89&lt;=0,AY90,MAX(0,$F$9+AY90-G89-AZ90))</f>
        <v/>
      </c>
      <c r="BC90">
        <f>IF(H89&lt;=0,0,H89*$E$10/12)</f>
        <v/>
      </c>
      <c r="BD90">
        <f>IF(H89&lt;=0,0,MIN(H89+BC90,$F$10+BB90))</f>
        <v/>
      </c>
      <c r="BE90">
        <f>IF(H89&lt;=0,BB90,MAX(0,$F$10+BB90-H89-BC90))</f>
        <v/>
      </c>
      <c r="BF90">
        <f>IF(I89&lt;=0,0,I89*$E$11/12)</f>
        <v/>
      </c>
      <c r="BG90">
        <f>IF(I89&lt;=0,0,MIN(I89+BF90,$F$11+BE90))</f>
        <v/>
      </c>
      <c r="BH90">
        <f>IF(I89&lt;=0,BE90,MAX(0,$F$11+BE90-I89-BF90))</f>
        <v/>
      </c>
      <c r="BI90">
        <f>IF(J89&lt;=0,0,J89*$E$12/12)</f>
        <v/>
      </c>
      <c r="BJ90">
        <f>IF(J89&lt;=0,0,MIN(J89+BI90,$F$12+BH90))</f>
        <v/>
      </c>
      <c r="BK90">
        <f>IF(J89&lt;=0,BH90,MAX(0,$F$12+BH90-J89-BI90))</f>
        <v/>
      </c>
      <c r="BL90">
        <f>IF(K89&lt;=0,0,K89*$E$13/12)</f>
        <v/>
      </c>
      <c r="BM90">
        <f>IF(K89&lt;=0,0,MIN(K89+BL90,$F$13+BK90))</f>
        <v/>
      </c>
      <c r="BN90">
        <f>IF(K89&lt;=0,BK90,MAX(0,$F$13+BK90-K89-BL90))</f>
        <v/>
      </c>
      <c r="BO90">
        <f>IF(L89&lt;=0,0,L89*$E$14/12)</f>
        <v/>
      </c>
      <c r="BP90">
        <f>IF(L89&lt;=0,0,MIN(L89+BO90,$F$14+BN90))</f>
        <v/>
      </c>
      <c r="BQ90">
        <f>IF(L89&lt;=0,BN90,MAX(0,$F$14+BN90-L89-BO90))</f>
        <v/>
      </c>
      <c r="BR90">
        <f>IF(M89&lt;=0,0,M89*$E$15/12)</f>
        <v/>
      </c>
      <c r="BS90">
        <f>IF(M89&lt;=0,0,MIN(M89+BR90,$F$15+BQ90))</f>
        <v/>
      </c>
      <c r="BT90">
        <f>IF(M89&lt;=0,BQ90,MAX(0,$F$15+BQ90-M89-BR90))</f>
        <v/>
      </c>
      <c r="BU90">
        <f>IF(N89&lt;=0,0,N89*$E$16/12)</f>
        <v/>
      </c>
      <c r="BV90">
        <f>IF(N89&lt;=0,0,MIN(N89+BU90,$F$16+BT90))</f>
        <v/>
      </c>
      <c r="BW90">
        <f>IF(N89&lt;=0,BT90,MAX(0,$F$16+BT90-N89-BU90))</f>
        <v/>
      </c>
      <c r="BX90">
        <f>IF(O89&lt;=0,0,O89*$E$17/12)</f>
        <v/>
      </c>
      <c r="BY90">
        <f>IF(O89&lt;=0,0,MIN(O89+BX90,$F$17+BW90))</f>
        <v/>
      </c>
      <c r="BZ90">
        <f>IF(O89&lt;=0,BW90,MAX(0,$F$17+BW90-O89-BX90))</f>
        <v/>
      </c>
      <c r="CA90">
        <f>IF(P89&lt;=0,0,P89*$E$18/12)</f>
        <v/>
      </c>
      <c r="CB90">
        <f>IF(P89&lt;=0,0,MIN(P89+CA90,$F$18+BZ90))</f>
        <v/>
      </c>
      <c r="CC90">
        <f>IF(P89&lt;=0,BZ90,MAX(0,$F$18+BZ90-P89-CA90))</f>
        <v/>
      </c>
      <c r="CD90">
        <f>IF(Q89&lt;=0,0,Q89*$E$19/12)</f>
        <v/>
      </c>
      <c r="CE90">
        <f>IF(Q89&lt;=0,0,MIN(Q89+CD90,$F$19+CC90))</f>
        <v/>
      </c>
      <c r="CF90">
        <f>IF(Q89&lt;=0,CC90,MAX(0,$F$19+CC90-Q89-CD90))</f>
        <v/>
      </c>
      <c r="CG90">
        <f>IF(R89&lt;=0,0,R89*$E$20/12)</f>
        <v/>
      </c>
      <c r="CH90">
        <f>IF(R89&lt;=0,0,MIN(R89+CG90,$F$20+CF90))</f>
        <v/>
      </c>
      <c r="CI90">
        <f>IF(R89&lt;=0,CF90,MAX(0,$F$20+CF90-R89-CG90))</f>
        <v/>
      </c>
      <c r="CJ90">
        <f>IF(S89&lt;=0,0,S89*$E$21/12)</f>
        <v/>
      </c>
      <c r="CK90">
        <f>IF(S89&lt;=0,0,MIN(S89+CJ90,$F$21+CI90))</f>
        <v/>
      </c>
      <c r="CL90">
        <f>IF(S89&lt;=0,CI90,MAX(0,$F$21+CI90-S89-CJ90))</f>
        <v/>
      </c>
      <c r="CM90">
        <f>IF(T89&lt;=0,0,T89*$E$22/12)</f>
        <v/>
      </c>
      <c r="CN90">
        <f>IF(T89&lt;=0,0,MIN(T89+CM90,$F$22+CL90))</f>
        <v/>
      </c>
      <c r="CO90">
        <f>IF(T89&lt;=0,CL90,MAX(0,$F$22+CL90-T89-CM90))</f>
        <v/>
      </c>
      <c r="CP90">
        <f>IF(U89&lt;=0,0,U89*$E$23/12)</f>
        <v/>
      </c>
      <c r="CQ90">
        <f>IF(U89&lt;=0,0,MIN(U89+CP90,$F$23+CO90))</f>
        <v/>
      </c>
      <c r="CR90">
        <f>IF(U89&lt;=0,CO90,MAX(0,$F$23+CO90-U89-CP90))</f>
        <v/>
      </c>
      <c r="CS90">
        <f>IF(V89&lt;=0,0,V89*$E$24/12)</f>
        <v/>
      </c>
      <c r="CT90">
        <f>IF(V89&lt;=0,0,MIN(V89+CS90,$F$24+CR90))</f>
        <v/>
      </c>
      <c r="CU90">
        <f>IF(V89&lt;=0,CR90,MAX(0,$F$24+CR90-V89-CS90))</f>
        <v/>
      </c>
    </row>
    <row r="91">
      <c r="B91" s="39" t="n">
        <v>65</v>
      </c>
      <c r="C91" s="13">
        <f>IF(C90&lt;=0,0,MAX(0,C90+AN91-AO91))</f>
        <v/>
      </c>
      <c r="D91" s="13">
        <f>IF(D90&lt;=0,0,MAX(0,D90+AQ91-AR91))</f>
        <v/>
      </c>
      <c r="E91" s="13">
        <f>IF(E90&lt;=0,0,MAX(0,E90+AT91-AU91))</f>
        <v/>
      </c>
      <c r="F91" s="13">
        <f>IF(F90&lt;=0,0,MAX(0,F90+AW91-AX91))</f>
        <v/>
      </c>
      <c r="G91" s="13">
        <f>IF(G90&lt;=0,0,MAX(0,G90+AZ91-BA91))</f>
        <v/>
      </c>
      <c r="H91" s="13">
        <f>IF(H90&lt;=0,0,MAX(0,H90+BC91-BD91))</f>
        <v/>
      </c>
      <c r="I91" s="13">
        <f>IF(I90&lt;=0,0,MAX(0,I90+BF91-BG91))</f>
        <v/>
      </c>
      <c r="J91" s="13">
        <f>IF(J90&lt;=0,0,MAX(0,J90+BI91-BJ91))</f>
        <v/>
      </c>
      <c r="K91" s="13">
        <f>IF(K90&lt;=0,0,MAX(0,K90+BL91-BM91))</f>
        <v/>
      </c>
      <c r="L91" s="13">
        <f>IF(L90&lt;=0,0,MAX(0,L90+BO91-BP91))</f>
        <v/>
      </c>
      <c r="M91" s="13">
        <f>IF(M90&lt;=0,0,MAX(0,M90+BR91-BS91))</f>
        <v/>
      </c>
      <c r="N91" s="13">
        <f>IF(N90&lt;=0,0,MAX(0,N90+BU91-BV91))</f>
        <v/>
      </c>
      <c r="O91" s="13">
        <f>IF(O90&lt;=0,0,MAX(0,O90+BX91-BY91))</f>
        <v/>
      </c>
      <c r="P91" s="13">
        <f>IF(P90&lt;=0,0,MAX(0,P90+CA91-CB91))</f>
        <v/>
      </c>
      <c r="Q91" s="13">
        <f>IF(Q90&lt;=0,0,MAX(0,Q90+CD91-CE91))</f>
        <v/>
      </c>
      <c r="R91" s="13">
        <f>IF(R90&lt;=0,0,MAX(0,R90+CG91-CH91))</f>
        <v/>
      </c>
      <c r="S91" s="13">
        <f>IF(S90&lt;=0,0,MAX(0,S90+CJ91-CK91))</f>
        <v/>
      </c>
      <c r="T91" s="13">
        <f>IF(T90&lt;=0,0,MAX(0,T90+CM91-CN91))</f>
        <v/>
      </c>
      <c r="U91" s="13">
        <f>IF(U90&lt;=0,0,MAX(0,U90+CP91-CQ91))</f>
        <v/>
      </c>
      <c r="V91" s="13">
        <f>IF(V90&lt;=0,0,MAX(0,V90+CS91-CT91))</f>
        <v/>
      </c>
      <c r="W91" s="13">
        <f>AO91+AR91+AU91+AX91+BA91+BD91+BG91+BJ91+BM91+BP91+BS91+BV91+BY91+CB91+CE91+CH91+CK91+CN91+CQ91+CT91</f>
        <v/>
      </c>
      <c r="X91" s="13">
        <f>AN91+AQ91+AT91+AW91+AZ91+BC91+BF91+BI91+BL91+BO91+BR91+BU91+BX91+CA91+CD91+CG91+CJ91+CM91+CP91+CS91</f>
        <v/>
      </c>
      <c r="Y91" s="27">
        <f>C91+D91+E91+F91+G91+H91+I91+J91+K91+L91+M91+N91+O91+P91+Q91+R91+S91+T91+U91+V91</f>
        <v/>
      </c>
      <c r="AN91">
        <f>IF(C90&lt;=0,0,C90*$E$5/12)</f>
        <v/>
      </c>
      <c r="AO91">
        <f>IF(C90&lt;=0,0,MIN(C90+AN91,$F$5+(Dashboard!$C$11+IF(C90&lt;=0,$F$5,0)+IF(D90&lt;=0,$F$6,0)+IF(E90&lt;=0,$F$7,0)+IF(F90&lt;=0,$F$8,0)+IF(G90&lt;=0,$F$9,0)+IF(H90&lt;=0,$F$10,0)+IF(I90&lt;=0,$F$11,0)+IF(J90&lt;=0,$F$12,0)+IF(K90&lt;=0,$F$13,0)+IF(L90&lt;=0,$F$14,0)+IF(M90&lt;=0,$F$15,0)+IF(N90&lt;=0,$F$16,0)+IF(O90&lt;=0,$F$17,0)+IF(P90&lt;=0,$F$18,0)+IF(Q90&lt;=0,$F$19,0)+IF(R90&lt;=0,$F$20,0)+IF(S90&lt;=0,$F$21,0)+IF(T90&lt;=0,$F$22,0)+IF(U90&lt;=0,$F$23,0)+IF(V90&lt;=0,$F$24,0))))</f>
        <v/>
      </c>
      <c r="AP91">
        <f>IF(C90&lt;=0,(Dashboard!$C$11+IF(C90&lt;=0,$F$5,0)+IF(D90&lt;=0,$F$6,0)+IF(E90&lt;=0,$F$7,0)+IF(F90&lt;=0,$F$8,0)+IF(G90&lt;=0,$F$9,0)+IF(H90&lt;=0,$F$10,0)+IF(I90&lt;=0,$F$11,0)+IF(J90&lt;=0,$F$12,0)+IF(K90&lt;=0,$F$13,0)+IF(L90&lt;=0,$F$14,0)+IF(M90&lt;=0,$F$15,0)+IF(N90&lt;=0,$F$16,0)+IF(O90&lt;=0,$F$17,0)+IF(P90&lt;=0,$F$18,0)+IF(Q90&lt;=0,$F$19,0)+IF(R90&lt;=0,$F$20,0)+IF(S90&lt;=0,$F$21,0)+IF(T90&lt;=0,$F$22,0)+IF(U90&lt;=0,$F$23,0)+IF(V90&lt;=0,$F$24,0)),MAX(0,$F$5+(Dashboard!$C$11+IF(C90&lt;=0,$F$5,0)+IF(D90&lt;=0,$F$6,0)+IF(E90&lt;=0,$F$7,0)+IF(F90&lt;=0,$F$8,0)+IF(G90&lt;=0,$F$9,0)+IF(H90&lt;=0,$F$10,0)+IF(I90&lt;=0,$F$11,0)+IF(J90&lt;=0,$F$12,0)+IF(K90&lt;=0,$F$13,0)+IF(L90&lt;=0,$F$14,0)+IF(M90&lt;=0,$F$15,0)+IF(N90&lt;=0,$F$16,0)+IF(O90&lt;=0,$F$17,0)+IF(P90&lt;=0,$F$18,0)+IF(Q90&lt;=0,$F$19,0)+IF(R90&lt;=0,$F$20,0)+IF(S90&lt;=0,$F$21,0)+IF(T90&lt;=0,$F$22,0)+IF(U90&lt;=0,$F$23,0)+IF(V90&lt;=0,$F$24,0))-C90-AN91))</f>
        <v/>
      </c>
      <c r="AQ91">
        <f>IF(D90&lt;=0,0,D90*$E$6/12)</f>
        <v/>
      </c>
      <c r="AR91">
        <f>IF(D90&lt;=0,0,MIN(D90+AQ91,$F$6+AP91))</f>
        <v/>
      </c>
      <c r="AS91">
        <f>IF(D90&lt;=0,AP91,MAX(0,$F$6+AP91-D90-AQ91))</f>
        <v/>
      </c>
      <c r="AT91">
        <f>IF(E90&lt;=0,0,E90*$E$7/12)</f>
        <v/>
      </c>
      <c r="AU91">
        <f>IF(E90&lt;=0,0,MIN(E90+AT91,$F$7+AS91))</f>
        <v/>
      </c>
      <c r="AV91">
        <f>IF(E90&lt;=0,AS91,MAX(0,$F$7+AS91-E90-AT91))</f>
        <v/>
      </c>
      <c r="AW91">
        <f>IF(F90&lt;=0,0,F90*$E$8/12)</f>
        <v/>
      </c>
      <c r="AX91">
        <f>IF(F90&lt;=0,0,MIN(F90+AW91,$F$8+AV91))</f>
        <v/>
      </c>
      <c r="AY91">
        <f>IF(F90&lt;=0,AV91,MAX(0,$F$8+AV91-F90-AW91))</f>
        <v/>
      </c>
      <c r="AZ91">
        <f>IF(G90&lt;=0,0,G90*$E$9/12)</f>
        <v/>
      </c>
      <c r="BA91">
        <f>IF(G90&lt;=0,0,MIN(G90+AZ91,$F$9+AY91))</f>
        <v/>
      </c>
      <c r="BB91">
        <f>IF(G90&lt;=0,AY91,MAX(0,$F$9+AY91-G90-AZ91))</f>
        <v/>
      </c>
      <c r="BC91">
        <f>IF(H90&lt;=0,0,H90*$E$10/12)</f>
        <v/>
      </c>
      <c r="BD91">
        <f>IF(H90&lt;=0,0,MIN(H90+BC91,$F$10+BB91))</f>
        <v/>
      </c>
      <c r="BE91">
        <f>IF(H90&lt;=0,BB91,MAX(0,$F$10+BB91-H90-BC91))</f>
        <v/>
      </c>
      <c r="BF91">
        <f>IF(I90&lt;=0,0,I90*$E$11/12)</f>
        <v/>
      </c>
      <c r="BG91">
        <f>IF(I90&lt;=0,0,MIN(I90+BF91,$F$11+BE91))</f>
        <v/>
      </c>
      <c r="BH91">
        <f>IF(I90&lt;=0,BE91,MAX(0,$F$11+BE91-I90-BF91))</f>
        <v/>
      </c>
      <c r="BI91">
        <f>IF(J90&lt;=0,0,J90*$E$12/12)</f>
        <v/>
      </c>
      <c r="BJ91">
        <f>IF(J90&lt;=0,0,MIN(J90+BI91,$F$12+BH91))</f>
        <v/>
      </c>
      <c r="BK91">
        <f>IF(J90&lt;=0,BH91,MAX(0,$F$12+BH91-J90-BI91))</f>
        <v/>
      </c>
      <c r="BL91">
        <f>IF(K90&lt;=0,0,K90*$E$13/12)</f>
        <v/>
      </c>
      <c r="BM91">
        <f>IF(K90&lt;=0,0,MIN(K90+BL91,$F$13+BK91))</f>
        <v/>
      </c>
      <c r="BN91">
        <f>IF(K90&lt;=0,BK91,MAX(0,$F$13+BK91-K90-BL91))</f>
        <v/>
      </c>
      <c r="BO91">
        <f>IF(L90&lt;=0,0,L90*$E$14/12)</f>
        <v/>
      </c>
      <c r="BP91">
        <f>IF(L90&lt;=0,0,MIN(L90+BO91,$F$14+BN91))</f>
        <v/>
      </c>
      <c r="BQ91">
        <f>IF(L90&lt;=0,BN91,MAX(0,$F$14+BN91-L90-BO91))</f>
        <v/>
      </c>
      <c r="BR91">
        <f>IF(M90&lt;=0,0,M90*$E$15/12)</f>
        <v/>
      </c>
      <c r="BS91">
        <f>IF(M90&lt;=0,0,MIN(M90+BR91,$F$15+BQ91))</f>
        <v/>
      </c>
      <c r="BT91">
        <f>IF(M90&lt;=0,BQ91,MAX(0,$F$15+BQ91-M90-BR91))</f>
        <v/>
      </c>
      <c r="BU91">
        <f>IF(N90&lt;=0,0,N90*$E$16/12)</f>
        <v/>
      </c>
      <c r="BV91">
        <f>IF(N90&lt;=0,0,MIN(N90+BU91,$F$16+BT91))</f>
        <v/>
      </c>
      <c r="BW91">
        <f>IF(N90&lt;=0,BT91,MAX(0,$F$16+BT91-N90-BU91))</f>
        <v/>
      </c>
      <c r="BX91">
        <f>IF(O90&lt;=0,0,O90*$E$17/12)</f>
        <v/>
      </c>
      <c r="BY91">
        <f>IF(O90&lt;=0,0,MIN(O90+BX91,$F$17+BW91))</f>
        <v/>
      </c>
      <c r="BZ91">
        <f>IF(O90&lt;=0,BW91,MAX(0,$F$17+BW91-O90-BX91))</f>
        <v/>
      </c>
      <c r="CA91">
        <f>IF(P90&lt;=0,0,P90*$E$18/12)</f>
        <v/>
      </c>
      <c r="CB91">
        <f>IF(P90&lt;=0,0,MIN(P90+CA91,$F$18+BZ91))</f>
        <v/>
      </c>
      <c r="CC91">
        <f>IF(P90&lt;=0,BZ91,MAX(0,$F$18+BZ91-P90-CA91))</f>
        <v/>
      </c>
      <c r="CD91">
        <f>IF(Q90&lt;=0,0,Q90*$E$19/12)</f>
        <v/>
      </c>
      <c r="CE91">
        <f>IF(Q90&lt;=0,0,MIN(Q90+CD91,$F$19+CC91))</f>
        <v/>
      </c>
      <c r="CF91">
        <f>IF(Q90&lt;=0,CC91,MAX(0,$F$19+CC91-Q90-CD91))</f>
        <v/>
      </c>
      <c r="CG91">
        <f>IF(R90&lt;=0,0,R90*$E$20/12)</f>
        <v/>
      </c>
      <c r="CH91">
        <f>IF(R90&lt;=0,0,MIN(R90+CG91,$F$20+CF91))</f>
        <v/>
      </c>
      <c r="CI91">
        <f>IF(R90&lt;=0,CF91,MAX(0,$F$20+CF91-R90-CG91))</f>
        <v/>
      </c>
      <c r="CJ91">
        <f>IF(S90&lt;=0,0,S90*$E$21/12)</f>
        <v/>
      </c>
      <c r="CK91">
        <f>IF(S90&lt;=0,0,MIN(S90+CJ91,$F$21+CI91))</f>
        <v/>
      </c>
      <c r="CL91">
        <f>IF(S90&lt;=0,CI91,MAX(0,$F$21+CI91-S90-CJ91))</f>
        <v/>
      </c>
      <c r="CM91">
        <f>IF(T90&lt;=0,0,T90*$E$22/12)</f>
        <v/>
      </c>
      <c r="CN91">
        <f>IF(T90&lt;=0,0,MIN(T90+CM91,$F$22+CL91))</f>
        <v/>
      </c>
      <c r="CO91">
        <f>IF(T90&lt;=0,CL91,MAX(0,$F$22+CL91-T90-CM91))</f>
        <v/>
      </c>
      <c r="CP91">
        <f>IF(U90&lt;=0,0,U90*$E$23/12)</f>
        <v/>
      </c>
      <c r="CQ91">
        <f>IF(U90&lt;=0,0,MIN(U90+CP91,$F$23+CO91))</f>
        <v/>
      </c>
      <c r="CR91">
        <f>IF(U90&lt;=0,CO91,MAX(0,$F$23+CO91-U90-CP91))</f>
        <v/>
      </c>
      <c r="CS91">
        <f>IF(V90&lt;=0,0,V90*$E$24/12)</f>
        <v/>
      </c>
      <c r="CT91">
        <f>IF(V90&lt;=0,0,MIN(V90+CS91,$F$24+CR91))</f>
        <v/>
      </c>
      <c r="CU91">
        <f>IF(V90&lt;=0,CR91,MAX(0,$F$24+CR91-V90-CS91))</f>
        <v/>
      </c>
    </row>
    <row r="92">
      <c r="B92" s="39" t="n">
        <v>66</v>
      </c>
      <c r="C92" s="13">
        <f>IF(C91&lt;=0,0,MAX(0,C91+AN92-AO92))</f>
        <v/>
      </c>
      <c r="D92" s="13">
        <f>IF(D91&lt;=0,0,MAX(0,D91+AQ92-AR92))</f>
        <v/>
      </c>
      <c r="E92" s="13">
        <f>IF(E91&lt;=0,0,MAX(0,E91+AT92-AU92))</f>
        <v/>
      </c>
      <c r="F92" s="13">
        <f>IF(F91&lt;=0,0,MAX(0,F91+AW92-AX92))</f>
        <v/>
      </c>
      <c r="G92" s="13">
        <f>IF(G91&lt;=0,0,MAX(0,G91+AZ92-BA92))</f>
        <v/>
      </c>
      <c r="H92" s="13">
        <f>IF(H91&lt;=0,0,MAX(0,H91+BC92-BD92))</f>
        <v/>
      </c>
      <c r="I92" s="13">
        <f>IF(I91&lt;=0,0,MAX(0,I91+BF92-BG92))</f>
        <v/>
      </c>
      <c r="J92" s="13">
        <f>IF(J91&lt;=0,0,MAX(0,J91+BI92-BJ92))</f>
        <v/>
      </c>
      <c r="K92" s="13">
        <f>IF(K91&lt;=0,0,MAX(0,K91+BL92-BM92))</f>
        <v/>
      </c>
      <c r="L92" s="13">
        <f>IF(L91&lt;=0,0,MAX(0,L91+BO92-BP92))</f>
        <v/>
      </c>
      <c r="M92" s="13">
        <f>IF(M91&lt;=0,0,MAX(0,M91+BR92-BS92))</f>
        <v/>
      </c>
      <c r="N92" s="13">
        <f>IF(N91&lt;=0,0,MAX(0,N91+BU92-BV92))</f>
        <v/>
      </c>
      <c r="O92" s="13">
        <f>IF(O91&lt;=0,0,MAX(0,O91+BX92-BY92))</f>
        <v/>
      </c>
      <c r="P92" s="13">
        <f>IF(P91&lt;=0,0,MAX(0,P91+CA92-CB92))</f>
        <v/>
      </c>
      <c r="Q92" s="13">
        <f>IF(Q91&lt;=0,0,MAX(0,Q91+CD92-CE92))</f>
        <v/>
      </c>
      <c r="R92" s="13">
        <f>IF(R91&lt;=0,0,MAX(0,R91+CG92-CH92))</f>
        <v/>
      </c>
      <c r="S92" s="13">
        <f>IF(S91&lt;=0,0,MAX(0,S91+CJ92-CK92))</f>
        <v/>
      </c>
      <c r="T92" s="13">
        <f>IF(T91&lt;=0,0,MAX(0,T91+CM92-CN92))</f>
        <v/>
      </c>
      <c r="U92" s="13">
        <f>IF(U91&lt;=0,0,MAX(0,U91+CP92-CQ92))</f>
        <v/>
      </c>
      <c r="V92" s="13">
        <f>IF(V91&lt;=0,0,MAX(0,V91+CS92-CT92))</f>
        <v/>
      </c>
      <c r="W92" s="13">
        <f>AO92+AR92+AU92+AX92+BA92+BD92+BG92+BJ92+BM92+BP92+BS92+BV92+BY92+CB92+CE92+CH92+CK92+CN92+CQ92+CT92</f>
        <v/>
      </c>
      <c r="X92" s="13">
        <f>AN92+AQ92+AT92+AW92+AZ92+BC92+BF92+BI92+BL92+BO92+BR92+BU92+BX92+CA92+CD92+CG92+CJ92+CM92+CP92+CS92</f>
        <v/>
      </c>
      <c r="Y92" s="27">
        <f>C92+D92+E92+F92+G92+H92+I92+J92+K92+L92+M92+N92+O92+P92+Q92+R92+S92+T92+U92+V92</f>
        <v/>
      </c>
      <c r="AN92">
        <f>IF(C91&lt;=0,0,C91*$E$5/12)</f>
        <v/>
      </c>
      <c r="AO92">
        <f>IF(C91&lt;=0,0,MIN(C91+AN92,$F$5+(Dashboard!$C$11+IF(C91&lt;=0,$F$5,0)+IF(D91&lt;=0,$F$6,0)+IF(E91&lt;=0,$F$7,0)+IF(F91&lt;=0,$F$8,0)+IF(G91&lt;=0,$F$9,0)+IF(H91&lt;=0,$F$10,0)+IF(I91&lt;=0,$F$11,0)+IF(J91&lt;=0,$F$12,0)+IF(K91&lt;=0,$F$13,0)+IF(L91&lt;=0,$F$14,0)+IF(M91&lt;=0,$F$15,0)+IF(N91&lt;=0,$F$16,0)+IF(O91&lt;=0,$F$17,0)+IF(P91&lt;=0,$F$18,0)+IF(Q91&lt;=0,$F$19,0)+IF(R91&lt;=0,$F$20,0)+IF(S91&lt;=0,$F$21,0)+IF(T91&lt;=0,$F$22,0)+IF(U91&lt;=0,$F$23,0)+IF(V91&lt;=0,$F$24,0))))</f>
        <v/>
      </c>
      <c r="AP92">
        <f>IF(C91&lt;=0,(Dashboard!$C$11+IF(C91&lt;=0,$F$5,0)+IF(D91&lt;=0,$F$6,0)+IF(E91&lt;=0,$F$7,0)+IF(F91&lt;=0,$F$8,0)+IF(G91&lt;=0,$F$9,0)+IF(H91&lt;=0,$F$10,0)+IF(I91&lt;=0,$F$11,0)+IF(J91&lt;=0,$F$12,0)+IF(K91&lt;=0,$F$13,0)+IF(L91&lt;=0,$F$14,0)+IF(M91&lt;=0,$F$15,0)+IF(N91&lt;=0,$F$16,0)+IF(O91&lt;=0,$F$17,0)+IF(P91&lt;=0,$F$18,0)+IF(Q91&lt;=0,$F$19,0)+IF(R91&lt;=0,$F$20,0)+IF(S91&lt;=0,$F$21,0)+IF(T91&lt;=0,$F$22,0)+IF(U91&lt;=0,$F$23,0)+IF(V91&lt;=0,$F$24,0)),MAX(0,$F$5+(Dashboard!$C$11+IF(C91&lt;=0,$F$5,0)+IF(D91&lt;=0,$F$6,0)+IF(E91&lt;=0,$F$7,0)+IF(F91&lt;=0,$F$8,0)+IF(G91&lt;=0,$F$9,0)+IF(H91&lt;=0,$F$10,0)+IF(I91&lt;=0,$F$11,0)+IF(J91&lt;=0,$F$12,0)+IF(K91&lt;=0,$F$13,0)+IF(L91&lt;=0,$F$14,0)+IF(M91&lt;=0,$F$15,0)+IF(N91&lt;=0,$F$16,0)+IF(O91&lt;=0,$F$17,0)+IF(P91&lt;=0,$F$18,0)+IF(Q91&lt;=0,$F$19,0)+IF(R91&lt;=0,$F$20,0)+IF(S91&lt;=0,$F$21,0)+IF(T91&lt;=0,$F$22,0)+IF(U91&lt;=0,$F$23,0)+IF(V91&lt;=0,$F$24,0))-C91-AN92))</f>
        <v/>
      </c>
      <c r="AQ92">
        <f>IF(D91&lt;=0,0,D91*$E$6/12)</f>
        <v/>
      </c>
      <c r="AR92">
        <f>IF(D91&lt;=0,0,MIN(D91+AQ92,$F$6+AP92))</f>
        <v/>
      </c>
      <c r="AS92">
        <f>IF(D91&lt;=0,AP92,MAX(0,$F$6+AP92-D91-AQ92))</f>
        <v/>
      </c>
      <c r="AT92">
        <f>IF(E91&lt;=0,0,E91*$E$7/12)</f>
        <v/>
      </c>
      <c r="AU92">
        <f>IF(E91&lt;=0,0,MIN(E91+AT92,$F$7+AS92))</f>
        <v/>
      </c>
      <c r="AV92">
        <f>IF(E91&lt;=0,AS92,MAX(0,$F$7+AS92-E91-AT92))</f>
        <v/>
      </c>
      <c r="AW92">
        <f>IF(F91&lt;=0,0,F91*$E$8/12)</f>
        <v/>
      </c>
      <c r="AX92">
        <f>IF(F91&lt;=0,0,MIN(F91+AW92,$F$8+AV92))</f>
        <v/>
      </c>
      <c r="AY92">
        <f>IF(F91&lt;=0,AV92,MAX(0,$F$8+AV92-F91-AW92))</f>
        <v/>
      </c>
      <c r="AZ92">
        <f>IF(G91&lt;=0,0,G91*$E$9/12)</f>
        <v/>
      </c>
      <c r="BA92">
        <f>IF(G91&lt;=0,0,MIN(G91+AZ92,$F$9+AY92))</f>
        <v/>
      </c>
      <c r="BB92">
        <f>IF(G91&lt;=0,AY92,MAX(0,$F$9+AY92-G91-AZ92))</f>
        <v/>
      </c>
      <c r="BC92">
        <f>IF(H91&lt;=0,0,H91*$E$10/12)</f>
        <v/>
      </c>
      <c r="BD92">
        <f>IF(H91&lt;=0,0,MIN(H91+BC92,$F$10+BB92))</f>
        <v/>
      </c>
      <c r="BE92">
        <f>IF(H91&lt;=0,BB92,MAX(0,$F$10+BB92-H91-BC92))</f>
        <v/>
      </c>
      <c r="BF92">
        <f>IF(I91&lt;=0,0,I91*$E$11/12)</f>
        <v/>
      </c>
      <c r="BG92">
        <f>IF(I91&lt;=0,0,MIN(I91+BF92,$F$11+BE92))</f>
        <v/>
      </c>
      <c r="BH92">
        <f>IF(I91&lt;=0,BE92,MAX(0,$F$11+BE92-I91-BF92))</f>
        <v/>
      </c>
      <c r="BI92">
        <f>IF(J91&lt;=0,0,J91*$E$12/12)</f>
        <v/>
      </c>
      <c r="BJ92">
        <f>IF(J91&lt;=0,0,MIN(J91+BI92,$F$12+BH92))</f>
        <v/>
      </c>
      <c r="BK92">
        <f>IF(J91&lt;=0,BH92,MAX(0,$F$12+BH92-J91-BI92))</f>
        <v/>
      </c>
      <c r="BL92">
        <f>IF(K91&lt;=0,0,K91*$E$13/12)</f>
        <v/>
      </c>
      <c r="BM92">
        <f>IF(K91&lt;=0,0,MIN(K91+BL92,$F$13+BK92))</f>
        <v/>
      </c>
      <c r="BN92">
        <f>IF(K91&lt;=0,BK92,MAX(0,$F$13+BK92-K91-BL92))</f>
        <v/>
      </c>
      <c r="BO92">
        <f>IF(L91&lt;=0,0,L91*$E$14/12)</f>
        <v/>
      </c>
      <c r="BP92">
        <f>IF(L91&lt;=0,0,MIN(L91+BO92,$F$14+BN92))</f>
        <v/>
      </c>
      <c r="BQ92">
        <f>IF(L91&lt;=0,BN92,MAX(0,$F$14+BN92-L91-BO92))</f>
        <v/>
      </c>
      <c r="BR92">
        <f>IF(M91&lt;=0,0,M91*$E$15/12)</f>
        <v/>
      </c>
      <c r="BS92">
        <f>IF(M91&lt;=0,0,MIN(M91+BR92,$F$15+BQ92))</f>
        <v/>
      </c>
      <c r="BT92">
        <f>IF(M91&lt;=0,BQ92,MAX(0,$F$15+BQ92-M91-BR92))</f>
        <v/>
      </c>
      <c r="BU92">
        <f>IF(N91&lt;=0,0,N91*$E$16/12)</f>
        <v/>
      </c>
      <c r="BV92">
        <f>IF(N91&lt;=0,0,MIN(N91+BU92,$F$16+BT92))</f>
        <v/>
      </c>
      <c r="BW92">
        <f>IF(N91&lt;=0,BT92,MAX(0,$F$16+BT92-N91-BU92))</f>
        <v/>
      </c>
      <c r="BX92">
        <f>IF(O91&lt;=0,0,O91*$E$17/12)</f>
        <v/>
      </c>
      <c r="BY92">
        <f>IF(O91&lt;=0,0,MIN(O91+BX92,$F$17+BW92))</f>
        <v/>
      </c>
      <c r="BZ92">
        <f>IF(O91&lt;=0,BW92,MAX(0,$F$17+BW92-O91-BX92))</f>
        <v/>
      </c>
      <c r="CA92">
        <f>IF(P91&lt;=0,0,P91*$E$18/12)</f>
        <v/>
      </c>
      <c r="CB92">
        <f>IF(P91&lt;=0,0,MIN(P91+CA92,$F$18+BZ92))</f>
        <v/>
      </c>
      <c r="CC92">
        <f>IF(P91&lt;=0,BZ92,MAX(0,$F$18+BZ92-P91-CA92))</f>
        <v/>
      </c>
      <c r="CD92">
        <f>IF(Q91&lt;=0,0,Q91*$E$19/12)</f>
        <v/>
      </c>
      <c r="CE92">
        <f>IF(Q91&lt;=0,0,MIN(Q91+CD92,$F$19+CC92))</f>
        <v/>
      </c>
      <c r="CF92">
        <f>IF(Q91&lt;=0,CC92,MAX(0,$F$19+CC92-Q91-CD92))</f>
        <v/>
      </c>
      <c r="CG92">
        <f>IF(R91&lt;=0,0,R91*$E$20/12)</f>
        <v/>
      </c>
      <c r="CH92">
        <f>IF(R91&lt;=0,0,MIN(R91+CG92,$F$20+CF92))</f>
        <v/>
      </c>
      <c r="CI92">
        <f>IF(R91&lt;=0,CF92,MAX(0,$F$20+CF92-R91-CG92))</f>
        <v/>
      </c>
      <c r="CJ92">
        <f>IF(S91&lt;=0,0,S91*$E$21/12)</f>
        <v/>
      </c>
      <c r="CK92">
        <f>IF(S91&lt;=0,0,MIN(S91+CJ92,$F$21+CI92))</f>
        <v/>
      </c>
      <c r="CL92">
        <f>IF(S91&lt;=0,CI92,MAX(0,$F$21+CI92-S91-CJ92))</f>
        <v/>
      </c>
      <c r="CM92">
        <f>IF(T91&lt;=0,0,T91*$E$22/12)</f>
        <v/>
      </c>
      <c r="CN92">
        <f>IF(T91&lt;=0,0,MIN(T91+CM92,$F$22+CL92))</f>
        <v/>
      </c>
      <c r="CO92">
        <f>IF(T91&lt;=0,CL92,MAX(0,$F$22+CL92-T91-CM92))</f>
        <v/>
      </c>
      <c r="CP92">
        <f>IF(U91&lt;=0,0,U91*$E$23/12)</f>
        <v/>
      </c>
      <c r="CQ92">
        <f>IF(U91&lt;=0,0,MIN(U91+CP92,$F$23+CO92))</f>
        <v/>
      </c>
      <c r="CR92">
        <f>IF(U91&lt;=0,CO92,MAX(0,$F$23+CO92-U91-CP92))</f>
        <v/>
      </c>
      <c r="CS92">
        <f>IF(V91&lt;=0,0,V91*$E$24/12)</f>
        <v/>
      </c>
      <c r="CT92">
        <f>IF(V91&lt;=0,0,MIN(V91+CS92,$F$24+CR92))</f>
        <v/>
      </c>
      <c r="CU92">
        <f>IF(V91&lt;=0,CR92,MAX(0,$F$24+CR92-V91-CS92))</f>
        <v/>
      </c>
    </row>
    <row r="93">
      <c r="B93" s="39" t="n">
        <v>67</v>
      </c>
      <c r="C93" s="13">
        <f>IF(C92&lt;=0,0,MAX(0,C92+AN93-AO93))</f>
        <v/>
      </c>
      <c r="D93" s="13">
        <f>IF(D92&lt;=0,0,MAX(0,D92+AQ93-AR93))</f>
        <v/>
      </c>
      <c r="E93" s="13">
        <f>IF(E92&lt;=0,0,MAX(0,E92+AT93-AU93))</f>
        <v/>
      </c>
      <c r="F93" s="13">
        <f>IF(F92&lt;=0,0,MAX(0,F92+AW93-AX93))</f>
        <v/>
      </c>
      <c r="G93" s="13">
        <f>IF(G92&lt;=0,0,MAX(0,G92+AZ93-BA93))</f>
        <v/>
      </c>
      <c r="H93" s="13">
        <f>IF(H92&lt;=0,0,MAX(0,H92+BC93-BD93))</f>
        <v/>
      </c>
      <c r="I93" s="13">
        <f>IF(I92&lt;=0,0,MAX(0,I92+BF93-BG93))</f>
        <v/>
      </c>
      <c r="J93" s="13">
        <f>IF(J92&lt;=0,0,MAX(0,J92+BI93-BJ93))</f>
        <v/>
      </c>
      <c r="K93" s="13">
        <f>IF(K92&lt;=0,0,MAX(0,K92+BL93-BM93))</f>
        <v/>
      </c>
      <c r="L93" s="13">
        <f>IF(L92&lt;=0,0,MAX(0,L92+BO93-BP93))</f>
        <v/>
      </c>
      <c r="M93" s="13">
        <f>IF(M92&lt;=0,0,MAX(0,M92+BR93-BS93))</f>
        <v/>
      </c>
      <c r="N93" s="13">
        <f>IF(N92&lt;=0,0,MAX(0,N92+BU93-BV93))</f>
        <v/>
      </c>
      <c r="O93" s="13">
        <f>IF(O92&lt;=0,0,MAX(0,O92+BX93-BY93))</f>
        <v/>
      </c>
      <c r="P93" s="13">
        <f>IF(P92&lt;=0,0,MAX(0,P92+CA93-CB93))</f>
        <v/>
      </c>
      <c r="Q93" s="13">
        <f>IF(Q92&lt;=0,0,MAX(0,Q92+CD93-CE93))</f>
        <v/>
      </c>
      <c r="R93" s="13">
        <f>IF(R92&lt;=0,0,MAX(0,R92+CG93-CH93))</f>
        <v/>
      </c>
      <c r="S93" s="13">
        <f>IF(S92&lt;=0,0,MAX(0,S92+CJ93-CK93))</f>
        <v/>
      </c>
      <c r="T93" s="13">
        <f>IF(T92&lt;=0,0,MAX(0,T92+CM93-CN93))</f>
        <v/>
      </c>
      <c r="U93" s="13">
        <f>IF(U92&lt;=0,0,MAX(0,U92+CP93-CQ93))</f>
        <v/>
      </c>
      <c r="V93" s="13">
        <f>IF(V92&lt;=0,0,MAX(0,V92+CS93-CT93))</f>
        <v/>
      </c>
      <c r="W93" s="13">
        <f>AO93+AR93+AU93+AX93+BA93+BD93+BG93+BJ93+BM93+BP93+BS93+BV93+BY93+CB93+CE93+CH93+CK93+CN93+CQ93+CT93</f>
        <v/>
      </c>
      <c r="X93" s="13">
        <f>AN93+AQ93+AT93+AW93+AZ93+BC93+BF93+BI93+BL93+BO93+BR93+BU93+BX93+CA93+CD93+CG93+CJ93+CM93+CP93+CS93</f>
        <v/>
      </c>
      <c r="Y93" s="27">
        <f>C93+D93+E93+F93+G93+H93+I93+J93+K93+L93+M93+N93+O93+P93+Q93+R93+S93+T93+U93+V93</f>
        <v/>
      </c>
      <c r="AN93">
        <f>IF(C92&lt;=0,0,C92*$E$5/12)</f>
        <v/>
      </c>
      <c r="AO93">
        <f>IF(C92&lt;=0,0,MIN(C92+AN93,$F$5+(Dashboard!$C$11+IF(C92&lt;=0,$F$5,0)+IF(D92&lt;=0,$F$6,0)+IF(E92&lt;=0,$F$7,0)+IF(F92&lt;=0,$F$8,0)+IF(G92&lt;=0,$F$9,0)+IF(H92&lt;=0,$F$10,0)+IF(I92&lt;=0,$F$11,0)+IF(J92&lt;=0,$F$12,0)+IF(K92&lt;=0,$F$13,0)+IF(L92&lt;=0,$F$14,0)+IF(M92&lt;=0,$F$15,0)+IF(N92&lt;=0,$F$16,0)+IF(O92&lt;=0,$F$17,0)+IF(P92&lt;=0,$F$18,0)+IF(Q92&lt;=0,$F$19,0)+IF(R92&lt;=0,$F$20,0)+IF(S92&lt;=0,$F$21,0)+IF(T92&lt;=0,$F$22,0)+IF(U92&lt;=0,$F$23,0)+IF(V92&lt;=0,$F$24,0))))</f>
        <v/>
      </c>
      <c r="AP93">
        <f>IF(C92&lt;=0,(Dashboard!$C$11+IF(C92&lt;=0,$F$5,0)+IF(D92&lt;=0,$F$6,0)+IF(E92&lt;=0,$F$7,0)+IF(F92&lt;=0,$F$8,0)+IF(G92&lt;=0,$F$9,0)+IF(H92&lt;=0,$F$10,0)+IF(I92&lt;=0,$F$11,0)+IF(J92&lt;=0,$F$12,0)+IF(K92&lt;=0,$F$13,0)+IF(L92&lt;=0,$F$14,0)+IF(M92&lt;=0,$F$15,0)+IF(N92&lt;=0,$F$16,0)+IF(O92&lt;=0,$F$17,0)+IF(P92&lt;=0,$F$18,0)+IF(Q92&lt;=0,$F$19,0)+IF(R92&lt;=0,$F$20,0)+IF(S92&lt;=0,$F$21,0)+IF(T92&lt;=0,$F$22,0)+IF(U92&lt;=0,$F$23,0)+IF(V92&lt;=0,$F$24,0)),MAX(0,$F$5+(Dashboard!$C$11+IF(C92&lt;=0,$F$5,0)+IF(D92&lt;=0,$F$6,0)+IF(E92&lt;=0,$F$7,0)+IF(F92&lt;=0,$F$8,0)+IF(G92&lt;=0,$F$9,0)+IF(H92&lt;=0,$F$10,0)+IF(I92&lt;=0,$F$11,0)+IF(J92&lt;=0,$F$12,0)+IF(K92&lt;=0,$F$13,0)+IF(L92&lt;=0,$F$14,0)+IF(M92&lt;=0,$F$15,0)+IF(N92&lt;=0,$F$16,0)+IF(O92&lt;=0,$F$17,0)+IF(P92&lt;=0,$F$18,0)+IF(Q92&lt;=0,$F$19,0)+IF(R92&lt;=0,$F$20,0)+IF(S92&lt;=0,$F$21,0)+IF(T92&lt;=0,$F$22,0)+IF(U92&lt;=0,$F$23,0)+IF(V92&lt;=0,$F$24,0))-C92-AN93))</f>
        <v/>
      </c>
      <c r="AQ93">
        <f>IF(D92&lt;=0,0,D92*$E$6/12)</f>
        <v/>
      </c>
      <c r="AR93">
        <f>IF(D92&lt;=0,0,MIN(D92+AQ93,$F$6+AP93))</f>
        <v/>
      </c>
      <c r="AS93">
        <f>IF(D92&lt;=0,AP93,MAX(0,$F$6+AP93-D92-AQ93))</f>
        <v/>
      </c>
      <c r="AT93">
        <f>IF(E92&lt;=0,0,E92*$E$7/12)</f>
        <v/>
      </c>
      <c r="AU93">
        <f>IF(E92&lt;=0,0,MIN(E92+AT93,$F$7+AS93))</f>
        <v/>
      </c>
      <c r="AV93">
        <f>IF(E92&lt;=0,AS93,MAX(0,$F$7+AS93-E92-AT93))</f>
        <v/>
      </c>
      <c r="AW93">
        <f>IF(F92&lt;=0,0,F92*$E$8/12)</f>
        <v/>
      </c>
      <c r="AX93">
        <f>IF(F92&lt;=0,0,MIN(F92+AW93,$F$8+AV93))</f>
        <v/>
      </c>
      <c r="AY93">
        <f>IF(F92&lt;=0,AV93,MAX(0,$F$8+AV93-F92-AW93))</f>
        <v/>
      </c>
      <c r="AZ93">
        <f>IF(G92&lt;=0,0,G92*$E$9/12)</f>
        <v/>
      </c>
      <c r="BA93">
        <f>IF(G92&lt;=0,0,MIN(G92+AZ93,$F$9+AY93))</f>
        <v/>
      </c>
      <c r="BB93">
        <f>IF(G92&lt;=0,AY93,MAX(0,$F$9+AY93-G92-AZ93))</f>
        <v/>
      </c>
      <c r="BC93">
        <f>IF(H92&lt;=0,0,H92*$E$10/12)</f>
        <v/>
      </c>
      <c r="BD93">
        <f>IF(H92&lt;=0,0,MIN(H92+BC93,$F$10+BB93))</f>
        <v/>
      </c>
      <c r="BE93">
        <f>IF(H92&lt;=0,BB93,MAX(0,$F$10+BB93-H92-BC93))</f>
        <v/>
      </c>
      <c r="BF93">
        <f>IF(I92&lt;=0,0,I92*$E$11/12)</f>
        <v/>
      </c>
      <c r="BG93">
        <f>IF(I92&lt;=0,0,MIN(I92+BF93,$F$11+BE93))</f>
        <v/>
      </c>
      <c r="BH93">
        <f>IF(I92&lt;=0,BE93,MAX(0,$F$11+BE93-I92-BF93))</f>
        <v/>
      </c>
      <c r="BI93">
        <f>IF(J92&lt;=0,0,J92*$E$12/12)</f>
        <v/>
      </c>
      <c r="BJ93">
        <f>IF(J92&lt;=0,0,MIN(J92+BI93,$F$12+BH93))</f>
        <v/>
      </c>
      <c r="BK93">
        <f>IF(J92&lt;=0,BH93,MAX(0,$F$12+BH93-J92-BI93))</f>
        <v/>
      </c>
      <c r="BL93">
        <f>IF(K92&lt;=0,0,K92*$E$13/12)</f>
        <v/>
      </c>
      <c r="BM93">
        <f>IF(K92&lt;=0,0,MIN(K92+BL93,$F$13+BK93))</f>
        <v/>
      </c>
      <c r="BN93">
        <f>IF(K92&lt;=0,BK93,MAX(0,$F$13+BK93-K92-BL93))</f>
        <v/>
      </c>
      <c r="BO93">
        <f>IF(L92&lt;=0,0,L92*$E$14/12)</f>
        <v/>
      </c>
      <c r="BP93">
        <f>IF(L92&lt;=0,0,MIN(L92+BO93,$F$14+BN93))</f>
        <v/>
      </c>
      <c r="BQ93">
        <f>IF(L92&lt;=0,BN93,MAX(0,$F$14+BN93-L92-BO93))</f>
        <v/>
      </c>
      <c r="BR93">
        <f>IF(M92&lt;=0,0,M92*$E$15/12)</f>
        <v/>
      </c>
      <c r="BS93">
        <f>IF(M92&lt;=0,0,MIN(M92+BR93,$F$15+BQ93))</f>
        <v/>
      </c>
      <c r="BT93">
        <f>IF(M92&lt;=0,BQ93,MAX(0,$F$15+BQ93-M92-BR93))</f>
        <v/>
      </c>
      <c r="BU93">
        <f>IF(N92&lt;=0,0,N92*$E$16/12)</f>
        <v/>
      </c>
      <c r="BV93">
        <f>IF(N92&lt;=0,0,MIN(N92+BU93,$F$16+BT93))</f>
        <v/>
      </c>
      <c r="BW93">
        <f>IF(N92&lt;=0,BT93,MAX(0,$F$16+BT93-N92-BU93))</f>
        <v/>
      </c>
      <c r="BX93">
        <f>IF(O92&lt;=0,0,O92*$E$17/12)</f>
        <v/>
      </c>
      <c r="BY93">
        <f>IF(O92&lt;=0,0,MIN(O92+BX93,$F$17+BW93))</f>
        <v/>
      </c>
      <c r="BZ93">
        <f>IF(O92&lt;=0,BW93,MAX(0,$F$17+BW93-O92-BX93))</f>
        <v/>
      </c>
      <c r="CA93">
        <f>IF(P92&lt;=0,0,P92*$E$18/12)</f>
        <v/>
      </c>
      <c r="CB93">
        <f>IF(P92&lt;=0,0,MIN(P92+CA93,$F$18+BZ93))</f>
        <v/>
      </c>
      <c r="CC93">
        <f>IF(P92&lt;=0,BZ93,MAX(0,$F$18+BZ93-P92-CA93))</f>
        <v/>
      </c>
      <c r="CD93">
        <f>IF(Q92&lt;=0,0,Q92*$E$19/12)</f>
        <v/>
      </c>
      <c r="CE93">
        <f>IF(Q92&lt;=0,0,MIN(Q92+CD93,$F$19+CC93))</f>
        <v/>
      </c>
      <c r="CF93">
        <f>IF(Q92&lt;=0,CC93,MAX(0,$F$19+CC93-Q92-CD93))</f>
        <v/>
      </c>
      <c r="CG93">
        <f>IF(R92&lt;=0,0,R92*$E$20/12)</f>
        <v/>
      </c>
      <c r="CH93">
        <f>IF(R92&lt;=0,0,MIN(R92+CG93,$F$20+CF93))</f>
        <v/>
      </c>
      <c r="CI93">
        <f>IF(R92&lt;=0,CF93,MAX(0,$F$20+CF93-R92-CG93))</f>
        <v/>
      </c>
      <c r="CJ93">
        <f>IF(S92&lt;=0,0,S92*$E$21/12)</f>
        <v/>
      </c>
      <c r="CK93">
        <f>IF(S92&lt;=0,0,MIN(S92+CJ93,$F$21+CI93))</f>
        <v/>
      </c>
      <c r="CL93">
        <f>IF(S92&lt;=0,CI93,MAX(0,$F$21+CI93-S92-CJ93))</f>
        <v/>
      </c>
      <c r="CM93">
        <f>IF(T92&lt;=0,0,T92*$E$22/12)</f>
        <v/>
      </c>
      <c r="CN93">
        <f>IF(T92&lt;=0,0,MIN(T92+CM93,$F$22+CL93))</f>
        <v/>
      </c>
      <c r="CO93">
        <f>IF(T92&lt;=0,CL93,MAX(0,$F$22+CL93-T92-CM93))</f>
        <v/>
      </c>
      <c r="CP93">
        <f>IF(U92&lt;=0,0,U92*$E$23/12)</f>
        <v/>
      </c>
      <c r="CQ93">
        <f>IF(U92&lt;=0,0,MIN(U92+CP93,$F$23+CO93))</f>
        <v/>
      </c>
      <c r="CR93">
        <f>IF(U92&lt;=0,CO93,MAX(0,$F$23+CO93-U92-CP93))</f>
        <v/>
      </c>
      <c r="CS93">
        <f>IF(V92&lt;=0,0,V92*$E$24/12)</f>
        <v/>
      </c>
      <c r="CT93">
        <f>IF(V92&lt;=0,0,MIN(V92+CS93,$F$24+CR93))</f>
        <v/>
      </c>
      <c r="CU93">
        <f>IF(V92&lt;=0,CR93,MAX(0,$F$24+CR93-V92-CS93))</f>
        <v/>
      </c>
    </row>
    <row r="94">
      <c r="B94" s="39" t="n">
        <v>68</v>
      </c>
      <c r="C94" s="13">
        <f>IF(C93&lt;=0,0,MAX(0,C93+AN94-AO94))</f>
        <v/>
      </c>
      <c r="D94" s="13">
        <f>IF(D93&lt;=0,0,MAX(0,D93+AQ94-AR94))</f>
        <v/>
      </c>
      <c r="E94" s="13">
        <f>IF(E93&lt;=0,0,MAX(0,E93+AT94-AU94))</f>
        <v/>
      </c>
      <c r="F94" s="13">
        <f>IF(F93&lt;=0,0,MAX(0,F93+AW94-AX94))</f>
        <v/>
      </c>
      <c r="G94" s="13">
        <f>IF(G93&lt;=0,0,MAX(0,G93+AZ94-BA94))</f>
        <v/>
      </c>
      <c r="H94" s="13">
        <f>IF(H93&lt;=0,0,MAX(0,H93+BC94-BD94))</f>
        <v/>
      </c>
      <c r="I94" s="13">
        <f>IF(I93&lt;=0,0,MAX(0,I93+BF94-BG94))</f>
        <v/>
      </c>
      <c r="J94" s="13">
        <f>IF(J93&lt;=0,0,MAX(0,J93+BI94-BJ94))</f>
        <v/>
      </c>
      <c r="K94" s="13">
        <f>IF(K93&lt;=0,0,MAX(0,K93+BL94-BM94))</f>
        <v/>
      </c>
      <c r="L94" s="13">
        <f>IF(L93&lt;=0,0,MAX(0,L93+BO94-BP94))</f>
        <v/>
      </c>
      <c r="M94" s="13">
        <f>IF(M93&lt;=0,0,MAX(0,M93+BR94-BS94))</f>
        <v/>
      </c>
      <c r="N94" s="13">
        <f>IF(N93&lt;=0,0,MAX(0,N93+BU94-BV94))</f>
        <v/>
      </c>
      <c r="O94" s="13">
        <f>IF(O93&lt;=0,0,MAX(0,O93+BX94-BY94))</f>
        <v/>
      </c>
      <c r="P94" s="13">
        <f>IF(P93&lt;=0,0,MAX(0,P93+CA94-CB94))</f>
        <v/>
      </c>
      <c r="Q94" s="13">
        <f>IF(Q93&lt;=0,0,MAX(0,Q93+CD94-CE94))</f>
        <v/>
      </c>
      <c r="R94" s="13">
        <f>IF(R93&lt;=0,0,MAX(0,R93+CG94-CH94))</f>
        <v/>
      </c>
      <c r="S94" s="13">
        <f>IF(S93&lt;=0,0,MAX(0,S93+CJ94-CK94))</f>
        <v/>
      </c>
      <c r="T94" s="13">
        <f>IF(T93&lt;=0,0,MAX(0,T93+CM94-CN94))</f>
        <v/>
      </c>
      <c r="U94" s="13">
        <f>IF(U93&lt;=0,0,MAX(0,U93+CP94-CQ94))</f>
        <v/>
      </c>
      <c r="V94" s="13">
        <f>IF(V93&lt;=0,0,MAX(0,V93+CS94-CT94))</f>
        <v/>
      </c>
      <c r="W94" s="13">
        <f>AO94+AR94+AU94+AX94+BA94+BD94+BG94+BJ94+BM94+BP94+BS94+BV94+BY94+CB94+CE94+CH94+CK94+CN94+CQ94+CT94</f>
        <v/>
      </c>
      <c r="X94" s="13">
        <f>AN94+AQ94+AT94+AW94+AZ94+BC94+BF94+BI94+BL94+BO94+BR94+BU94+BX94+CA94+CD94+CG94+CJ94+CM94+CP94+CS94</f>
        <v/>
      </c>
      <c r="Y94" s="27">
        <f>C94+D94+E94+F94+G94+H94+I94+J94+K94+L94+M94+N94+O94+P94+Q94+R94+S94+T94+U94+V94</f>
        <v/>
      </c>
      <c r="AN94">
        <f>IF(C93&lt;=0,0,C93*$E$5/12)</f>
        <v/>
      </c>
      <c r="AO94">
        <f>IF(C93&lt;=0,0,MIN(C93+AN94,$F$5+(Dashboard!$C$11+IF(C93&lt;=0,$F$5,0)+IF(D93&lt;=0,$F$6,0)+IF(E93&lt;=0,$F$7,0)+IF(F93&lt;=0,$F$8,0)+IF(G93&lt;=0,$F$9,0)+IF(H93&lt;=0,$F$10,0)+IF(I93&lt;=0,$F$11,0)+IF(J93&lt;=0,$F$12,0)+IF(K93&lt;=0,$F$13,0)+IF(L93&lt;=0,$F$14,0)+IF(M93&lt;=0,$F$15,0)+IF(N93&lt;=0,$F$16,0)+IF(O93&lt;=0,$F$17,0)+IF(P93&lt;=0,$F$18,0)+IF(Q93&lt;=0,$F$19,0)+IF(R93&lt;=0,$F$20,0)+IF(S93&lt;=0,$F$21,0)+IF(T93&lt;=0,$F$22,0)+IF(U93&lt;=0,$F$23,0)+IF(V93&lt;=0,$F$24,0))))</f>
        <v/>
      </c>
      <c r="AP94">
        <f>IF(C93&lt;=0,(Dashboard!$C$11+IF(C93&lt;=0,$F$5,0)+IF(D93&lt;=0,$F$6,0)+IF(E93&lt;=0,$F$7,0)+IF(F93&lt;=0,$F$8,0)+IF(G93&lt;=0,$F$9,0)+IF(H93&lt;=0,$F$10,0)+IF(I93&lt;=0,$F$11,0)+IF(J93&lt;=0,$F$12,0)+IF(K93&lt;=0,$F$13,0)+IF(L93&lt;=0,$F$14,0)+IF(M93&lt;=0,$F$15,0)+IF(N93&lt;=0,$F$16,0)+IF(O93&lt;=0,$F$17,0)+IF(P93&lt;=0,$F$18,0)+IF(Q93&lt;=0,$F$19,0)+IF(R93&lt;=0,$F$20,0)+IF(S93&lt;=0,$F$21,0)+IF(T93&lt;=0,$F$22,0)+IF(U93&lt;=0,$F$23,0)+IF(V93&lt;=0,$F$24,0)),MAX(0,$F$5+(Dashboard!$C$11+IF(C93&lt;=0,$F$5,0)+IF(D93&lt;=0,$F$6,0)+IF(E93&lt;=0,$F$7,0)+IF(F93&lt;=0,$F$8,0)+IF(G93&lt;=0,$F$9,0)+IF(H93&lt;=0,$F$10,0)+IF(I93&lt;=0,$F$11,0)+IF(J93&lt;=0,$F$12,0)+IF(K93&lt;=0,$F$13,0)+IF(L93&lt;=0,$F$14,0)+IF(M93&lt;=0,$F$15,0)+IF(N93&lt;=0,$F$16,0)+IF(O93&lt;=0,$F$17,0)+IF(P93&lt;=0,$F$18,0)+IF(Q93&lt;=0,$F$19,0)+IF(R93&lt;=0,$F$20,0)+IF(S93&lt;=0,$F$21,0)+IF(T93&lt;=0,$F$22,0)+IF(U93&lt;=0,$F$23,0)+IF(V93&lt;=0,$F$24,0))-C93-AN94))</f>
        <v/>
      </c>
      <c r="AQ94">
        <f>IF(D93&lt;=0,0,D93*$E$6/12)</f>
        <v/>
      </c>
      <c r="AR94">
        <f>IF(D93&lt;=0,0,MIN(D93+AQ94,$F$6+AP94))</f>
        <v/>
      </c>
      <c r="AS94">
        <f>IF(D93&lt;=0,AP94,MAX(0,$F$6+AP94-D93-AQ94))</f>
        <v/>
      </c>
      <c r="AT94">
        <f>IF(E93&lt;=0,0,E93*$E$7/12)</f>
        <v/>
      </c>
      <c r="AU94">
        <f>IF(E93&lt;=0,0,MIN(E93+AT94,$F$7+AS94))</f>
        <v/>
      </c>
      <c r="AV94">
        <f>IF(E93&lt;=0,AS94,MAX(0,$F$7+AS94-E93-AT94))</f>
        <v/>
      </c>
      <c r="AW94">
        <f>IF(F93&lt;=0,0,F93*$E$8/12)</f>
        <v/>
      </c>
      <c r="AX94">
        <f>IF(F93&lt;=0,0,MIN(F93+AW94,$F$8+AV94))</f>
        <v/>
      </c>
      <c r="AY94">
        <f>IF(F93&lt;=0,AV94,MAX(0,$F$8+AV94-F93-AW94))</f>
        <v/>
      </c>
      <c r="AZ94">
        <f>IF(G93&lt;=0,0,G93*$E$9/12)</f>
        <v/>
      </c>
      <c r="BA94">
        <f>IF(G93&lt;=0,0,MIN(G93+AZ94,$F$9+AY94))</f>
        <v/>
      </c>
      <c r="BB94">
        <f>IF(G93&lt;=0,AY94,MAX(0,$F$9+AY94-G93-AZ94))</f>
        <v/>
      </c>
      <c r="BC94">
        <f>IF(H93&lt;=0,0,H93*$E$10/12)</f>
        <v/>
      </c>
      <c r="BD94">
        <f>IF(H93&lt;=0,0,MIN(H93+BC94,$F$10+BB94))</f>
        <v/>
      </c>
      <c r="BE94">
        <f>IF(H93&lt;=0,BB94,MAX(0,$F$10+BB94-H93-BC94))</f>
        <v/>
      </c>
      <c r="BF94">
        <f>IF(I93&lt;=0,0,I93*$E$11/12)</f>
        <v/>
      </c>
      <c r="BG94">
        <f>IF(I93&lt;=0,0,MIN(I93+BF94,$F$11+BE94))</f>
        <v/>
      </c>
      <c r="BH94">
        <f>IF(I93&lt;=0,BE94,MAX(0,$F$11+BE94-I93-BF94))</f>
        <v/>
      </c>
      <c r="BI94">
        <f>IF(J93&lt;=0,0,J93*$E$12/12)</f>
        <v/>
      </c>
      <c r="BJ94">
        <f>IF(J93&lt;=0,0,MIN(J93+BI94,$F$12+BH94))</f>
        <v/>
      </c>
      <c r="BK94">
        <f>IF(J93&lt;=0,BH94,MAX(0,$F$12+BH94-J93-BI94))</f>
        <v/>
      </c>
      <c r="BL94">
        <f>IF(K93&lt;=0,0,K93*$E$13/12)</f>
        <v/>
      </c>
      <c r="BM94">
        <f>IF(K93&lt;=0,0,MIN(K93+BL94,$F$13+BK94))</f>
        <v/>
      </c>
      <c r="BN94">
        <f>IF(K93&lt;=0,BK94,MAX(0,$F$13+BK94-K93-BL94))</f>
        <v/>
      </c>
      <c r="BO94">
        <f>IF(L93&lt;=0,0,L93*$E$14/12)</f>
        <v/>
      </c>
      <c r="BP94">
        <f>IF(L93&lt;=0,0,MIN(L93+BO94,$F$14+BN94))</f>
        <v/>
      </c>
      <c r="BQ94">
        <f>IF(L93&lt;=0,BN94,MAX(0,$F$14+BN94-L93-BO94))</f>
        <v/>
      </c>
      <c r="BR94">
        <f>IF(M93&lt;=0,0,M93*$E$15/12)</f>
        <v/>
      </c>
      <c r="BS94">
        <f>IF(M93&lt;=0,0,MIN(M93+BR94,$F$15+BQ94))</f>
        <v/>
      </c>
      <c r="BT94">
        <f>IF(M93&lt;=0,BQ94,MAX(0,$F$15+BQ94-M93-BR94))</f>
        <v/>
      </c>
      <c r="BU94">
        <f>IF(N93&lt;=0,0,N93*$E$16/12)</f>
        <v/>
      </c>
      <c r="BV94">
        <f>IF(N93&lt;=0,0,MIN(N93+BU94,$F$16+BT94))</f>
        <v/>
      </c>
      <c r="BW94">
        <f>IF(N93&lt;=0,BT94,MAX(0,$F$16+BT94-N93-BU94))</f>
        <v/>
      </c>
      <c r="BX94">
        <f>IF(O93&lt;=0,0,O93*$E$17/12)</f>
        <v/>
      </c>
      <c r="BY94">
        <f>IF(O93&lt;=0,0,MIN(O93+BX94,$F$17+BW94))</f>
        <v/>
      </c>
      <c r="BZ94">
        <f>IF(O93&lt;=0,BW94,MAX(0,$F$17+BW94-O93-BX94))</f>
        <v/>
      </c>
      <c r="CA94">
        <f>IF(P93&lt;=0,0,P93*$E$18/12)</f>
        <v/>
      </c>
      <c r="CB94">
        <f>IF(P93&lt;=0,0,MIN(P93+CA94,$F$18+BZ94))</f>
        <v/>
      </c>
      <c r="CC94">
        <f>IF(P93&lt;=0,BZ94,MAX(0,$F$18+BZ94-P93-CA94))</f>
        <v/>
      </c>
      <c r="CD94">
        <f>IF(Q93&lt;=0,0,Q93*$E$19/12)</f>
        <v/>
      </c>
      <c r="CE94">
        <f>IF(Q93&lt;=0,0,MIN(Q93+CD94,$F$19+CC94))</f>
        <v/>
      </c>
      <c r="CF94">
        <f>IF(Q93&lt;=0,CC94,MAX(0,$F$19+CC94-Q93-CD94))</f>
        <v/>
      </c>
      <c r="CG94">
        <f>IF(R93&lt;=0,0,R93*$E$20/12)</f>
        <v/>
      </c>
      <c r="CH94">
        <f>IF(R93&lt;=0,0,MIN(R93+CG94,$F$20+CF94))</f>
        <v/>
      </c>
      <c r="CI94">
        <f>IF(R93&lt;=0,CF94,MAX(0,$F$20+CF94-R93-CG94))</f>
        <v/>
      </c>
      <c r="CJ94">
        <f>IF(S93&lt;=0,0,S93*$E$21/12)</f>
        <v/>
      </c>
      <c r="CK94">
        <f>IF(S93&lt;=0,0,MIN(S93+CJ94,$F$21+CI94))</f>
        <v/>
      </c>
      <c r="CL94">
        <f>IF(S93&lt;=0,CI94,MAX(0,$F$21+CI94-S93-CJ94))</f>
        <v/>
      </c>
      <c r="CM94">
        <f>IF(T93&lt;=0,0,T93*$E$22/12)</f>
        <v/>
      </c>
      <c r="CN94">
        <f>IF(T93&lt;=0,0,MIN(T93+CM94,$F$22+CL94))</f>
        <v/>
      </c>
      <c r="CO94">
        <f>IF(T93&lt;=0,CL94,MAX(0,$F$22+CL94-T93-CM94))</f>
        <v/>
      </c>
      <c r="CP94">
        <f>IF(U93&lt;=0,0,U93*$E$23/12)</f>
        <v/>
      </c>
      <c r="CQ94">
        <f>IF(U93&lt;=0,0,MIN(U93+CP94,$F$23+CO94))</f>
        <v/>
      </c>
      <c r="CR94">
        <f>IF(U93&lt;=0,CO94,MAX(0,$F$23+CO94-U93-CP94))</f>
        <v/>
      </c>
      <c r="CS94">
        <f>IF(V93&lt;=0,0,V93*$E$24/12)</f>
        <v/>
      </c>
      <c r="CT94">
        <f>IF(V93&lt;=0,0,MIN(V93+CS94,$F$24+CR94))</f>
        <v/>
      </c>
      <c r="CU94">
        <f>IF(V93&lt;=0,CR94,MAX(0,$F$24+CR94-V93-CS94))</f>
        <v/>
      </c>
    </row>
    <row r="95">
      <c r="B95" s="39" t="n">
        <v>69</v>
      </c>
      <c r="C95" s="13">
        <f>IF(C94&lt;=0,0,MAX(0,C94+AN95-AO95))</f>
        <v/>
      </c>
      <c r="D95" s="13">
        <f>IF(D94&lt;=0,0,MAX(0,D94+AQ95-AR95))</f>
        <v/>
      </c>
      <c r="E95" s="13">
        <f>IF(E94&lt;=0,0,MAX(0,E94+AT95-AU95))</f>
        <v/>
      </c>
      <c r="F95" s="13">
        <f>IF(F94&lt;=0,0,MAX(0,F94+AW95-AX95))</f>
        <v/>
      </c>
      <c r="G95" s="13">
        <f>IF(G94&lt;=0,0,MAX(0,G94+AZ95-BA95))</f>
        <v/>
      </c>
      <c r="H95" s="13">
        <f>IF(H94&lt;=0,0,MAX(0,H94+BC95-BD95))</f>
        <v/>
      </c>
      <c r="I95" s="13">
        <f>IF(I94&lt;=0,0,MAX(0,I94+BF95-BG95))</f>
        <v/>
      </c>
      <c r="J95" s="13">
        <f>IF(J94&lt;=0,0,MAX(0,J94+BI95-BJ95))</f>
        <v/>
      </c>
      <c r="K95" s="13">
        <f>IF(K94&lt;=0,0,MAX(0,K94+BL95-BM95))</f>
        <v/>
      </c>
      <c r="L95" s="13">
        <f>IF(L94&lt;=0,0,MAX(0,L94+BO95-BP95))</f>
        <v/>
      </c>
      <c r="M95" s="13">
        <f>IF(M94&lt;=0,0,MAX(0,M94+BR95-BS95))</f>
        <v/>
      </c>
      <c r="N95" s="13">
        <f>IF(N94&lt;=0,0,MAX(0,N94+BU95-BV95))</f>
        <v/>
      </c>
      <c r="O95" s="13">
        <f>IF(O94&lt;=0,0,MAX(0,O94+BX95-BY95))</f>
        <v/>
      </c>
      <c r="P95" s="13">
        <f>IF(P94&lt;=0,0,MAX(0,P94+CA95-CB95))</f>
        <v/>
      </c>
      <c r="Q95" s="13">
        <f>IF(Q94&lt;=0,0,MAX(0,Q94+CD95-CE95))</f>
        <v/>
      </c>
      <c r="R95" s="13">
        <f>IF(R94&lt;=0,0,MAX(0,R94+CG95-CH95))</f>
        <v/>
      </c>
      <c r="S95" s="13">
        <f>IF(S94&lt;=0,0,MAX(0,S94+CJ95-CK95))</f>
        <v/>
      </c>
      <c r="T95" s="13">
        <f>IF(T94&lt;=0,0,MAX(0,T94+CM95-CN95))</f>
        <v/>
      </c>
      <c r="U95" s="13">
        <f>IF(U94&lt;=0,0,MAX(0,U94+CP95-CQ95))</f>
        <v/>
      </c>
      <c r="V95" s="13">
        <f>IF(V94&lt;=0,0,MAX(0,V94+CS95-CT95))</f>
        <v/>
      </c>
      <c r="W95" s="13">
        <f>AO95+AR95+AU95+AX95+BA95+BD95+BG95+BJ95+BM95+BP95+BS95+BV95+BY95+CB95+CE95+CH95+CK95+CN95+CQ95+CT95</f>
        <v/>
      </c>
      <c r="X95" s="13">
        <f>AN95+AQ95+AT95+AW95+AZ95+BC95+BF95+BI95+BL95+BO95+BR95+BU95+BX95+CA95+CD95+CG95+CJ95+CM95+CP95+CS95</f>
        <v/>
      </c>
      <c r="Y95" s="27">
        <f>C95+D95+E95+F95+G95+H95+I95+J95+K95+L95+M95+N95+O95+P95+Q95+R95+S95+T95+U95+V95</f>
        <v/>
      </c>
      <c r="AN95">
        <f>IF(C94&lt;=0,0,C94*$E$5/12)</f>
        <v/>
      </c>
      <c r="AO95">
        <f>IF(C94&lt;=0,0,MIN(C94+AN95,$F$5+(Dashboard!$C$11+IF(C94&lt;=0,$F$5,0)+IF(D94&lt;=0,$F$6,0)+IF(E94&lt;=0,$F$7,0)+IF(F94&lt;=0,$F$8,0)+IF(G94&lt;=0,$F$9,0)+IF(H94&lt;=0,$F$10,0)+IF(I94&lt;=0,$F$11,0)+IF(J94&lt;=0,$F$12,0)+IF(K94&lt;=0,$F$13,0)+IF(L94&lt;=0,$F$14,0)+IF(M94&lt;=0,$F$15,0)+IF(N94&lt;=0,$F$16,0)+IF(O94&lt;=0,$F$17,0)+IF(P94&lt;=0,$F$18,0)+IF(Q94&lt;=0,$F$19,0)+IF(R94&lt;=0,$F$20,0)+IF(S94&lt;=0,$F$21,0)+IF(T94&lt;=0,$F$22,0)+IF(U94&lt;=0,$F$23,0)+IF(V94&lt;=0,$F$24,0))))</f>
        <v/>
      </c>
      <c r="AP95">
        <f>IF(C94&lt;=0,(Dashboard!$C$11+IF(C94&lt;=0,$F$5,0)+IF(D94&lt;=0,$F$6,0)+IF(E94&lt;=0,$F$7,0)+IF(F94&lt;=0,$F$8,0)+IF(G94&lt;=0,$F$9,0)+IF(H94&lt;=0,$F$10,0)+IF(I94&lt;=0,$F$11,0)+IF(J94&lt;=0,$F$12,0)+IF(K94&lt;=0,$F$13,0)+IF(L94&lt;=0,$F$14,0)+IF(M94&lt;=0,$F$15,0)+IF(N94&lt;=0,$F$16,0)+IF(O94&lt;=0,$F$17,0)+IF(P94&lt;=0,$F$18,0)+IF(Q94&lt;=0,$F$19,0)+IF(R94&lt;=0,$F$20,0)+IF(S94&lt;=0,$F$21,0)+IF(T94&lt;=0,$F$22,0)+IF(U94&lt;=0,$F$23,0)+IF(V94&lt;=0,$F$24,0)),MAX(0,$F$5+(Dashboard!$C$11+IF(C94&lt;=0,$F$5,0)+IF(D94&lt;=0,$F$6,0)+IF(E94&lt;=0,$F$7,0)+IF(F94&lt;=0,$F$8,0)+IF(G94&lt;=0,$F$9,0)+IF(H94&lt;=0,$F$10,0)+IF(I94&lt;=0,$F$11,0)+IF(J94&lt;=0,$F$12,0)+IF(K94&lt;=0,$F$13,0)+IF(L94&lt;=0,$F$14,0)+IF(M94&lt;=0,$F$15,0)+IF(N94&lt;=0,$F$16,0)+IF(O94&lt;=0,$F$17,0)+IF(P94&lt;=0,$F$18,0)+IF(Q94&lt;=0,$F$19,0)+IF(R94&lt;=0,$F$20,0)+IF(S94&lt;=0,$F$21,0)+IF(T94&lt;=0,$F$22,0)+IF(U94&lt;=0,$F$23,0)+IF(V94&lt;=0,$F$24,0))-C94-AN95))</f>
        <v/>
      </c>
      <c r="AQ95">
        <f>IF(D94&lt;=0,0,D94*$E$6/12)</f>
        <v/>
      </c>
      <c r="AR95">
        <f>IF(D94&lt;=0,0,MIN(D94+AQ95,$F$6+AP95))</f>
        <v/>
      </c>
      <c r="AS95">
        <f>IF(D94&lt;=0,AP95,MAX(0,$F$6+AP95-D94-AQ95))</f>
        <v/>
      </c>
      <c r="AT95">
        <f>IF(E94&lt;=0,0,E94*$E$7/12)</f>
        <v/>
      </c>
      <c r="AU95">
        <f>IF(E94&lt;=0,0,MIN(E94+AT95,$F$7+AS95))</f>
        <v/>
      </c>
      <c r="AV95">
        <f>IF(E94&lt;=0,AS95,MAX(0,$F$7+AS95-E94-AT95))</f>
        <v/>
      </c>
      <c r="AW95">
        <f>IF(F94&lt;=0,0,F94*$E$8/12)</f>
        <v/>
      </c>
      <c r="AX95">
        <f>IF(F94&lt;=0,0,MIN(F94+AW95,$F$8+AV95))</f>
        <v/>
      </c>
      <c r="AY95">
        <f>IF(F94&lt;=0,AV95,MAX(0,$F$8+AV95-F94-AW95))</f>
        <v/>
      </c>
      <c r="AZ95">
        <f>IF(G94&lt;=0,0,G94*$E$9/12)</f>
        <v/>
      </c>
      <c r="BA95">
        <f>IF(G94&lt;=0,0,MIN(G94+AZ95,$F$9+AY95))</f>
        <v/>
      </c>
      <c r="BB95">
        <f>IF(G94&lt;=0,AY95,MAX(0,$F$9+AY95-G94-AZ95))</f>
        <v/>
      </c>
      <c r="BC95">
        <f>IF(H94&lt;=0,0,H94*$E$10/12)</f>
        <v/>
      </c>
      <c r="BD95">
        <f>IF(H94&lt;=0,0,MIN(H94+BC95,$F$10+BB95))</f>
        <v/>
      </c>
      <c r="BE95">
        <f>IF(H94&lt;=0,BB95,MAX(0,$F$10+BB95-H94-BC95))</f>
        <v/>
      </c>
      <c r="BF95">
        <f>IF(I94&lt;=0,0,I94*$E$11/12)</f>
        <v/>
      </c>
      <c r="BG95">
        <f>IF(I94&lt;=0,0,MIN(I94+BF95,$F$11+BE95))</f>
        <v/>
      </c>
      <c r="BH95">
        <f>IF(I94&lt;=0,BE95,MAX(0,$F$11+BE95-I94-BF95))</f>
        <v/>
      </c>
      <c r="BI95">
        <f>IF(J94&lt;=0,0,J94*$E$12/12)</f>
        <v/>
      </c>
      <c r="BJ95">
        <f>IF(J94&lt;=0,0,MIN(J94+BI95,$F$12+BH95))</f>
        <v/>
      </c>
      <c r="BK95">
        <f>IF(J94&lt;=0,BH95,MAX(0,$F$12+BH95-J94-BI95))</f>
        <v/>
      </c>
      <c r="BL95">
        <f>IF(K94&lt;=0,0,K94*$E$13/12)</f>
        <v/>
      </c>
      <c r="BM95">
        <f>IF(K94&lt;=0,0,MIN(K94+BL95,$F$13+BK95))</f>
        <v/>
      </c>
      <c r="BN95">
        <f>IF(K94&lt;=0,BK95,MAX(0,$F$13+BK95-K94-BL95))</f>
        <v/>
      </c>
      <c r="BO95">
        <f>IF(L94&lt;=0,0,L94*$E$14/12)</f>
        <v/>
      </c>
      <c r="BP95">
        <f>IF(L94&lt;=0,0,MIN(L94+BO95,$F$14+BN95))</f>
        <v/>
      </c>
      <c r="BQ95">
        <f>IF(L94&lt;=0,BN95,MAX(0,$F$14+BN95-L94-BO95))</f>
        <v/>
      </c>
      <c r="BR95">
        <f>IF(M94&lt;=0,0,M94*$E$15/12)</f>
        <v/>
      </c>
      <c r="BS95">
        <f>IF(M94&lt;=0,0,MIN(M94+BR95,$F$15+BQ95))</f>
        <v/>
      </c>
      <c r="BT95">
        <f>IF(M94&lt;=0,BQ95,MAX(0,$F$15+BQ95-M94-BR95))</f>
        <v/>
      </c>
      <c r="BU95">
        <f>IF(N94&lt;=0,0,N94*$E$16/12)</f>
        <v/>
      </c>
      <c r="BV95">
        <f>IF(N94&lt;=0,0,MIN(N94+BU95,$F$16+BT95))</f>
        <v/>
      </c>
      <c r="BW95">
        <f>IF(N94&lt;=0,BT95,MAX(0,$F$16+BT95-N94-BU95))</f>
        <v/>
      </c>
      <c r="BX95">
        <f>IF(O94&lt;=0,0,O94*$E$17/12)</f>
        <v/>
      </c>
      <c r="BY95">
        <f>IF(O94&lt;=0,0,MIN(O94+BX95,$F$17+BW95))</f>
        <v/>
      </c>
      <c r="BZ95">
        <f>IF(O94&lt;=0,BW95,MAX(0,$F$17+BW95-O94-BX95))</f>
        <v/>
      </c>
      <c r="CA95">
        <f>IF(P94&lt;=0,0,P94*$E$18/12)</f>
        <v/>
      </c>
      <c r="CB95">
        <f>IF(P94&lt;=0,0,MIN(P94+CA95,$F$18+BZ95))</f>
        <v/>
      </c>
      <c r="CC95">
        <f>IF(P94&lt;=0,BZ95,MAX(0,$F$18+BZ95-P94-CA95))</f>
        <v/>
      </c>
      <c r="CD95">
        <f>IF(Q94&lt;=0,0,Q94*$E$19/12)</f>
        <v/>
      </c>
      <c r="CE95">
        <f>IF(Q94&lt;=0,0,MIN(Q94+CD95,$F$19+CC95))</f>
        <v/>
      </c>
      <c r="CF95">
        <f>IF(Q94&lt;=0,CC95,MAX(0,$F$19+CC95-Q94-CD95))</f>
        <v/>
      </c>
      <c r="CG95">
        <f>IF(R94&lt;=0,0,R94*$E$20/12)</f>
        <v/>
      </c>
      <c r="CH95">
        <f>IF(R94&lt;=0,0,MIN(R94+CG95,$F$20+CF95))</f>
        <v/>
      </c>
      <c r="CI95">
        <f>IF(R94&lt;=0,CF95,MAX(0,$F$20+CF95-R94-CG95))</f>
        <v/>
      </c>
      <c r="CJ95">
        <f>IF(S94&lt;=0,0,S94*$E$21/12)</f>
        <v/>
      </c>
      <c r="CK95">
        <f>IF(S94&lt;=0,0,MIN(S94+CJ95,$F$21+CI95))</f>
        <v/>
      </c>
      <c r="CL95">
        <f>IF(S94&lt;=0,CI95,MAX(0,$F$21+CI95-S94-CJ95))</f>
        <v/>
      </c>
      <c r="CM95">
        <f>IF(T94&lt;=0,0,T94*$E$22/12)</f>
        <v/>
      </c>
      <c r="CN95">
        <f>IF(T94&lt;=0,0,MIN(T94+CM95,$F$22+CL95))</f>
        <v/>
      </c>
      <c r="CO95">
        <f>IF(T94&lt;=0,CL95,MAX(0,$F$22+CL95-T94-CM95))</f>
        <v/>
      </c>
      <c r="CP95">
        <f>IF(U94&lt;=0,0,U94*$E$23/12)</f>
        <v/>
      </c>
      <c r="CQ95">
        <f>IF(U94&lt;=0,0,MIN(U94+CP95,$F$23+CO95))</f>
        <v/>
      </c>
      <c r="CR95">
        <f>IF(U94&lt;=0,CO95,MAX(0,$F$23+CO95-U94-CP95))</f>
        <v/>
      </c>
      <c r="CS95">
        <f>IF(V94&lt;=0,0,V94*$E$24/12)</f>
        <v/>
      </c>
      <c r="CT95">
        <f>IF(V94&lt;=0,0,MIN(V94+CS95,$F$24+CR95))</f>
        <v/>
      </c>
      <c r="CU95">
        <f>IF(V94&lt;=0,CR95,MAX(0,$F$24+CR95-V94-CS95))</f>
        <v/>
      </c>
    </row>
    <row r="96">
      <c r="B96" s="39" t="n">
        <v>70</v>
      </c>
      <c r="C96" s="13">
        <f>IF(C95&lt;=0,0,MAX(0,C95+AN96-AO96))</f>
        <v/>
      </c>
      <c r="D96" s="13">
        <f>IF(D95&lt;=0,0,MAX(0,D95+AQ96-AR96))</f>
        <v/>
      </c>
      <c r="E96" s="13">
        <f>IF(E95&lt;=0,0,MAX(0,E95+AT96-AU96))</f>
        <v/>
      </c>
      <c r="F96" s="13">
        <f>IF(F95&lt;=0,0,MAX(0,F95+AW96-AX96))</f>
        <v/>
      </c>
      <c r="G96" s="13">
        <f>IF(G95&lt;=0,0,MAX(0,G95+AZ96-BA96))</f>
        <v/>
      </c>
      <c r="H96" s="13">
        <f>IF(H95&lt;=0,0,MAX(0,H95+BC96-BD96))</f>
        <v/>
      </c>
      <c r="I96" s="13">
        <f>IF(I95&lt;=0,0,MAX(0,I95+BF96-BG96))</f>
        <v/>
      </c>
      <c r="J96" s="13">
        <f>IF(J95&lt;=0,0,MAX(0,J95+BI96-BJ96))</f>
        <v/>
      </c>
      <c r="K96" s="13">
        <f>IF(K95&lt;=0,0,MAX(0,K95+BL96-BM96))</f>
        <v/>
      </c>
      <c r="L96" s="13">
        <f>IF(L95&lt;=0,0,MAX(0,L95+BO96-BP96))</f>
        <v/>
      </c>
      <c r="M96" s="13">
        <f>IF(M95&lt;=0,0,MAX(0,M95+BR96-BS96))</f>
        <v/>
      </c>
      <c r="N96" s="13">
        <f>IF(N95&lt;=0,0,MAX(0,N95+BU96-BV96))</f>
        <v/>
      </c>
      <c r="O96" s="13">
        <f>IF(O95&lt;=0,0,MAX(0,O95+BX96-BY96))</f>
        <v/>
      </c>
      <c r="P96" s="13">
        <f>IF(P95&lt;=0,0,MAX(0,P95+CA96-CB96))</f>
        <v/>
      </c>
      <c r="Q96" s="13">
        <f>IF(Q95&lt;=0,0,MAX(0,Q95+CD96-CE96))</f>
        <v/>
      </c>
      <c r="R96" s="13">
        <f>IF(R95&lt;=0,0,MAX(0,R95+CG96-CH96))</f>
        <v/>
      </c>
      <c r="S96" s="13">
        <f>IF(S95&lt;=0,0,MAX(0,S95+CJ96-CK96))</f>
        <v/>
      </c>
      <c r="T96" s="13">
        <f>IF(T95&lt;=0,0,MAX(0,T95+CM96-CN96))</f>
        <v/>
      </c>
      <c r="U96" s="13">
        <f>IF(U95&lt;=0,0,MAX(0,U95+CP96-CQ96))</f>
        <v/>
      </c>
      <c r="V96" s="13">
        <f>IF(V95&lt;=0,0,MAX(0,V95+CS96-CT96))</f>
        <v/>
      </c>
      <c r="W96" s="13">
        <f>AO96+AR96+AU96+AX96+BA96+BD96+BG96+BJ96+BM96+BP96+BS96+BV96+BY96+CB96+CE96+CH96+CK96+CN96+CQ96+CT96</f>
        <v/>
      </c>
      <c r="X96" s="13">
        <f>AN96+AQ96+AT96+AW96+AZ96+BC96+BF96+BI96+BL96+BO96+BR96+BU96+BX96+CA96+CD96+CG96+CJ96+CM96+CP96+CS96</f>
        <v/>
      </c>
      <c r="Y96" s="27">
        <f>C96+D96+E96+F96+G96+H96+I96+J96+K96+L96+M96+N96+O96+P96+Q96+R96+S96+T96+U96+V96</f>
        <v/>
      </c>
      <c r="AN96">
        <f>IF(C95&lt;=0,0,C95*$E$5/12)</f>
        <v/>
      </c>
      <c r="AO96">
        <f>IF(C95&lt;=0,0,MIN(C95+AN96,$F$5+(Dashboard!$C$11+IF(C95&lt;=0,$F$5,0)+IF(D95&lt;=0,$F$6,0)+IF(E95&lt;=0,$F$7,0)+IF(F95&lt;=0,$F$8,0)+IF(G95&lt;=0,$F$9,0)+IF(H95&lt;=0,$F$10,0)+IF(I95&lt;=0,$F$11,0)+IF(J95&lt;=0,$F$12,0)+IF(K95&lt;=0,$F$13,0)+IF(L95&lt;=0,$F$14,0)+IF(M95&lt;=0,$F$15,0)+IF(N95&lt;=0,$F$16,0)+IF(O95&lt;=0,$F$17,0)+IF(P95&lt;=0,$F$18,0)+IF(Q95&lt;=0,$F$19,0)+IF(R95&lt;=0,$F$20,0)+IF(S95&lt;=0,$F$21,0)+IF(T95&lt;=0,$F$22,0)+IF(U95&lt;=0,$F$23,0)+IF(V95&lt;=0,$F$24,0))))</f>
        <v/>
      </c>
      <c r="AP96">
        <f>IF(C95&lt;=0,(Dashboard!$C$11+IF(C95&lt;=0,$F$5,0)+IF(D95&lt;=0,$F$6,0)+IF(E95&lt;=0,$F$7,0)+IF(F95&lt;=0,$F$8,0)+IF(G95&lt;=0,$F$9,0)+IF(H95&lt;=0,$F$10,0)+IF(I95&lt;=0,$F$11,0)+IF(J95&lt;=0,$F$12,0)+IF(K95&lt;=0,$F$13,0)+IF(L95&lt;=0,$F$14,0)+IF(M95&lt;=0,$F$15,0)+IF(N95&lt;=0,$F$16,0)+IF(O95&lt;=0,$F$17,0)+IF(P95&lt;=0,$F$18,0)+IF(Q95&lt;=0,$F$19,0)+IF(R95&lt;=0,$F$20,0)+IF(S95&lt;=0,$F$21,0)+IF(T95&lt;=0,$F$22,0)+IF(U95&lt;=0,$F$23,0)+IF(V95&lt;=0,$F$24,0)),MAX(0,$F$5+(Dashboard!$C$11+IF(C95&lt;=0,$F$5,0)+IF(D95&lt;=0,$F$6,0)+IF(E95&lt;=0,$F$7,0)+IF(F95&lt;=0,$F$8,0)+IF(G95&lt;=0,$F$9,0)+IF(H95&lt;=0,$F$10,0)+IF(I95&lt;=0,$F$11,0)+IF(J95&lt;=0,$F$12,0)+IF(K95&lt;=0,$F$13,0)+IF(L95&lt;=0,$F$14,0)+IF(M95&lt;=0,$F$15,0)+IF(N95&lt;=0,$F$16,0)+IF(O95&lt;=0,$F$17,0)+IF(P95&lt;=0,$F$18,0)+IF(Q95&lt;=0,$F$19,0)+IF(R95&lt;=0,$F$20,0)+IF(S95&lt;=0,$F$21,0)+IF(T95&lt;=0,$F$22,0)+IF(U95&lt;=0,$F$23,0)+IF(V95&lt;=0,$F$24,0))-C95-AN96))</f>
        <v/>
      </c>
      <c r="AQ96">
        <f>IF(D95&lt;=0,0,D95*$E$6/12)</f>
        <v/>
      </c>
      <c r="AR96">
        <f>IF(D95&lt;=0,0,MIN(D95+AQ96,$F$6+AP96))</f>
        <v/>
      </c>
      <c r="AS96">
        <f>IF(D95&lt;=0,AP96,MAX(0,$F$6+AP96-D95-AQ96))</f>
        <v/>
      </c>
      <c r="AT96">
        <f>IF(E95&lt;=0,0,E95*$E$7/12)</f>
        <v/>
      </c>
      <c r="AU96">
        <f>IF(E95&lt;=0,0,MIN(E95+AT96,$F$7+AS96))</f>
        <v/>
      </c>
      <c r="AV96">
        <f>IF(E95&lt;=0,AS96,MAX(0,$F$7+AS96-E95-AT96))</f>
        <v/>
      </c>
      <c r="AW96">
        <f>IF(F95&lt;=0,0,F95*$E$8/12)</f>
        <v/>
      </c>
      <c r="AX96">
        <f>IF(F95&lt;=0,0,MIN(F95+AW96,$F$8+AV96))</f>
        <v/>
      </c>
      <c r="AY96">
        <f>IF(F95&lt;=0,AV96,MAX(0,$F$8+AV96-F95-AW96))</f>
        <v/>
      </c>
      <c r="AZ96">
        <f>IF(G95&lt;=0,0,G95*$E$9/12)</f>
        <v/>
      </c>
      <c r="BA96">
        <f>IF(G95&lt;=0,0,MIN(G95+AZ96,$F$9+AY96))</f>
        <v/>
      </c>
      <c r="BB96">
        <f>IF(G95&lt;=0,AY96,MAX(0,$F$9+AY96-G95-AZ96))</f>
        <v/>
      </c>
      <c r="BC96">
        <f>IF(H95&lt;=0,0,H95*$E$10/12)</f>
        <v/>
      </c>
      <c r="BD96">
        <f>IF(H95&lt;=0,0,MIN(H95+BC96,$F$10+BB96))</f>
        <v/>
      </c>
      <c r="BE96">
        <f>IF(H95&lt;=0,BB96,MAX(0,$F$10+BB96-H95-BC96))</f>
        <v/>
      </c>
      <c r="BF96">
        <f>IF(I95&lt;=0,0,I95*$E$11/12)</f>
        <v/>
      </c>
      <c r="BG96">
        <f>IF(I95&lt;=0,0,MIN(I95+BF96,$F$11+BE96))</f>
        <v/>
      </c>
      <c r="BH96">
        <f>IF(I95&lt;=0,BE96,MAX(0,$F$11+BE96-I95-BF96))</f>
        <v/>
      </c>
      <c r="BI96">
        <f>IF(J95&lt;=0,0,J95*$E$12/12)</f>
        <v/>
      </c>
      <c r="BJ96">
        <f>IF(J95&lt;=0,0,MIN(J95+BI96,$F$12+BH96))</f>
        <v/>
      </c>
      <c r="BK96">
        <f>IF(J95&lt;=0,BH96,MAX(0,$F$12+BH96-J95-BI96))</f>
        <v/>
      </c>
      <c r="BL96">
        <f>IF(K95&lt;=0,0,K95*$E$13/12)</f>
        <v/>
      </c>
      <c r="BM96">
        <f>IF(K95&lt;=0,0,MIN(K95+BL96,$F$13+BK96))</f>
        <v/>
      </c>
      <c r="BN96">
        <f>IF(K95&lt;=0,BK96,MAX(0,$F$13+BK96-K95-BL96))</f>
        <v/>
      </c>
      <c r="BO96">
        <f>IF(L95&lt;=0,0,L95*$E$14/12)</f>
        <v/>
      </c>
      <c r="BP96">
        <f>IF(L95&lt;=0,0,MIN(L95+BO96,$F$14+BN96))</f>
        <v/>
      </c>
      <c r="BQ96">
        <f>IF(L95&lt;=0,BN96,MAX(0,$F$14+BN96-L95-BO96))</f>
        <v/>
      </c>
      <c r="BR96">
        <f>IF(M95&lt;=0,0,M95*$E$15/12)</f>
        <v/>
      </c>
      <c r="BS96">
        <f>IF(M95&lt;=0,0,MIN(M95+BR96,$F$15+BQ96))</f>
        <v/>
      </c>
      <c r="BT96">
        <f>IF(M95&lt;=0,BQ96,MAX(0,$F$15+BQ96-M95-BR96))</f>
        <v/>
      </c>
      <c r="BU96">
        <f>IF(N95&lt;=0,0,N95*$E$16/12)</f>
        <v/>
      </c>
      <c r="BV96">
        <f>IF(N95&lt;=0,0,MIN(N95+BU96,$F$16+BT96))</f>
        <v/>
      </c>
      <c r="BW96">
        <f>IF(N95&lt;=0,BT96,MAX(0,$F$16+BT96-N95-BU96))</f>
        <v/>
      </c>
      <c r="BX96">
        <f>IF(O95&lt;=0,0,O95*$E$17/12)</f>
        <v/>
      </c>
      <c r="BY96">
        <f>IF(O95&lt;=0,0,MIN(O95+BX96,$F$17+BW96))</f>
        <v/>
      </c>
      <c r="BZ96">
        <f>IF(O95&lt;=0,BW96,MAX(0,$F$17+BW96-O95-BX96))</f>
        <v/>
      </c>
      <c r="CA96">
        <f>IF(P95&lt;=0,0,P95*$E$18/12)</f>
        <v/>
      </c>
      <c r="CB96">
        <f>IF(P95&lt;=0,0,MIN(P95+CA96,$F$18+BZ96))</f>
        <v/>
      </c>
      <c r="CC96">
        <f>IF(P95&lt;=0,BZ96,MAX(0,$F$18+BZ96-P95-CA96))</f>
        <v/>
      </c>
      <c r="CD96">
        <f>IF(Q95&lt;=0,0,Q95*$E$19/12)</f>
        <v/>
      </c>
      <c r="CE96">
        <f>IF(Q95&lt;=0,0,MIN(Q95+CD96,$F$19+CC96))</f>
        <v/>
      </c>
      <c r="CF96">
        <f>IF(Q95&lt;=0,CC96,MAX(0,$F$19+CC96-Q95-CD96))</f>
        <v/>
      </c>
      <c r="CG96">
        <f>IF(R95&lt;=0,0,R95*$E$20/12)</f>
        <v/>
      </c>
      <c r="CH96">
        <f>IF(R95&lt;=0,0,MIN(R95+CG96,$F$20+CF96))</f>
        <v/>
      </c>
      <c r="CI96">
        <f>IF(R95&lt;=0,CF96,MAX(0,$F$20+CF96-R95-CG96))</f>
        <v/>
      </c>
      <c r="CJ96">
        <f>IF(S95&lt;=0,0,S95*$E$21/12)</f>
        <v/>
      </c>
      <c r="CK96">
        <f>IF(S95&lt;=0,0,MIN(S95+CJ96,$F$21+CI96))</f>
        <v/>
      </c>
      <c r="CL96">
        <f>IF(S95&lt;=0,CI96,MAX(0,$F$21+CI96-S95-CJ96))</f>
        <v/>
      </c>
      <c r="CM96">
        <f>IF(T95&lt;=0,0,T95*$E$22/12)</f>
        <v/>
      </c>
      <c r="CN96">
        <f>IF(T95&lt;=0,0,MIN(T95+CM96,$F$22+CL96))</f>
        <v/>
      </c>
      <c r="CO96">
        <f>IF(T95&lt;=0,CL96,MAX(0,$F$22+CL96-T95-CM96))</f>
        <v/>
      </c>
      <c r="CP96">
        <f>IF(U95&lt;=0,0,U95*$E$23/12)</f>
        <v/>
      </c>
      <c r="CQ96">
        <f>IF(U95&lt;=0,0,MIN(U95+CP96,$F$23+CO96))</f>
        <v/>
      </c>
      <c r="CR96">
        <f>IF(U95&lt;=0,CO96,MAX(0,$F$23+CO96-U95-CP96))</f>
        <v/>
      </c>
      <c r="CS96">
        <f>IF(V95&lt;=0,0,V95*$E$24/12)</f>
        <v/>
      </c>
      <c r="CT96">
        <f>IF(V95&lt;=0,0,MIN(V95+CS96,$F$24+CR96))</f>
        <v/>
      </c>
      <c r="CU96">
        <f>IF(V95&lt;=0,CR96,MAX(0,$F$24+CR96-V95-CS96))</f>
        <v/>
      </c>
    </row>
    <row r="97">
      <c r="B97" s="39" t="n">
        <v>71</v>
      </c>
      <c r="C97" s="13">
        <f>IF(C96&lt;=0,0,MAX(0,C96+AN97-AO97))</f>
        <v/>
      </c>
      <c r="D97" s="13">
        <f>IF(D96&lt;=0,0,MAX(0,D96+AQ97-AR97))</f>
        <v/>
      </c>
      <c r="E97" s="13">
        <f>IF(E96&lt;=0,0,MAX(0,E96+AT97-AU97))</f>
        <v/>
      </c>
      <c r="F97" s="13">
        <f>IF(F96&lt;=0,0,MAX(0,F96+AW97-AX97))</f>
        <v/>
      </c>
      <c r="G97" s="13">
        <f>IF(G96&lt;=0,0,MAX(0,G96+AZ97-BA97))</f>
        <v/>
      </c>
      <c r="H97" s="13">
        <f>IF(H96&lt;=0,0,MAX(0,H96+BC97-BD97))</f>
        <v/>
      </c>
      <c r="I97" s="13">
        <f>IF(I96&lt;=0,0,MAX(0,I96+BF97-BG97))</f>
        <v/>
      </c>
      <c r="J97" s="13">
        <f>IF(J96&lt;=0,0,MAX(0,J96+BI97-BJ97))</f>
        <v/>
      </c>
      <c r="K97" s="13">
        <f>IF(K96&lt;=0,0,MAX(0,K96+BL97-BM97))</f>
        <v/>
      </c>
      <c r="L97" s="13">
        <f>IF(L96&lt;=0,0,MAX(0,L96+BO97-BP97))</f>
        <v/>
      </c>
      <c r="M97" s="13">
        <f>IF(M96&lt;=0,0,MAX(0,M96+BR97-BS97))</f>
        <v/>
      </c>
      <c r="N97" s="13">
        <f>IF(N96&lt;=0,0,MAX(0,N96+BU97-BV97))</f>
        <v/>
      </c>
      <c r="O97" s="13">
        <f>IF(O96&lt;=0,0,MAX(0,O96+BX97-BY97))</f>
        <v/>
      </c>
      <c r="P97" s="13">
        <f>IF(P96&lt;=0,0,MAX(0,P96+CA97-CB97))</f>
        <v/>
      </c>
      <c r="Q97" s="13">
        <f>IF(Q96&lt;=0,0,MAX(0,Q96+CD97-CE97))</f>
        <v/>
      </c>
      <c r="R97" s="13">
        <f>IF(R96&lt;=0,0,MAX(0,R96+CG97-CH97))</f>
        <v/>
      </c>
      <c r="S97" s="13">
        <f>IF(S96&lt;=0,0,MAX(0,S96+CJ97-CK97))</f>
        <v/>
      </c>
      <c r="T97" s="13">
        <f>IF(T96&lt;=0,0,MAX(0,T96+CM97-CN97))</f>
        <v/>
      </c>
      <c r="U97" s="13">
        <f>IF(U96&lt;=0,0,MAX(0,U96+CP97-CQ97))</f>
        <v/>
      </c>
      <c r="V97" s="13">
        <f>IF(V96&lt;=0,0,MAX(0,V96+CS97-CT97))</f>
        <v/>
      </c>
      <c r="W97" s="13">
        <f>AO97+AR97+AU97+AX97+BA97+BD97+BG97+BJ97+BM97+BP97+BS97+BV97+BY97+CB97+CE97+CH97+CK97+CN97+CQ97+CT97</f>
        <v/>
      </c>
      <c r="X97" s="13">
        <f>AN97+AQ97+AT97+AW97+AZ97+BC97+BF97+BI97+BL97+BO97+BR97+BU97+BX97+CA97+CD97+CG97+CJ97+CM97+CP97+CS97</f>
        <v/>
      </c>
      <c r="Y97" s="27">
        <f>C97+D97+E97+F97+G97+H97+I97+J97+K97+L97+M97+N97+O97+P97+Q97+R97+S97+T97+U97+V97</f>
        <v/>
      </c>
      <c r="AN97">
        <f>IF(C96&lt;=0,0,C96*$E$5/12)</f>
        <v/>
      </c>
      <c r="AO97">
        <f>IF(C96&lt;=0,0,MIN(C96+AN97,$F$5+(Dashboard!$C$11+IF(C96&lt;=0,$F$5,0)+IF(D96&lt;=0,$F$6,0)+IF(E96&lt;=0,$F$7,0)+IF(F96&lt;=0,$F$8,0)+IF(G96&lt;=0,$F$9,0)+IF(H96&lt;=0,$F$10,0)+IF(I96&lt;=0,$F$11,0)+IF(J96&lt;=0,$F$12,0)+IF(K96&lt;=0,$F$13,0)+IF(L96&lt;=0,$F$14,0)+IF(M96&lt;=0,$F$15,0)+IF(N96&lt;=0,$F$16,0)+IF(O96&lt;=0,$F$17,0)+IF(P96&lt;=0,$F$18,0)+IF(Q96&lt;=0,$F$19,0)+IF(R96&lt;=0,$F$20,0)+IF(S96&lt;=0,$F$21,0)+IF(T96&lt;=0,$F$22,0)+IF(U96&lt;=0,$F$23,0)+IF(V96&lt;=0,$F$24,0))))</f>
        <v/>
      </c>
      <c r="AP97">
        <f>IF(C96&lt;=0,(Dashboard!$C$11+IF(C96&lt;=0,$F$5,0)+IF(D96&lt;=0,$F$6,0)+IF(E96&lt;=0,$F$7,0)+IF(F96&lt;=0,$F$8,0)+IF(G96&lt;=0,$F$9,0)+IF(H96&lt;=0,$F$10,0)+IF(I96&lt;=0,$F$11,0)+IF(J96&lt;=0,$F$12,0)+IF(K96&lt;=0,$F$13,0)+IF(L96&lt;=0,$F$14,0)+IF(M96&lt;=0,$F$15,0)+IF(N96&lt;=0,$F$16,0)+IF(O96&lt;=0,$F$17,0)+IF(P96&lt;=0,$F$18,0)+IF(Q96&lt;=0,$F$19,0)+IF(R96&lt;=0,$F$20,0)+IF(S96&lt;=0,$F$21,0)+IF(T96&lt;=0,$F$22,0)+IF(U96&lt;=0,$F$23,0)+IF(V96&lt;=0,$F$24,0)),MAX(0,$F$5+(Dashboard!$C$11+IF(C96&lt;=0,$F$5,0)+IF(D96&lt;=0,$F$6,0)+IF(E96&lt;=0,$F$7,0)+IF(F96&lt;=0,$F$8,0)+IF(G96&lt;=0,$F$9,0)+IF(H96&lt;=0,$F$10,0)+IF(I96&lt;=0,$F$11,0)+IF(J96&lt;=0,$F$12,0)+IF(K96&lt;=0,$F$13,0)+IF(L96&lt;=0,$F$14,0)+IF(M96&lt;=0,$F$15,0)+IF(N96&lt;=0,$F$16,0)+IF(O96&lt;=0,$F$17,0)+IF(P96&lt;=0,$F$18,0)+IF(Q96&lt;=0,$F$19,0)+IF(R96&lt;=0,$F$20,0)+IF(S96&lt;=0,$F$21,0)+IF(T96&lt;=0,$F$22,0)+IF(U96&lt;=0,$F$23,0)+IF(V96&lt;=0,$F$24,0))-C96-AN97))</f>
        <v/>
      </c>
      <c r="AQ97">
        <f>IF(D96&lt;=0,0,D96*$E$6/12)</f>
        <v/>
      </c>
      <c r="AR97">
        <f>IF(D96&lt;=0,0,MIN(D96+AQ97,$F$6+AP97))</f>
        <v/>
      </c>
      <c r="AS97">
        <f>IF(D96&lt;=0,AP97,MAX(0,$F$6+AP97-D96-AQ97))</f>
        <v/>
      </c>
      <c r="AT97">
        <f>IF(E96&lt;=0,0,E96*$E$7/12)</f>
        <v/>
      </c>
      <c r="AU97">
        <f>IF(E96&lt;=0,0,MIN(E96+AT97,$F$7+AS97))</f>
        <v/>
      </c>
      <c r="AV97">
        <f>IF(E96&lt;=0,AS97,MAX(0,$F$7+AS97-E96-AT97))</f>
        <v/>
      </c>
      <c r="AW97">
        <f>IF(F96&lt;=0,0,F96*$E$8/12)</f>
        <v/>
      </c>
      <c r="AX97">
        <f>IF(F96&lt;=0,0,MIN(F96+AW97,$F$8+AV97))</f>
        <v/>
      </c>
      <c r="AY97">
        <f>IF(F96&lt;=0,AV97,MAX(0,$F$8+AV97-F96-AW97))</f>
        <v/>
      </c>
      <c r="AZ97">
        <f>IF(G96&lt;=0,0,G96*$E$9/12)</f>
        <v/>
      </c>
      <c r="BA97">
        <f>IF(G96&lt;=0,0,MIN(G96+AZ97,$F$9+AY97))</f>
        <v/>
      </c>
      <c r="BB97">
        <f>IF(G96&lt;=0,AY97,MAX(0,$F$9+AY97-G96-AZ97))</f>
        <v/>
      </c>
      <c r="BC97">
        <f>IF(H96&lt;=0,0,H96*$E$10/12)</f>
        <v/>
      </c>
      <c r="BD97">
        <f>IF(H96&lt;=0,0,MIN(H96+BC97,$F$10+BB97))</f>
        <v/>
      </c>
      <c r="BE97">
        <f>IF(H96&lt;=0,BB97,MAX(0,$F$10+BB97-H96-BC97))</f>
        <v/>
      </c>
      <c r="BF97">
        <f>IF(I96&lt;=0,0,I96*$E$11/12)</f>
        <v/>
      </c>
      <c r="BG97">
        <f>IF(I96&lt;=0,0,MIN(I96+BF97,$F$11+BE97))</f>
        <v/>
      </c>
      <c r="BH97">
        <f>IF(I96&lt;=0,BE97,MAX(0,$F$11+BE97-I96-BF97))</f>
        <v/>
      </c>
      <c r="BI97">
        <f>IF(J96&lt;=0,0,J96*$E$12/12)</f>
        <v/>
      </c>
      <c r="BJ97">
        <f>IF(J96&lt;=0,0,MIN(J96+BI97,$F$12+BH97))</f>
        <v/>
      </c>
      <c r="BK97">
        <f>IF(J96&lt;=0,BH97,MAX(0,$F$12+BH97-J96-BI97))</f>
        <v/>
      </c>
      <c r="BL97">
        <f>IF(K96&lt;=0,0,K96*$E$13/12)</f>
        <v/>
      </c>
      <c r="BM97">
        <f>IF(K96&lt;=0,0,MIN(K96+BL97,$F$13+BK97))</f>
        <v/>
      </c>
      <c r="BN97">
        <f>IF(K96&lt;=0,BK97,MAX(0,$F$13+BK97-K96-BL97))</f>
        <v/>
      </c>
      <c r="BO97">
        <f>IF(L96&lt;=0,0,L96*$E$14/12)</f>
        <v/>
      </c>
      <c r="BP97">
        <f>IF(L96&lt;=0,0,MIN(L96+BO97,$F$14+BN97))</f>
        <v/>
      </c>
      <c r="BQ97">
        <f>IF(L96&lt;=0,BN97,MAX(0,$F$14+BN97-L96-BO97))</f>
        <v/>
      </c>
      <c r="BR97">
        <f>IF(M96&lt;=0,0,M96*$E$15/12)</f>
        <v/>
      </c>
      <c r="BS97">
        <f>IF(M96&lt;=0,0,MIN(M96+BR97,$F$15+BQ97))</f>
        <v/>
      </c>
      <c r="BT97">
        <f>IF(M96&lt;=0,BQ97,MAX(0,$F$15+BQ97-M96-BR97))</f>
        <v/>
      </c>
      <c r="BU97">
        <f>IF(N96&lt;=0,0,N96*$E$16/12)</f>
        <v/>
      </c>
      <c r="BV97">
        <f>IF(N96&lt;=0,0,MIN(N96+BU97,$F$16+BT97))</f>
        <v/>
      </c>
      <c r="BW97">
        <f>IF(N96&lt;=0,BT97,MAX(0,$F$16+BT97-N96-BU97))</f>
        <v/>
      </c>
      <c r="BX97">
        <f>IF(O96&lt;=0,0,O96*$E$17/12)</f>
        <v/>
      </c>
      <c r="BY97">
        <f>IF(O96&lt;=0,0,MIN(O96+BX97,$F$17+BW97))</f>
        <v/>
      </c>
      <c r="BZ97">
        <f>IF(O96&lt;=0,BW97,MAX(0,$F$17+BW97-O96-BX97))</f>
        <v/>
      </c>
      <c r="CA97">
        <f>IF(P96&lt;=0,0,P96*$E$18/12)</f>
        <v/>
      </c>
      <c r="CB97">
        <f>IF(P96&lt;=0,0,MIN(P96+CA97,$F$18+BZ97))</f>
        <v/>
      </c>
      <c r="CC97">
        <f>IF(P96&lt;=0,BZ97,MAX(0,$F$18+BZ97-P96-CA97))</f>
        <v/>
      </c>
      <c r="CD97">
        <f>IF(Q96&lt;=0,0,Q96*$E$19/12)</f>
        <v/>
      </c>
      <c r="CE97">
        <f>IF(Q96&lt;=0,0,MIN(Q96+CD97,$F$19+CC97))</f>
        <v/>
      </c>
      <c r="CF97">
        <f>IF(Q96&lt;=0,CC97,MAX(0,$F$19+CC97-Q96-CD97))</f>
        <v/>
      </c>
      <c r="CG97">
        <f>IF(R96&lt;=0,0,R96*$E$20/12)</f>
        <v/>
      </c>
      <c r="CH97">
        <f>IF(R96&lt;=0,0,MIN(R96+CG97,$F$20+CF97))</f>
        <v/>
      </c>
      <c r="CI97">
        <f>IF(R96&lt;=0,CF97,MAX(0,$F$20+CF97-R96-CG97))</f>
        <v/>
      </c>
      <c r="CJ97">
        <f>IF(S96&lt;=0,0,S96*$E$21/12)</f>
        <v/>
      </c>
      <c r="CK97">
        <f>IF(S96&lt;=0,0,MIN(S96+CJ97,$F$21+CI97))</f>
        <v/>
      </c>
      <c r="CL97">
        <f>IF(S96&lt;=0,CI97,MAX(0,$F$21+CI97-S96-CJ97))</f>
        <v/>
      </c>
      <c r="CM97">
        <f>IF(T96&lt;=0,0,T96*$E$22/12)</f>
        <v/>
      </c>
      <c r="CN97">
        <f>IF(T96&lt;=0,0,MIN(T96+CM97,$F$22+CL97))</f>
        <v/>
      </c>
      <c r="CO97">
        <f>IF(T96&lt;=0,CL97,MAX(0,$F$22+CL97-T96-CM97))</f>
        <v/>
      </c>
      <c r="CP97">
        <f>IF(U96&lt;=0,0,U96*$E$23/12)</f>
        <v/>
      </c>
      <c r="CQ97">
        <f>IF(U96&lt;=0,0,MIN(U96+CP97,$F$23+CO97))</f>
        <v/>
      </c>
      <c r="CR97">
        <f>IF(U96&lt;=0,CO97,MAX(0,$F$23+CO97-U96-CP97))</f>
        <v/>
      </c>
      <c r="CS97">
        <f>IF(V96&lt;=0,0,V96*$E$24/12)</f>
        <v/>
      </c>
      <c r="CT97">
        <f>IF(V96&lt;=0,0,MIN(V96+CS97,$F$24+CR97))</f>
        <v/>
      </c>
      <c r="CU97">
        <f>IF(V96&lt;=0,CR97,MAX(0,$F$24+CR97-V96-CS97))</f>
        <v/>
      </c>
    </row>
    <row r="98">
      <c r="B98" s="39" t="n">
        <v>72</v>
      </c>
      <c r="C98" s="13">
        <f>IF(C97&lt;=0,0,MAX(0,C97+AN98-AO98))</f>
        <v/>
      </c>
      <c r="D98" s="13">
        <f>IF(D97&lt;=0,0,MAX(0,D97+AQ98-AR98))</f>
        <v/>
      </c>
      <c r="E98" s="13">
        <f>IF(E97&lt;=0,0,MAX(0,E97+AT98-AU98))</f>
        <v/>
      </c>
      <c r="F98" s="13">
        <f>IF(F97&lt;=0,0,MAX(0,F97+AW98-AX98))</f>
        <v/>
      </c>
      <c r="G98" s="13">
        <f>IF(G97&lt;=0,0,MAX(0,G97+AZ98-BA98))</f>
        <v/>
      </c>
      <c r="H98" s="13">
        <f>IF(H97&lt;=0,0,MAX(0,H97+BC98-BD98))</f>
        <v/>
      </c>
      <c r="I98" s="13">
        <f>IF(I97&lt;=0,0,MAX(0,I97+BF98-BG98))</f>
        <v/>
      </c>
      <c r="J98" s="13">
        <f>IF(J97&lt;=0,0,MAX(0,J97+BI98-BJ98))</f>
        <v/>
      </c>
      <c r="K98" s="13">
        <f>IF(K97&lt;=0,0,MAX(0,K97+BL98-BM98))</f>
        <v/>
      </c>
      <c r="L98" s="13">
        <f>IF(L97&lt;=0,0,MAX(0,L97+BO98-BP98))</f>
        <v/>
      </c>
      <c r="M98" s="13">
        <f>IF(M97&lt;=0,0,MAX(0,M97+BR98-BS98))</f>
        <v/>
      </c>
      <c r="N98" s="13">
        <f>IF(N97&lt;=0,0,MAX(0,N97+BU98-BV98))</f>
        <v/>
      </c>
      <c r="O98" s="13">
        <f>IF(O97&lt;=0,0,MAX(0,O97+BX98-BY98))</f>
        <v/>
      </c>
      <c r="P98" s="13">
        <f>IF(P97&lt;=0,0,MAX(0,P97+CA98-CB98))</f>
        <v/>
      </c>
      <c r="Q98" s="13">
        <f>IF(Q97&lt;=0,0,MAX(0,Q97+CD98-CE98))</f>
        <v/>
      </c>
      <c r="R98" s="13">
        <f>IF(R97&lt;=0,0,MAX(0,R97+CG98-CH98))</f>
        <v/>
      </c>
      <c r="S98" s="13">
        <f>IF(S97&lt;=0,0,MAX(0,S97+CJ98-CK98))</f>
        <v/>
      </c>
      <c r="T98" s="13">
        <f>IF(T97&lt;=0,0,MAX(0,T97+CM98-CN98))</f>
        <v/>
      </c>
      <c r="U98" s="13">
        <f>IF(U97&lt;=0,0,MAX(0,U97+CP98-CQ98))</f>
        <v/>
      </c>
      <c r="V98" s="13">
        <f>IF(V97&lt;=0,0,MAX(0,V97+CS98-CT98))</f>
        <v/>
      </c>
      <c r="W98" s="13">
        <f>AO98+AR98+AU98+AX98+BA98+BD98+BG98+BJ98+BM98+BP98+BS98+BV98+BY98+CB98+CE98+CH98+CK98+CN98+CQ98+CT98</f>
        <v/>
      </c>
      <c r="X98" s="13">
        <f>AN98+AQ98+AT98+AW98+AZ98+BC98+BF98+BI98+BL98+BO98+BR98+BU98+BX98+CA98+CD98+CG98+CJ98+CM98+CP98+CS98</f>
        <v/>
      </c>
      <c r="Y98" s="27">
        <f>C98+D98+E98+F98+G98+H98+I98+J98+K98+L98+M98+N98+O98+P98+Q98+R98+S98+T98+U98+V98</f>
        <v/>
      </c>
      <c r="AN98">
        <f>IF(C97&lt;=0,0,C97*$E$5/12)</f>
        <v/>
      </c>
      <c r="AO98">
        <f>IF(C97&lt;=0,0,MIN(C97+AN98,$F$5+(Dashboard!$C$11+IF(C97&lt;=0,$F$5,0)+IF(D97&lt;=0,$F$6,0)+IF(E97&lt;=0,$F$7,0)+IF(F97&lt;=0,$F$8,0)+IF(G97&lt;=0,$F$9,0)+IF(H97&lt;=0,$F$10,0)+IF(I97&lt;=0,$F$11,0)+IF(J97&lt;=0,$F$12,0)+IF(K97&lt;=0,$F$13,0)+IF(L97&lt;=0,$F$14,0)+IF(M97&lt;=0,$F$15,0)+IF(N97&lt;=0,$F$16,0)+IF(O97&lt;=0,$F$17,0)+IF(P97&lt;=0,$F$18,0)+IF(Q97&lt;=0,$F$19,0)+IF(R97&lt;=0,$F$20,0)+IF(S97&lt;=0,$F$21,0)+IF(T97&lt;=0,$F$22,0)+IF(U97&lt;=0,$F$23,0)+IF(V97&lt;=0,$F$24,0))))</f>
        <v/>
      </c>
      <c r="AP98">
        <f>IF(C97&lt;=0,(Dashboard!$C$11+IF(C97&lt;=0,$F$5,0)+IF(D97&lt;=0,$F$6,0)+IF(E97&lt;=0,$F$7,0)+IF(F97&lt;=0,$F$8,0)+IF(G97&lt;=0,$F$9,0)+IF(H97&lt;=0,$F$10,0)+IF(I97&lt;=0,$F$11,0)+IF(J97&lt;=0,$F$12,0)+IF(K97&lt;=0,$F$13,0)+IF(L97&lt;=0,$F$14,0)+IF(M97&lt;=0,$F$15,0)+IF(N97&lt;=0,$F$16,0)+IF(O97&lt;=0,$F$17,0)+IF(P97&lt;=0,$F$18,0)+IF(Q97&lt;=0,$F$19,0)+IF(R97&lt;=0,$F$20,0)+IF(S97&lt;=0,$F$21,0)+IF(T97&lt;=0,$F$22,0)+IF(U97&lt;=0,$F$23,0)+IF(V97&lt;=0,$F$24,0)),MAX(0,$F$5+(Dashboard!$C$11+IF(C97&lt;=0,$F$5,0)+IF(D97&lt;=0,$F$6,0)+IF(E97&lt;=0,$F$7,0)+IF(F97&lt;=0,$F$8,0)+IF(G97&lt;=0,$F$9,0)+IF(H97&lt;=0,$F$10,0)+IF(I97&lt;=0,$F$11,0)+IF(J97&lt;=0,$F$12,0)+IF(K97&lt;=0,$F$13,0)+IF(L97&lt;=0,$F$14,0)+IF(M97&lt;=0,$F$15,0)+IF(N97&lt;=0,$F$16,0)+IF(O97&lt;=0,$F$17,0)+IF(P97&lt;=0,$F$18,0)+IF(Q97&lt;=0,$F$19,0)+IF(R97&lt;=0,$F$20,0)+IF(S97&lt;=0,$F$21,0)+IF(T97&lt;=0,$F$22,0)+IF(U97&lt;=0,$F$23,0)+IF(V97&lt;=0,$F$24,0))-C97-AN98))</f>
        <v/>
      </c>
      <c r="AQ98">
        <f>IF(D97&lt;=0,0,D97*$E$6/12)</f>
        <v/>
      </c>
      <c r="AR98">
        <f>IF(D97&lt;=0,0,MIN(D97+AQ98,$F$6+AP98))</f>
        <v/>
      </c>
      <c r="AS98">
        <f>IF(D97&lt;=0,AP98,MAX(0,$F$6+AP98-D97-AQ98))</f>
        <v/>
      </c>
      <c r="AT98">
        <f>IF(E97&lt;=0,0,E97*$E$7/12)</f>
        <v/>
      </c>
      <c r="AU98">
        <f>IF(E97&lt;=0,0,MIN(E97+AT98,$F$7+AS98))</f>
        <v/>
      </c>
      <c r="AV98">
        <f>IF(E97&lt;=0,AS98,MAX(0,$F$7+AS98-E97-AT98))</f>
        <v/>
      </c>
      <c r="AW98">
        <f>IF(F97&lt;=0,0,F97*$E$8/12)</f>
        <v/>
      </c>
      <c r="AX98">
        <f>IF(F97&lt;=0,0,MIN(F97+AW98,$F$8+AV98))</f>
        <v/>
      </c>
      <c r="AY98">
        <f>IF(F97&lt;=0,AV98,MAX(0,$F$8+AV98-F97-AW98))</f>
        <v/>
      </c>
      <c r="AZ98">
        <f>IF(G97&lt;=0,0,G97*$E$9/12)</f>
        <v/>
      </c>
      <c r="BA98">
        <f>IF(G97&lt;=0,0,MIN(G97+AZ98,$F$9+AY98))</f>
        <v/>
      </c>
      <c r="BB98">
        <f>IF(G97&lt;=0,AY98,MAX(0,$F$9+AY98-G97-AZ98))</f>
        <v/>
      </c>
      <c r="BC98">
        <f>IF(H97&lt;=0,0,H97*$E$10/12)</f>
        <v/>
      </c>
      <c r="BD98">
        <f>IF(H97&lt;=0,0,MIN(H97+BC98,$F$10+BB98))</f>
        <v/>
      </c>
      <c r="BE98">
        <f>IF(H97&lt;=0,BB98,MAX(0,$F$10+BB98-H97-BC98))</f>
        <v/>
      </c>
      <c r="BF98">
        <f>IF(I97&lt;=0,0,I97*$E$11/12)</f>
        <v/>
      </c>
      <c r="BG98">
        <f>IF(I97&lt;=0,0,MIN(I97+BF98,$F$11+BE98))</f>
        <v/>
      </c>
      <c r="BH98">
        <f>IF(I97&lt;=0,BE98,MAX(0,$F$11+BE98-I97-BF98))</f>
        <v/>
      </c>
      <c r="BI98">
        <f>IF(J97&lt;=0,0,J97*$E$12/12)</f>
        <v/>
      </c>
      <c r="BJ98">
        <f>IF(J97&lt;=0,0,MIN(J97+BI98,$F$12+BH98))</f>
        <v/>
      </c>
      <c r="BK98">
        <f>IF(J97&lt;=0,BH98,MAX(0,$F$12+BH98-J97-BI98))</f>
        <v/>
      </c>
      <c r="BL98">
        <f>IF(K97&lt;=0,0,K97*$E$13/12)</f>
        <v/>
      </c>
      <c r="BM98">
        <f>IF(K97&lt;=0,0,MIN(K97+BL98,$F$13+BK98))</f>
        <v/>
      </c>
      <c r="BN98">
        <f>IF(K97&lt;=0,BK98,MAX(0,$F$13+BK98-K97-BL98))</f>
        <v/>
      </c>
      <c r="BO98">
        <f>IF(L97&lt;=0,0,L97*$E$14/12)</f>
        <v/>
      </c>
      <c r="BP98">
        <f>IF(L97&lt;=0,0,MIN(L97+BO98,$F$14+BN98))</f>
        <v/>
      </c>
      <c r="BQ98">
        <f>IF(L97&lt;=0,BN98,MAX(0,$F$14+BN98-L97-BO98))</f>
        <v/>
      </c>
      <c r="BR98">
        <f>IF(M97&lt;=0,0,M97*$E$15/12)</f>
        <v/>
      </c>
      <c r="BS98">
        <f>IF(M97&lt;=0,0,MIN(M97+BR98,$F$15+BQ98))</f>
        <v/>
      </c>
      <c r="BT98">
        <f>IF(M97&lt;=0,BQ98,MAX(0,$F$15+BQ98-M97-BR98))</f>
        <v/>
      </c>
      <c r="BU98">
        <f>IF(N97&lt;=0,0,N97*$E$16/12)</f>
        <v/>
      </c>
      <c r="BV98">
        <f>IF(N97&lt;=0,0,MIN(N97+BU98,$F$16+BT98))</f>
        <v/>
      </c>
      <c r="BW98">
        <f>IF(N97&lt;=0,BT98,MAX(0,$F$16+BT98-N97-BU98))</f>
        <v/>
      </c>
      <c r="BX98">
        <f>IF(O97&lt;=0,0,O97*$E$17/12)</f>
        <v/>
      </c>
      <c r="BY98">
        <f>IF(O97&lt;=0,0,MIN(O97+BX98,$F$17+BW98))</f>
        <v/>
      </c>
      <c r="BZ98">
        <f>IF(O97&lt;=0,BW98,MAX(0,$F$17+BW98-O97-BX98))</f>
        <v/>
      </c>
      <c r="CA98">
        <f>IF(P97&lt;=0,0,P97*$E$18/12)</f>
        <v/>
      </c>
      <c r="CB98">
        <f>IF(P97&lt;=0,0,MIN(P97+CA98,$F$18+BZ98))</f>
        <v/>
      </c>
      <c r="CC98">
        <f>IF(P97&lt;=0,BZ98,MAX(0,$F$18+BZ98-P97-CA98))</f>
        <v/>
      </c>
      <c r="CD98">
        <f>IF(Q97&lt;=0,0,Q97*$E$19/12)</f>
        <v/>
      </c>
      <c r="CE98">
        <f>IF(Q97&lt;=0,0,MIN(Q97+CD98,$F$19+CC98))</f>
        <v/>
      </c>
      <c r="CF98">
        <f>IF(Q97&lt;=0,CC98,MAX(0,$F$19+CC98-Q97-CD98))</f>
        <v/>
      </c>
      <c r="CG98">
        <f>IF(R97&lt;=0,0,R97*$E$20/12)</f>
        <v/>
      </c>
      <c r="CH98">
        <f>IF(R97&lt;=0,0,MIN(R97+CG98,$F$20+CF98))</f>
        <v/>
      </c>
      <c r="CI98">
        <f>IF(R97&lt;=0,CF98,MAX(0,$F$20+CF98-R97-CG98))</f>
        <v/>
      </c>
      <c r="CJ98">
        <f>IF(S97&lt;=0,0,S97*$E$21/12)</f>
        <v/>
      </c>
      <c r="CK98">
        <f>IF(S97&lt;=0,0,MIN(S97+CJ98,$F$21+CI98))</f>
        <v/>
      </c>
      <c r="CL98">
        <f>IF(S97&lt;=0,CI98,MAX(0,$F$21+CI98-S97-CJ98))</f>
        <v/>
      </c>
      <c r="CM98">
        <f>IF(T97&lt;=0,0,T97*$E$22/12)</f>
        <v/>
      </c>
      <c r="CN98">
        <f>IF(T97&lt;=0,0,MIN(T97+CM98,$F$22+CL98))</f>
        <v/>
      </c>
      <c r="CO98">
        <f>IF(T97&lt;=0,CL98,MAX(0,$F$22+CL98-T97-CM98))</f>
        <v/>
      </c>
      <c r="CP98">
        <f>IF(U97&lt;=0,0,U97*$E$23/12)</f>
        <v/>
      </c>
      <c r="CQ98">
        <f>IF(U97&lt;=0,0,MIN(U97+CP98,$F$23+CO98))</f>
        <v/>
      </c>
      <c r="CR98">
        <f>IF(U97&lt;=0,CO98,MAX(0,$F$23+CO98-U97-CP98))</f>
        <v/>
      </c>
      <c r="CS98">
        <f>IF(V97&lt;=0,0,V97*$E$24/12)</f>
        <v/>
      </c>
      <c r="CT98">
        <f>IF(V97&lt;=0,0,MIN(V97+CS98,$F$24+CR98))</f>
        <v/>
      </c>
      <c r="CU98">
        <f>IF(V97&lt;=0,CR98,MAX(0,$F$24+CR98-V97-CS98))</f>
        <v/>
      </c>
    </row>
    <row r="99">
      <c r="B99" s="39" t="n">
        <v>73</v>
      </c>
      <c r="C99" s="13">
        <f>IF(C98&lt;=0,0,MAX(0,C98+AN99-AO99))</f>
        <v/>
      </c>
      <c r="D99" s="13">
        <f>IF(D98&lt;=0,0,MAX(0,D98+AQ99-AR99))</f>
        <v/>
      </c>
      <c r="E99" s="13">
        <f>IF(E98&lt;=0,0,MAX(0,E98+AT99-AU99))</f>
        <v/>
      </c>
      <c r="F99" s="13">
        <f>IF(F98&lt;=0,0,MAX(0,F98+AW99-AX99))</f>
        <v/>
      </c>
      <c r="G99" s="13">
        <f>IF(G98&lt;=0,0,MAX(0,G98+AZ99-BA99))</f>
        <v/>
      </c>
      <c r="H99" s="13">
        <f>IF(H98&lt;=0,0,MAX(0,H98+BC99-BD99))</f>
        <v/>
      </c>
      <c r="I99" s="13">
        <f>IF(I98&lt;=0,0,MAX(0,I98+BF99-BG99))</f>
        <v/>
      </c>
      <c r="J99" s="13">
        <f>IF(J98&lt;=0,0,MAX(0,J98+BI99-BJ99))</f>
        <v/>
      </c>
      <c r="K99" s="13">
        <f>IF(K98&lt;=0,0,MAX(0,K98+BL99-BM99))</f>
        <v/>
      </c>
      <c r="L99" s="13">
        <f>IF(L98&lt;=0,0,MAX(0,L98+BO99-BP99))</f>
        <v/>
      </c>
      <c r="M99" s="13">
        <f>IF(M98&lt;=0,0,MAX(0,M98+BR99-BS99))</f>
        <v/>
      </c>
      <c r="N99" s="13">
        <f>IF(N98&lt;=0,0,MAX(0,N98+BU99-BV99))</f>
        <v/>
      </c>
      <c r="O99" s="13">
        <f>IF(O98&lt;=0,0,MAX(0,O98+BX99-BY99))</f>
        <v/>
      </c>
      <c r="P99" s="13">
        <f>IF(P98&lt;=0,0,MAX(0,P98+CA99-CB99))</f>
        <v/>
      </c>
      <c r="Q99" s="13">
        <f>IF(Q98&lt;=0,0,MAX(0,Q98+CD99-CE99))</f>
        <v/>
      </c>
      <c r="R99" s="13">
        <f>IF(R98&lt;=0,0,MAX(0,R98+CG99-CH99))</f>
        <v/>
      </c>
      <c r="S99" s="13">
        <f>IF(S98&lt;=0,0,MAX(0,S98+CJ99-CK99))</f>
        <v/>
      </c>
      <c r="T99" s="13">
        <f>IF(T98&lt;=0,0,MAX(0,T98+CM99-CN99))</f>
        <v/>
      </c>
      <c r="U99" s="13">
        <f>IF(U98&lt;=0,0,MAX(0,U98+CP99-CQ99))</f>
        <v/>
      </c>
      <c r="V99" s="13">
        <f>IF(V98&lt;=0,0,MAX(0,V98+CS99-CT99))</f>
        <v/>
      </c>
      <c r="W99" s="13">
        <f>AO99+AR99+AU99+AX99+BA99+BD99+BG99+BJ99+BM99+BP99+BS99+BV99+BY99+CB99+CE99+CH99+CK99+CN99+CQ99+CT99</f>
        <v/>
      </c>
      <c r="X99" s="13">
        <f>AN99+AQ99+AT99+AW99+AZ99+BC99+BF99+BI99+BL99+BO99+BR99+BU99+BX99+CA99+CD99+CG99+CJ99+CM99+CP99+CS99</f>
        <v/>
      </c>
      <c r="Y99" s="27">
        <f>C99+D99+E99+F99+G99+H99+I99+J99+K99+L99+M99+N99+O99+P99+Q99+R99+S99+T99+U99+V99</f>
        <v/>
      </c>
      <c r="AN99">
        <f>IF(C98&lt;=0,0,C98*$E$5/12)</f>
        <v/>
      </c>
      <c r="AO99">
        <f>IF(C98&lt;=0,0,MIN(C98+AN99,$F$5+(Dashboard!$C$11+IF(C98&lt;=0,$F$5,0)+IF(D98&lt;=0,$F$6,0)+IF(E98&lt;=0,$F$7,0)+IF(F98&lt;=0,$F$8,0)+IF(G98&lt;=0,$F$9,0)+IF(H98&lt;=0,$F$10,0)+IF(I98&lt;=0,$F$11,0)+IF(J98&lt;=0,$F$12,0)+IF(K98&lt;=0,$F$13,0)+IF(L98&lt;=0,$F$14,0)+IF(M98&lt;=0,$F$15,0)+IF(N98&lt;=0,$F$16,0)+IF(O98&lt;=0,$F$17,0)+IF(P98&lt;=0,$F$18,0)+IF(Q98&lt;=0,$F$19,0)+IF(R98&lt;=0,$F$20,0)+IF(S98&lt;=0,$F$21,0)+IF(T98&lt;=0,$F$22,0)+IF(U98&lt;=0,$F$23,0)+IF(V98&lt;=0,$F$24,0))))</f>
        <v/>
      </c>
      <c r="AP99">
        <f>IF(C98&lt;=0,(Dashboard!$C$11+IF(C98&lt;=0,$F$5,0)+IF(D98&lt;=0,$F$6,0)+IF(E98&lt;=0,$F$7,0)+IF(F98&lt;=0,$F$8,0)+IF(G98&lt;=0,$F$9,0)+IF(H98&lt;=0,$F$10,0)+IF(I98&lt;=0,$F$11,0)+IF(J98&lt;=0,$F$12,0)+IF(K98&lt;=0,$F$13,0)+IF(L98&lt;=0,$F$14,0)+IF(M98&lt;=0,$F$15,0)+IF(N98&lt;=0,$F$16,0)+IF(O98&lt;=0,$F$17,0)+IF(P98&lt;=0,$F$18,0)+IF(Q98&lt;=0,$F$19,0)+IF(R98&lt;=0,$F$20,0)+IF(S98&lt;=0,$F$21,0)+IF(T98&lt;=0,$F$22,0)+IF(U98&lt;=0,$F$23,0)+IF(V98&lt;=0,$F$24,0)),MAX(0,$F$5+(Dashboard!$C$11+IF(C98&lt;=0,$F$5,0)+IF(D98&lt;=0,$F$6,0)+IF(E98&lt;=0,$F$7,0)+IF(F98&lt;=0,$F$8,0)+IF(G98&lt;=0,$F$9,0)+IF(H98&lt;=0,$F$10,0)+IF(I98&lt;=0,$F$11,0)+IF(J98&lt;=0,$F$12,0)+IF(K98&lt;=0,$F$13,0)+IF(L98&lt;=0,$F$14,0)+IF(M98&lt;=0,$F$15,0)+IF(N98&lt;=0,$F$16,0)+IF(O98&lt;=0,$F$17,0)+IF(P98&lt;=0,$F$18,0)+IF(Q98&lt;=0,$F$19,0)+IF(R98&lt;=0,$F$20,0)+IF(S98&lt;=0,$F$21,0)+IF(T98&lt;=0,$F$22,0)+IF(U98&lt;=0,$F$23,0)+IF(V98&lt;=0,$F$24,0))-C98-AN99))</f>
        <v/>
      </c>
      <c r="AQ99">
        <f>IF(D98&lt;=0,0,D98*$E$6/12)</f>
        <v/>
      </c>
      <c r="AR99">
        <f>IF(D98&lt;=0,0,MIN(D98+AQ99,$F$6+AP99))</f>
        <v/>
      </c>
      <c r="AS99">
        <f>IF(D98&lt;=0,AP99,MAX(0,$F$6+AP99-D98-AQ99))</f>
        <v/>
      </c>
      <c r="AT99">
        <f>IF(E98&lt;=0,0,E98*$E$7/12)</f>
        <v/>
      </c>
      <c r="AU99">
        <f>IF(E98&lt;=0,0,MIN(E98+AT99,$F$7+AS99))</f>
        <v/>
      </c>
      <c r="AV99">
        <f>IF(E98&lt;=0,AS99,MAX(0,$F$7+AS99-E98-AT99))</f>
        <v/>
      </c>
      <c r="AW99">
        <f>IF(F98&lt;=0,0,F98*$E$8/12)</f>
        <v/>
      </c>
      <c r="AX99">
        <f>IF(F98&lt;=0,0,MIN(F98+AW99,$F$8+AV99))</f>
        <v/>
      </c>
      <c r="AY99">
        <f>IF(F98&lt;=0,AV99,MAX(0,$F$8+AV99-F98-AW99))</f>
        <v/>
      </c>
      <c r="AZ99">
        <f>IF(G98&lt;=0,0,G98*$E$9/12)</f>
        <v/>
      </c>
      <c r="BA99">
        <f>IF(G98&lt;=0,0,MIN(G98+AZ99,$F$9+AY99))</f>
        <v/>
      </c>
      <c r="BB99">
        <f>IF(G98&lt;=0,AY99,MAX(0,$F$9+AY99-G98-AZ99))</f>
        <v/>
      </c>
      <c r="BC99">
        <f>IF(H98&lt;=0,0,H98*$E$10/12)</f>
        <v/>
      </c>
      <c r="BD99">
        <f>IF(H98&lt;=0,0,MIN(H98+BC99,$F$10+BB99))</f>
        <v/>
      </c>
      <c r="BE99">
        <f>IF(H98&lt;=0,BB99,MAX(0,$F$10+BB99-H98-BC99))</f>
        <v/>
      </c>
      <c r="BF99">
        <f>IF(I98&lt;=0,0,I98*$E$11/12)</f>
        <v/>
      </c>
      <c r="BG99">
        <f>IF(I98&lt;=0,0,MIN(I98+BF99,$F$11+BE99))</f>
        <v/>
      </c>
      <c r="BH99">
        <f>IF(I98&lt;=0,BE99,MAX(0,$F$11+BE99-I98-BF99))</f>
        <v/>
      </c>
      <c r="BI99">
        <f>IF(J98&lt;=0,0,J98*$E$12/12)</f>
        <v/>
      </c>
      <c r="BJ99">
        <f>IF(J98&lt;=0,0,MIN(J98+BI99,$F$12+BH99))</f>
        <v/>
      </c>
      <c r="BK99">
        <f>IF(J98&lt;=0,BH99,MAX(0,$F$12+BH99-J98-BI99))</f>
        <v/>
      </c>
      <c r="BL99">
        <f>IF(K98&lt;=0,0,K98*$E$13/12)</f>
        <v/>
      </c>
      <c r="BM99">
        <f>IF(K98&lt;=0,0,MIN(K98+BL99,$F$13+BK99))</f>
        <v/>
      </c>
      <c r="BN99">
        <f>IF(K98&lt;=0,BK99,MAX(0,$F$13+BK99-K98-BL99))</f>
        <v/>
      </c>
      <c r="BO99">
        <f>IF(L98&lt;=0,0,L98*$E$14/12)</f>
        <v/>
      </c>
      <c r="BP99">
        <f>IF(L98&lt;=0,0,MIN(L98+BO99,$F$14+BN99))</f>
        <v/>
      </c>
      <c r="BQ99">
        <f>IF(L98&lt;=0,BN99,MAX(0,$F$14+BN99-L98-BO99))</f>
        <v/>
      </c>
      <c r="BR99">
        <f>IF(M98&lt;=0,0,M98*$E$15/12)</f>
        <v/>
      </c>
      <c r="BS99">
        <f>IF(M98&lt;=0,0,MIN(M98+BR99,$F$15+BQ99))</f>
        <v/>
      </c>
      <c r="BT99">
        <f>IF(M98&lt;=0,BQ99,MAX(0,$F$15+BQ99-M98-BR99))</f>
        <v/>
      </c>
      <c r="BU99">
        <f>IF(N98&lt;=0,0,N98*$E$16/12)</f>
        <v/>
      </c>
      <c r="BV99">
        <f>IF(N98&lt;=0,0,MIN(N98+BU99,$F$16+BT99))</f>
        <v/>
      </c>
      <c r="BW99">
        <f>IF(N98&lt;=0,BT99,MAX(0,$F$16+BT99-N98-BU99))</f>
        <v/>
      </c>
      <c r="BX99">
        <f>IF(O98&lt;=0,0,O98*$E$17/12)</f>
        <v/>
      </c>
      <c r="BY99">
        <f>IF(O98&lt;=0,0,MIN(O98+BX99,$F$17+BW99))</f>
        <v/>
      </c>
      <c r="BZ99">
        <f>IF(O98&lt;=0,BW99,MAX(0,$F$17+BW99-O98-BX99))</f>
        <v/>
      </c>
      <c r="CA99">
        <f>IF(P98&lt;=0,0,P98*$E$18/12)</f>
        <v/>
      </c>
      <c r="CB99">
        <f>IF(P98&lt;=0,0,MIN(P98+CA99,$F$18+BZ99))</f>
        <v/>
      </c>
      <c r="CC99">
        <f>IF(P98&lt;=0,BZ99,MAX(0,$F$18+BZ99-P98-CA99))</f>
        <v/>
      </c>
      <c r="CD99">
        <f>IF(Q98&lt;=0,0,Q98*$E$19/12)</f>
        <v/>
      </c>
      <c r="CE99">
        <f>IF(Q98&lt;=0,0,MIN(Q98+CD99,$F$19+CC99))</f>
        <v/>
      </c>
      <c r="CF99">
        <f>IF(Q98&lt;=0,CC99,MAX(0,$F$19+CC99-Q98-CD99))</f>
        <v/>
      </c>
      <c r="CG99">
        <f>IF(R98&lt;=0,0,R98*$E$20/12)</f>
        <v/>
      </c>
      <c r="CH99">
        <f>IF(R98&lt;=0,0,MIN(R98+CG99,$F$20+CF99))</f>
        <v/>
      </c>
      <c r="CI99">
        <f>IF(R98&lt;=0,CF99,MAX(0,$F$20+CF99-R98-CG99))</f>
        <v/>
      </c>
      <c r="CJ99">
        <f>IF(S98&lt;=0,0,S98*$E$21/12)</f>
        <v/>
      </c>
      <c r="CK99">
        <f>IF(S98&lt;=0,0,MIN(S98+CJ99,$F$21+CI99))</f>
        <v/>
      </c>
      <c r="CL99">
        <f>IF(S98&lt;=0,CI99,MAX(0,$F$21+CI99-S98-CJ99))</f>
        <v/>
      </c>
      <c r="CM99">
        <f>IF(T98&lt;=0,0,T98*$E$22/12)</f>
        <v/>
      </c>
      <c r="CN99">
        <f>IF(T98&lt;=0,0,MIN(T98+CM99,$F$22+CL99))</f>
        <v/>
      </c>
      <c r="CO99">
        <f>IF(T98&lt;=0,CL99,MAX(0,$F$22+CL99-T98-CM99))</f>
        <v/>
      </c>
      <c r="CP99">
        <f>IF(U98&lt;=0,0,U98*$E$23/12)</f>
        <v/>
      </c>
      <c r="CQ99">
        <f>IF(U98&lt;=0,0,MIN(U98+CP99,$F$23+CO99))</f>
        <v/>
      </c>
      <c r="CR99">
        <f>IF(U98&lt;=0,CO99,MAX(0,$F$23+CO99-U98-CP99))</f>
        <v/>
      </c>
      <c r="CS99">
        <f>IF(V98&lt;=0,0,V98*$E$24/12)</f>
        <v/>
      </c>
      <c r="CT99">
        <f>IF(V98&lt;=0,0,MIN(V98+CS99,$F$24+CR99))</f>
        <v/>
      </c>
      <c r="CU99">
        <f>IF(V98&lt;=0,CR99,MAX(0,$F$24+CR99-V98-CS99))</f>
        <v/>
      </c>
    </row>
    <row r="100">
      <c r="B100" s="39" t="n">
        <v>74</v>
      </c>
      <c r="C100" s="13">
        <f>IF(C99&lt;=0,0,MAX(0,C99+AN100-AO100))</f>
        <v/>
      </c>
      <c r="D100" s="13">
        <f>IF(D99&lt;=0,0,MAX(0,D99+AQ100-AR100))</f>
        <v/>
      </c>
      <c r="E100" s="13">
        <f>IF(E99&lt;=0,0,MAX(0,E99+AT100-AU100))</f>
        <v/>
      </c>
      <c r="F100" s="13">
        <f>IF(F99&lt;=0,0,MAX(0,F99+AW100-AX100))</f>
        <v/>
      </c>
      <c r="G100" s="13">
        <f>IF(G99&lt;=0,0,MAX(0,G99+AZ100-BA100))</f>
        <v/>
      </c>
      <c r="H100" s="13">
        <f>IF(H99&lt;=0,0,MAX(0,H99+BC100-BD100))</f>
        <v/>
      </c>
      <c r="I100" s="13">
        <f>IF(I99&lt;=0,0,MAX(0,I99+BF100-BG100))</f>
        <v/>
      </c>
      <c r="J100" s="13">
        <f>IF(J99&lt;=0,0,MAX(0,J99+BI100-BJ100))</f>
        <v/>
      </c>
      <c r="K100" s="13">
        <f>IF(K99&lt;=0,0,MAX(0,K99+BL100-BM100))</f>
        <v/>
      </c>
      <c r="L100" s="13">
        <f>IF(L99&lt;=0,0,MAX(0,L99+BO100-BP100))</f>
        <v/>
      </c>
      <c r="M100" s="13">
        <f>IF(M99&lt;=0,0,MAX(0,M99+BR100-BS100))</f>
        <v/>
      </c>
      <c r="N100" s="13">
        <f>IF(N99&lt;=0,0,MAX(0,N99+BU100-BV100))</f>
        <v/>
      </c>
      <c r="O100" s="13">
        <f>IF(O99&lt;=0,0,MAX(0,O99+BX100-BY100))</f>
        <v/>
      </c>
      <c r="P100" s="13">
        <f>IF(P99&lt;=0,0,MAX(0,P99+CA100-CB100))</f>
        <v/>
      </c>
      <c r="Q100" s="13">
        <f>IF(Q99&lt;=0,0,MAX(0,Q99+CD100-CE100))</f>
        <v/>
      </c>
      <c r="R100" s="13">
        <f>IF(R99&lt;=0,0,MAX(0,R99+CG100-CH100))</f>
        <v/>
      </c>
      <c r="S100" s="13">
        <f>IF(S99&lt;=0,0,MAX(0,S99+CJ100-CK100))</f>
        <v/>
      </c>
      <c r="T100" s="13">
        <f>IF(T99&lt;=0,0,MAX(0,T99+CM100-CN100))</f>
        <v/>
      </c>
      <c r="U100" s="13">
        <f>IF(U99&lt;=0,0,MAX(0,U99+CP100-CQ100))</f>
        <v/>
      </c>
      <c r="V100" s="13">
        <f>IF(V99&lt;=0,0,MAX(0,V99+CS100-CT100))</f>
        <v/>
      </c>
      <c r="W100" s="13">
        <f>AO100+AR100+AU100+AX100+BA100+BD100+BG100+BJ100+BM100+BP100+BS100+BV100+BY100+CB100+CE100+CH100+CK100+CN100+CQ100+CT100</f>
        <v/>
      </c>
      <c r="X100" s="13">
        <f>AN100+AQ100+AT100+AW100+AZ100+BC100+BF100+BI100+BL100+BO100+BR100+BU100+BX100+CA100+CD100+CG100+CJ100+CM100+CP100+CS100</f>
        <v/>
      </c>
      <c r="Y100" s="27">
        <f>C100+D100+E100+F100+G100+H100+I100+J100+K100+L100+M100+N100+O100+P100+Q100+R100+S100+T100+U100+V100</f>
        <v/>
      </c>
      <c r="AN100">
        <f>IF(C99&lt;=0,0,C99*$E$5/12)</f>
        <v/>
      </c>
      <c r="AO100">
        <f>IF(C99&lt;=0,0,MIN(C99+AN100,$F$5+(Dashboard!$C$11+IF(C99&lt;=0,$F$5,0)+IF(D99&lt;=0,$F$6,0)+IF(E99&lt;=0,$F$7,0)+IF(F99&lt;=0,$F$8,0)+IF(G99&lt;=0,$F$9,0)+IF(H99&lt;=0,$F$10,0)+IF(I99&lt;=0,$F$11,0)+IF(J99&lt;=0,$F$12,0)+IF(K99&lt;=0,$F$13,0)+IF(L99&lt;=0,$F$14,0)+IF(M99&lt;=0,$F$15,0)+IF(N99&lt;=0,$F$16,0)+IF(O99&lt;=0,$F$17,0)+IF(P99&lt;=0,$F$18,0)+IF(Q99&lt;=0,$F$19,0)+IF(R99&lt;=0,$F$20,0)+IF(S99&lt;=0,$F$21,0)+IF(T99&lt;=0,$F$22,0)+IF(U99&lt;=0,$F$23,0)+IF(V99&lt;=0,$F$24,0))))</f>
        <v/>
      </c>
      <c r="AP100">
        <f>IF(C99&lt;=0,(Dashboard!$C$11+IF(C99&lt;=0,$F$5,0)+IF(D99&lt;=0,$F$6,0)+IF(E99&lt;=0,$F$7,0)+IF(F99&lt;=0,$F$8,0)+IF(G99&lt;=0,$F$9,0)+IF(H99&lt;=0,$F$10,0)+IF(I99&lt;=0,$F$11,0)+IF(J99&lt;=0,$F$12,0)+IF(K99&lt;=0,$F$13,0)+IF(L99&lt;=0,$F$14,0)+IF(M99&lt;=0,$F$15,0)+IF(N99&lt;=0,$F$16,0)+IF(O99&lt;=0,$F$17,0)+IF(P99&lt;=0,$F$18,0)+IF(Q99&lt;=0,$F$19,0)+IF(R99&lt;=0,$F$20,0)+IF(S99&lt;=0,$F$21,0)+IF(T99&lt;=0,$F$22,0)+IF(U99&lt;=0,$F$23,0)+IF(V99&lt;=0,$F$24,0)),MAX(0,$F$5+(Dashboard!$C$11+IF(C99&lt;=0,$F$5,0)+IF(D99&lt;=0,$F$6,0)+IF(E99&lt;=0,$F$7,0)+IF(F99&lt;=0,$F$8,0)+IF(G99&lt;=0,$F$9,0)+IF(H99&lt;=0,$F$10,0)+IF(I99&lt;=0,$F$11,0)+IF(J99&lt;=0,$F$12,0)+IF(K99&lt;=0,$F$13,0)+IF(L99&lt;=0,$F$14,0)+IF(M99&lt;=0,$F$15,0)+IF(N99&lt;=0,$F$16,0)+IF(O99&lt;=0,$F$17,0)+IF(P99&lt;=0,$F$18,0)+IF(Q99&lt;=0,$F$19,0)+IF(R99&lt;=0,$F$20,0)+IF(S99&lt;=0,$F$21,0)+IF(T99&lt;=0,$F$22,0)+IF(U99&lt;=0,$F$23,0)+IF(V99&lt;=0,$F$24,0))-C99-AN100))</f>
        <v/>
      </c>
      <c r="AQ100">
        <f>IF(D99&lt;=0,0,D99*$E$6/12)</f>
        <v/>
      </c>
      <c r="AR100">
        <f>IF(D99&lt;=0,0,MIN(D99+AQ100,$F$6+AP100))</f>
        <v/>
      </c>
      <c r="AS100">
        <f>IF(D99&lt;=0,AP100,MAX(0,$F$6+AP100-D99-AQ100))</f>
        <v/>
      </c>
      <c r="AT100">
        <f>IF(E99&lt;=0,0,E99*$E$7/12)</f>
        <v/>
      </c>
      <c r="AU100">
        <f>IF(E99&lt;=0,0,MIN(E99+AT100,$F$7+AS100))</f>
        <v/>
      </c>
      <c r="AV100">
        <f>IF(E99&lt;=0,AS100,MAX(0,$F$7+AS100-E99-AT100))</f>
        <v/>
      </c>
      <c r="AW100">
        <f>IF(F99&lt;=0,0,F99*$E$8/12)</f>
        <v/>
      </c>
      <c r="AX100">
        <f>IF(F99&lt;=0,0,MIN(F99+AW100,$F$8+AV100))</f>
        <v/>
      </c>
      <c r="AY100">
        <f>IF(F99&lt;=0,AV100,MAX(0,$F$8+AV100-F99-AW100))</f>
        <v/>
      </c>
      <c r="AZ100">
        <f>IF(G99&lt;=0,0,G99*$E$9/12)</f>
        <v/>
      </c>
      <c r="BA100">
        <f>IF(G99&lt;=0,0,MIN(G99+AZ100,$F$9+AY100))</f>
        <v/>
      </c>
      <c r="BB100">
        <f>IF(G99&lt;=0,AY100,MAX(0,$F$9+AY100-G99-AZ100))</f>
        <v/>
      </c>
      <c r="BC100">
        <f>IF(H99&lt;=0,0,H99*$E$10/12)</f>
        <v/>
      </c>
      <c r="BD100">
        <f>IF(H99&lt;=0,0,MIN(H99+BC100,$F$10+BB100))</f>
        <v/>
      </c>
      <c r="BE100">
        <f>IF(H99&lt;=0,BB100,MAX(0,$F$10+BB100-H99-BC100))</f>
        <v/>
      </c>
      <c r="BF100">
        <f>IF(I99&lt;=0,0,I99*$E$11/12)</f>
        <v/>
      </c>
      <c r="BG100">
        <f>IF(I99&lt;=0,0,MIN(I99+BF100,$F$11+BE100))</f>
        <v/>
      </c>
      <c r="BH100">
        <f>IF(I99&lt;=0,BE100,MAX(0,$F$11+BE100-I99-BF100))</f>
        <v/>
      </c>
      <c r="BI100">
        <f>IF(J99&lt;=0,0,J99*$E$12/12)</f>
        <v/>
      </c>
      <c r="BJ100">
        <f>IF(J99&lt;=0,0,MIN(J99+BI100,$F$12+BH100))</f>
        <v/>
      </c>
      <c r="BK100">
        <f>IF(J99&lt;=0,BH100,MAX(0,$F$12+BH100-J99-BI100))</f>
        <v/>
      </c>
      <c r="BL100">
        <f>IF(K99&lt;=0,0,K99*$E$13/12)</f>
        <v/>
      </c>
      <c r="BM100">
        <f>IF(K99&lt;=0,0,MIN(K99+BL100,$F$13+BK100))</f>
        <v/>
      </c>
      <c r="BN100">
        <f>IF(K99&lt;=0,BK100,MAX(0,$F$13+BK100-K99-BL100))</f>
        <v/>
      </c>
      <c r="BO100">
        <f>IF(L99&lt;=0,0,L99*$E$14/12)</f>
        <v/>
      </c>
      <c r="BP100">
        <f>IF(L99&lt;=0,0,MIN(L99+BO100,$F$14+BN100))</f>
        <v/>
      </c>
      <c r="BQ100">
        <f>IF(L99&lt;=0,BN100,MAX(0,$F$14+BN100-L99-BO100))</f>
        <v/>
      </c>
      <c r="BR100">
        <f>IF(M99&lt;=0,0,M99*$E$15/12)</f>
        <v/>
      </c>
      <c r="BS100">
        <f>IF(M99&lt;=0,0,MIN(M99+BR100,$F$15+BQ100))</f>
        <v/>
      </c>
      <c r="BT100">
        <f>IF(M99&lt;=0,BQ100,MAX(0,$F$15+BQ100-M99-BR100))</f>
        <v/>
      </c>
      <c r="BU100">
        <f>IF(N99&lt;=0,0,N99*$E$16/12)</f>
        <v/>
      </c>
      <c r="BV100">
        <f>IF(N99&lt;=0,0,MIN(N99+BU100,$F$16+BT100))</f>
        <v/>
      </c>
      <c r="BW100">
        <f>IF(N99&lt;=0,BT100,MAX(0,$F$16+BT100-N99-BU100))</f>
        <v/>
      </c>
      <c r="BX100">
        <f>IF(O99&lt;=0,0,O99*$E$17/12)</f>
        <v/>
      </c>
      <c r="BY100">
        <f>IF(O99&lt;=0,0,MIN(O99+BX100,$F$17+BW100))</f>
        <v/>
      </c>
      <c r="BZ100">
        <f>IF(O99&lt;=0,BW100,MAX(0,$F$17+BW100-O99-BX100))</f>
        <v/>
      </c>
      <c r="CA100">
        <f>IF(P99&lt;=0,0,P99*$E$18/12)</f>
        <v/>
      </c>
      <c r="CB100">
        <f>IF(P99&lt;=0,0,MIN(P99+CA100,$F$18+BZ100))</f>
        <v/>
      </c>
      <c r="CC100">
        <f>IF(P99&lt;=0,BZ100,MAX(0,$F$18+BZ100-P99-CA100))</f>
        <v/>
      </c>
      <c r="CD100">
        <f>IF(Q99&lt;=0,0,Q99*$E$19/12)</f>
        <v/>
      </c>
      <c r="CE100">
        <f>IF(Q99&lt;=0,0,MIN(Q99+CD100,$F$19+CC100))</f>
        <v/>
      </c>
      <c r="CF100">
        <f>IF(Q99&lt;=0,CC100,MAX(0,$F$19+CC100-Q99-CD100))</f>
        <v/>
      </c>
      <c r="CG100">
        <f>IF(R99&lt;=0,0,R99*$E$20/12)</f>
        <v/>
      </c>
      <c r="CH100">
        <f>IF(R99&lt;=0,0,MIN(R99+CG100,$F$20+CF100))</f>
        <v/>
      </c>
      <c r="CI100">
        <f>IF(R99&lt;=0,CF100,MAX(0,$F$20+CF100-R99-CG100))</f>
        <v/>
      </c>
      <c r="CJ100">
        <f>IF(S99&lt;=0,0,S99*$E$21/12)</f>
        <v/>
      </c>
      <c r="CK100">
        <f>IF(S99&lt;=0,0,MIN(S99+CJ100,$F$21+CI100))</f>
        <v/>
      </c>
      <c r="CL100">
        <f>IF(S99&lt;=0,CI100,MAX(0,$F$21+CI100-S99-CJ100))</f>
        <v/>
      </c>
      <c r="CM100">
        <f>IF(T99&lt;=0,0,T99*$E$22/12)</f>
        <v/>
      </c>
      <c r="CN100">
        <f>IF(T99&lt;=0,0,MIN(T99+CM100,$F$22+CL100))</f>
        <v/>
      </c>
      <c r="CO100">
        <f>IF(T99&lt;=0,CL100,MAX(0,$F$22+CL100-T99-CM100))</f>
        <v/>
      </c>
      <c r="CP100">
        <f>IF(U99&lt;=0,0,U99*$E$23/12)</f>
        <v/>
      </c>
      <c r="CQ100">
        <f>IF(U99&lt;=0,0,MIN(U99+CP100,$F$23+CO100))</f>
        <v/>
      </c>
      <c r="CR100">
        <f>IF(U99&lt;=0,CO100,MAX(0,$F$23+CO100-U99-CP100))</f>
        <v/>
      </c>
      <c r="CS100">
        <f>IF(V99&lt;=0,0,V99*$E$24/12)</f>
        <v/>
      </c>
      <c r="CT100">
        <f>IF(V99&lt;=0,0,MIN(V99+CS100,$F$24+CR100))</f>
        <v/>
      </c>
      <c r="CU100">
        <f>IF(V99&lt;=0,CR100,MAX(0,$F$24+CR100-V99-CS100))</f>
        <v/>
      </c>
    </row>
    <row r="101">
      <c r="B101" s="39" t="n">
        <v>75</v>
      </c>
      <c r="C101" s="13">
        <f>IF(C100&lt;=0,0,MAX(0,C100+AN101-AO101))</f>
        <v/>
      </c>
      <c r="D101" s="13">
        <f>IF(D100&lt;=0,0,MAX(0,D100+AQ101-AR101))</f>
        <v/>
      </c>
      <c r="E101" s="13">
        <f>IF(E100&lt;=0,0,MAX(0,E100+AT101-AU101))</f>
        <v/>
      </c>
      <c r="F101" s="13">
        <f>IF(F100&lt;=0,0,MAX(0,F100+AW101-AX101))</f>
        <v/>
      </c>
      <c r="G101" s="13">
        <f>IF(G100&lt;=0,0,MAX(0,G100+AZ101-BA101))</f>
        <v/>
      </c>
      <c r="H101" s="13">
        <f>IF(H100&lt;=0,0,MAX(0,H100+BC101-BD101))</f>
        <v/>
      </c>
      <c r="I101" s="13">
        <f>IF(I100&lt;=0,0,MAX(0,I100+BF101-BG101))</f>
        <v/>
      </c>
      <c r="J101" s="13">
        <f>IF(J100&lt;=0,0,MAX(0,J100+BI101-BJ101))</f>
        <v/>
      </c>
      <c r="K101" s="13">
        <f>IF(K100&lt;=0,0,MAX(0,K100+BL101-BM101))</f>
        <v/>
      </c>
      <c r="L101" s="13">
        <f>IF(L100&lt;=0,0,MAX(0,L100+BO101-BP101))</f>
        <v/>
      </c>
      <c r="M101" s="13">
        <f>IF(M100&lt;=0,0,MAX(0,M100+BR101-BS101))</f>
        <v/>
      </c>
      <c r="N101" s="13">
        <f>IF(N100&lt;=0,0,MAX(0,N100+BU101-BV101))</f>
        <v/>
      </c>
      <c r="O101" s="13">
        <f>IF(O100&lt;=0,0,MAX(0,O100+BX101-BY101))</f>
        <v/>
      </c>
      <c r="P101" s="13">
        <f>IF(P100&lt;=0,0,MAX(0,P100+CA101-CB101))</f>
        <v/>
      </c>
      <c r="Q101" s="13">
        <f>IF(Q100&lt;=0,0,MAX(0,Q100+CD101-CE101))</f>
        <v/>
      </c>
      <c r="R101" s="13">
        <f>IF(R100&lt;=0,0,MAX(0,R100+CG101-CH101))</f>
        <v/>
      </c>
      <c r="S101" s="13">
        <f>IF(S100&lt;=0,0,MAX(0,S100+CJ101-CK101))</f>
        <v/>
      </c>
      <c r="T101" s="13">
        <f>IF(T100&lt;=0,0,MAX(0,T100+CM101-CN101))</f>
        <v/>
      </c>
      <c r="U101" s="13">
        <f>IF(U100&lt;=0,0,MAX(0,U100+CP101-CQ101))</f>
        <v/>
      </c>
      <c r="V101" s="13">
        <f>IF(V100&lt;=0,0,MAX(0,V100+CS101-CT101))</f>
        <v/>
      </c>
      <c r="W101" s="13">
        <f>AO101+AR101+AU101+AX101+BA101+BD101+BG101+BJ101+BM101+BP101+BS101+BV101+BY101+CB101+CE101+CH101+CK101+CN101+CQ101+CT101</f>
        <v/>
      </c>
      <c r="X101" s="13">
        <f>AN101+AQ101+AT101+AW101+AZ101+BC101+BF101+BI101+BL101+BO101+BR101+BU101+BX101+CA101+CD101+CG101+CJ101+CM101+CP101+CS101</f>
        <v/>
      </c>
      <c r="Y101" s="27">
        <f>C101+D101+E101+F101+G101+H101+I101+J101+K101+L101+M101+N101+O101+P101+Q101+R101+S101+T101+U101+V101</f>
        <v/>
      </c>
      <c r="AN101">
        <f>IF(C100&lt;=0,0,C100*$E$5/12)</f>
        <v/>
      </c>
      <c r="AO101">
        <f>IF(C100&lt;=0,0,MIN(C100+AN101,$F$5+(Dashboard!$C$11+IF(C100&lt;=0,$F$5,0)+IF(D100&lt;=0,$F$6,0)+IF(E100&lt;=0,$F$7,0)+IF(F100&lt;=0,$F$8,0)+IF(G100&lt;=0,$F$9,0)+IF(H100&lt;=0,$F$10,0)+IF(I100&lt;=0,$F$11,0)+IF(J100&lt;=0,$F$12,0)+IF(K100&lt;=0,$F$13,0)+IF(L100&lt;=0,$F$14,0)+IF(M100&lt;=0,$F$15,0)+IF(N100&lt;=0,$F$16,0)+IF(O100&lt;=0,$F$17,0)+IF(P100&lt;=0,$F$18,0)+IF(Q100&lt;=0,$F$19,0)+IF(R100&lt;=0,$F$20,0)+IF(S100&lt;=0,$F$21,0)+IF(T100&lt;=0,$F$22,0)+IF(U100&lt;=0,$F$23,0)+IF(V100&lt;=0,$F$24,0))))</f>
        <v/>
      </c>
      <c r="AP101">
        <f>IF(C100&lt;=0,(Dashboard!$C$11+IF(C100&lt;=0,$F$5,0)+IF(D100&lt;=0,$F$6,0)+IF(E100&lt;=0,$F$7,0)+IF(F100&lt;=0,$F$8,0)+IF(G100&lt;=0,$F$9,0)+IF(H100&lt;=0,$F$10,0)+IF(I100&lt;=0,$F$11,0)+IF(J100&lt;=0,$F$12,0)+IF(K100&lt;=0,$F$13,0)+IF(L100&lt;=0,$F$14,0)+IF(M100&lt;=0,$F$15,0)+IF(N100&lt;=0,$F$16,0)+IF(O100&lt;=0,$F$17,0)+IF(P100&lt;=0,$F$18,0)+IF(Q100&lt;=0,$F$19,0)+IF(R100&lt;=0,$F$20,0)+IF(S100&lt;=0,$F$21,0)+IF(T100&lt;=0,$F$22,0)+IF(U100&lt;=0,$F$23,0)+IF(V100&lt;=0,$F$24,0)),MAX(0,$F$5+(Dashboard!$C$11+IF(C100&lt;=0,$F$5,0)+IF(D100&lt;=0,$F$6,0)+IF(E100&lt;=0,$F$7,0)+IF(F100&lt;=0,$F$8,0)+IF(G100&lt;=0,$F$9,0)+IF(H100&lt;=0,$F$10,0)+IF(I100&lt;=0,$F$11,0)+IF(J100&lt;=0,$F$12,0)+IF(K100&lt;=0,$F$13,0)+IF(L100&lt;=0,$F$14,0)+IF(M100&lt;=0,$F$15,0)+IF(N100&lt;=0,$F$16,0)+IF(O100&lt;=0,$F$17,0)+IF(P100&lt;=0,$F$18,0)+IF(Q100&lt;=0,$F$19,0)+IF(R100&lt;=0,$F$20,0)+IF(S100&lt;=0,$F$21,0)+IF(T100&lt;=0,$F$22,0)+IF(U100&lt;=0,$F$23,0)+IF(V100&lt;=0,$F$24,0))-C100-AN101))</f>
        <v/>
      </c>
      <c r="AQ101">
        <f>IF(D100&lt;=0,0,D100*$E$6/12)</f>
        <v/>
      </c>
      <c r="AR101">
        <f>IF(D100&lt;=0,0,MIN(D100+AQ101,$F$6+AP101))</f>
        <v/>
      </c>
      <c r="AS101">
        <f>IF(D100&lt;=0,AP101,MAX(0,$F$6+AP101-D100-AQ101))</f>
        <v/>
      </c>
      <c r="AT101">
        <f>IF(E100&lt;=0,0,E100*$E$7/12)</f>
        <v/>
      </c>
      <c r="AU101">
        <f>IF(E100&lt;=0,0,MIN(E100+AT101,$F$7+AS101))</f>
        <v/>
      </c>
      <c r="AV101">
        <f>IF(E100&lt;=0,AS101,MAX(0,$F$7+AS101-E100-AT101))</f>
        <v/>
      </c>
      <c r="AW101">
        <f>IF(F100&lt;=0,0,F100*$E$8/12)</f>
        <v/>
      </c>
      <c r="AX101">
        <f>IF(F100&lt;=0,0,MIN(F100+AW101,$F$8+AV101))</f>
        <v/>
      </c>
      <c r="AY101">
        <f>IF(F100&lt;=0,AV101,MAX(0,$F$8+AV101-F100-AW101))</f>
        <v/>
      </c>
      <c r="AZ101">
        <f>IF(G100&lt;=0,0,G100*$E$9/12)</f>
        <v/>
      </c>
      <c r="BA101">
        <f>IF(G100&lt;=0,0,MIN(G100+AZ101,$F$9+AY101))</f>
        <v/>
      </c>
      <c r="BB101">
        <f>IF(G100&lt;=0,AY101,MAX(0,$F$9+AY101-G100-AZ101))</f>
        <v/>
      </c>
      <c r="BC101">
        <f>IF(H100&lt;=0,0,H100*$E$10/12)</f>
        <v/>
      </c>
      <c r="BD101">
        <f>IF(H100&lt;=0,0,MIN(H100+BC101,$F$10+BB101))</f>
        <v/>
      </c>
      <c r="BE101">
        <f>IF(H100&lt;=0,BB101,MAX(0,$F$10+BB101-H100-BC101))</f>
        <v/>
      </c>
      <c r="BF101">
        <f>IF(I100&lt;=0,0,I100*$E$11/12)</f>
        <v/>
      </c>
      <c r="BG101">
        <f>IF(I100&lt;=0,0,MIN(I100+BF101,$F$11+BE101))</f>
        <v/>
      </c>
      <c r="BH101">
        <f>IF(I100&lt;=0,BE101,MAX(0,$F$11+BE101-I100-BF101))</f>
        <v/>
      </c>
      <c r="BI101">
        <f>IF(J100&lt;=0,0,J100*$E$12/12)</f>
        <v/>
      </c>
      <c r="BJ101">
        <f>IF(J100&lt;=0,0,MIN(J100+BI101,$F$12+BH101))</f>
        <v/>
      </c>
      <c r="BK101">
        <f>IF(J100&lt;=0,BH101,MAX(0,$F$12+BH101-J100-BI101))</f>
        <v/>
      </c>
      <c r="BL101">
        <f>IF(K100&lt;=0,0,K100*$E$13/12)</f>
        <v/>
      </c>
      <c r="BM101">
        <f>IF(K100&lt;=0,0,MIN(K100+BL101,$F$13+BK101))</f>
        <v/>
      </c>
      <c r="BN101">
        <f>IF(K100&lt;=0,BK101,MAX(0,$F$13+BK101-K100-BL101))</f>
        <v/>
      </c>
      <c r="BO101">
        <f>IF(L100&lt;=0,0,L100*$E$14/12)</f>
        <v/>
      </c>
      <c r="BP101">
        <f>IF(L100&lt;=0,0,MIN(L100+BO101,$F$14+BN101))</f>
        <v/>
      </c>
      <c r="BQ101">
        <f>IF(L100&lt;=0,BN101,MAX(0,$F$14+BN101-L100-BO101))</f>
        <v/>
      </c>
      <c r="BR101">
        <f>IF(M100&lt;=0,0,M100*$E$15/12)</f>
        <v/>
      </c>
      <c r="BS101">
        <f>IF(M100&lt;=0,0,MIN(M100+BR101,$F$15+BQ101))</f>
        <v/>
      </c>
      <c r="BT101">
        <f>IF(M100&lt;=0,BQ101,MAX(0,$F$15+BQ101-M100-BR101))</f>
        <v/>
      </c>
      <c r="BU101">
        <f>IF(N100&lt;=0,0,N100*$E$16/12)</f>
        <v/>
      </c>
      <c r="BV101">
        <f>IF(N100&lt;=0,0,MIN(N100+BU101,$F$16+BT101))</f>
        <v/>
      </c>
      <c r="BW101">
        <f>IF(N100&lt;=0,BT101,MAX(0,$F$16+BT101-N100-BU101))</f>
        <v/>
      </c>
      <c r="BX101">
        <f>IF(O100&lt;=0,0,O100*$E$17/12)</f>
        <v/>
      </c>
      <c r="BY101">
        <f>IF(O100&lt;=0,0,MIN(O100+BX101,$F$17+BW101))</f>
        <v/>
      </c>
      <c r="BZ101">
        <f>IF(O100&lt;=0,BW101,MAX(0,$F$17+BW101-O100-BX101))</f>
        <v/>
      </c>
      <c r="CA101">
        <f>IF(P100&lt;=0,0,P100*$E$18/12)</f>
        <v/>
      </c>
      <c r="CB101">
        <f>IF(P100&lt;=0,0,MIN(P100+CA101,$F$18+BZ101))</f>
        <v/>
      </c>
      <c r="CC101">
        <f>IF(P100&lt;=0,BZ101,MAX(0,$F$18+BZ101-P100-CA101))</f>
        <v/>
      </c>
      <c r="CD101">
        <f>IF(Q100&lt;=0,0,Q100*$E$19/12)</f>
        <v/>
      </c>
      <c r="CE101">
        <f>IF(Q100&lt;=0,0,MIN(Q100+CD101,$F$19+CC101))</f>
        <v/>
      </c>
      <c r="CF101">
        <f>IF(Q100&lt;=0,CC101,MAX(0,$F$19+CC101-Q100-CD101))</f>
        <v/>
      </c>
      <c r="CG101">
        <f>IF(R100&lt;=0,0,R100*$E$20/12)</f>
        <v/>
      </c>
      <c r="CH101">
        <f>IF(R100&lt;=0,0,MIN(R100+CG101,$F$20+CF101))</f>
        <v/>
      </c>
      <c r="CI101">
        <f>IF(R100&lt;=0,CF101,MAX(0,$F$20+CF101-R100-CG101))</f>
        <v/>
      </c>
      <c r="CJ101">
        <f>IF(S100&lt;=0,0,S100*$E$21/12)</f>
        <v/>
      </c>
      <c r="CK101">
        <f>IF(S100&lt;=0,0,MIN(S100+CJ101,$F$21+CI101))</f>
        <v/>
      </c>
      <c r="CL101">
        <f>IF(S100&lt;=0,CI101,MAX(0,$F$21+CI101-S100-CJ101))</f>
        <v/>
      </c>
      <c r="CM101">
        <f>IF(T100&lt;=0,0,T100*$E$22/12)</f>
        <v/>
      </c>
      <c r="CN101">
        <f>IF(T100&lt;=0,0,MIN(T100+CM101,$F$22+CL101))</f>
        <v/>
      </c>
      <c r="CO101">
        <f>IF(T100&lt;=0,CL101,MAX(0,$F$22+CL101-T100-CM101))</f>
        <v/>
      </c>
      <c r="CP101">
        <f>IF(U100&lt;=0,0,U100*$E$23/12)</f>
        <v/>
      </c>
      <c r="CQ101">
        <f>IF(U100&lt;=0,0,MIN(U100+CP101,$F$23+CO101))</f>
        <v/>
      </c>
      <c r="CR101">
        <f>IF(U100&lt;=0,CO101,MAX(0,$F$23+CO101-U100-CP101))</f>
        <v/>
      </c>
      <c r="CS101">
        <f>IF(V100&lt;=0,0,V100*$E$24/12)</f>
        <v/>
      </c>
      <c r="CT101">
        <f>IF(V100&lt;=0,0,MIN(V100+CS101,$F$24+CR101))</f>
        <v/>
      </c>
      <c r="CU101">
        <f>IF(V100&lt;=0,CR101,MAX(0,$F$24+CR101-V100-CS101))</f>
        <v/>
      </c>
    </row>
    <row r="102">
      <c r="B102" s="39" t="n">
        <v>76</v>
      </c>
      <c r="C102" s="13">
        <f>IF(C101&lt;=0,0,MAX(0,C101+AN102-AO102))</f>
        <v/>
      </c>
      <c r="D102" s="13">
        <f>IF(D101&lt;=0,0,MAX(0,D101+AQ102-AR102))</f>
        <v/>
      </c>
      <c r="E102" s="13">
        <f>IF(E101&lt;=0,0,MAX(0,E101+AT102-AU102))</f>
        <v/>
      </c>
      <c r="F102" s="13">
        <f>IF(F101&lt;=0,0,MAX(0,F101+AW102-AX102))</f>
        <v/>
      </c>
      <c r="G102" s="13">
        <f>IF(G101&lt;=0,0,MAX(0,G101+AZ102-BA102))</f>
        <v/>
      </c>
      <c r="H102" s="13">
        <f>IF(H101&lt;=0,0,MAX(0,H101+BC102-BD102))</f>
        <v/>
      </c>
      <c r="I102" s="13">
        <f>IF(I101&lt;=0,0,MAX(0,I101+BF102-BG102))</f>
        <v/>
      </c>
      <c r="J102" s="13">
        <f>IF(J101&lt;=0,0,MAX(0,J101+BI102-BJ102))</f>
        <v/>
      </c>
      <c r="K102" s="13">
        <f>IF(K101&lt;=0,0,MAX(0,K101+BL102-BM102))</f>
        <v/>
      </c>
      <c r="L102" s="13">
        <f>IF(L101&lt;=0,0,MAX(0,L101+BO102-BP102))</f>
        <v/>
      </c>
      <c r="M102" s="13">
        <f>IF(M101&lt;=0,0,MAX(0,M101+BR102-BS102))</f>
        <v/>
      </c>
      <c r="N102" s="13">
        <f>IF(N101&lt;=0,0,MAX(0,N101+BU102-BV102))</f>
        <v/>
      </c>
      <c r="O102" s="13">
        <f>IF(O101&lt;=0,0,MAX(0,O101+BX102-BY102))</f>
        <v/>
      </c>
      <c r="P102" s="13">
        <f>IF(P101&lt;=0,0,MAX(0,P101+CA102-CB102))</f>
        <v/>
      </c>
      <c r="Q102" s="13">
        <f>IF(Q101&lt;=0,0,MAX(0,Q101+CD102-CE102))</f>
        <v/>
      </c>
      <c r="R102" s="13">
        <f>IF(R101&lt;=0,0,MAX(0,R101+CG102-CH102))</f>
        <v/>
      </c>
      <c r="S102" s="13">
        <f>IF(S101&lt;=0,0,MAX(0,S101+CJ102-CK102))</f>
        <v/>
      </c>
      <c r="T102" s="13">
        <f>IF(T101&lt;=0,0,MAX(0,T101+CM102-CN102))</f>
        <v/>
      </c>
      <c r="U102" s="13">
        <f>IF(U101&lt;=0,0,MAX(0,U101+CP102-CQ102))</f>
        <v/>
      </c>
      <c r="V102" s="13">
        <f>IF(V101&lt;=0,0,MAX(0,V101+CS102-CT102))</f>
        <v/>
      </c>
      <c r="W102" s="13">
        <f>AO102+AR102+AU102+AX102+BA102+BD102+BG102+BJ102+BM102+BP102+BS102+BV102+BY102+CB102+CE102+CH102+CK102+CN102+CQ102+CT102</f>
        <v/>
      </c>
      <c r="X102" s="13">
        <f>AN102+AQ102+AT102+AW102+AZ102+BC102+BF102+BI102+BL102+BO102+BR102+BU102+BX102+CA102+CD102+CG102+CJ102+CM102+CP102+CS102</f>
        <v/>
      </c>
      <c r="Y102" s="27">
        <f>C102+D102+E102+F102+G102+H102+I102+J102+K102+L102+M102+N102+O102+P102+Q102+R102+S102+T102+U102+V102</f>
        <v/>
      </c>
      <c r="AN102">
        <f>IF(C101&lt;=0,0,C101*$E$5/12)</f>
        <v/>
      </c>
      <c r="AO102">
        <f>IF(C101&lt;=0,0,MIN(C101+AN102,$F$5+(Dashboard!$C$11+IF(C101&lt;=0,$F$5,0)+IF(D101&lt;=0,$F$6,0)+IF(E101&lt;=0,$F$7,0)+IF(F101&lt;=0,$F$8,0)+IF(G101&lt;=0,$F$9,0)+IF(H101&lt;=0,$F$10,0)+IF(I101&lt;=0,$F$11,0)+IF(J101&lt;=0,$F$12,0)+IF(K101&lt;=0,$F$13,0)+IF(L101&lt;=0,$F$14,0)+IF(M101&lt;=0,$F$15,0)+IF(N101&lt;=0,$F$16,0)+IF(O101&lt;=0,$F$17,0)+IF(P101&lt;=0,$F$18,0)+IF(Q101&lt;=0,$F$19,0)+IF(R101&lt;=0,$F$20,0)+IF(S101&lt;=0,$F$21,0)+IF(T101&lt;=0,$F$22,0)+IF(U101&lt;=0,$F$23,0)+IF(V101&lt;=0,$F$24,0))))</f>
        <v/>
      </c>
      <c r="AP102">
        <f>IF(C101&lt;=0,(Dashboard!$C$11+IF(C101&lt;=0,$F$5,0)+IF(D101&lt;=0,$F$6,0)+IF(E101&lt;=0,$F$7,0)+IF(F101&lt;=0,$F$8,0)+IF(G101&lt;=0,$F$9,0)+IF(H101&lt;=0,$F$10,0)+IF(I101&lt;=0,$F$11,0)+IF(J101&lt;=0,$F$12,0)+IF(K101&lt;=0,$F$13,0)+IF(L101&lt;=0,$F$14,0)+IF(M101&lt;=0,$F$15,0)+IF(N101&lt;=0,$F$16,0)+IF(O101&lt;=0,$F$17,0)+IF(P101&lt;=0,$F$18,0)+IF(Q101&lt;=0,$F$19,0)+IF(R101&lt;=0,$F$20,0)+IF(S101&lt;=0,$F$21,0)+IF(T101&lt;=0,$F$22,0)+IF(U101&lt;=0,$F$23,0)+IF(V101&lt;=0,$F$24,0)),MAX(0,$F$5+(Dashboard!$C$11+IF(C101&lt;=0,$F$5,0)+IF(D101&lt;=0,$F$6,0)+IF(E101&lt;=0,$F$7,0)+IF(F101&lt;=0,$F$8,0)+IF(G101&lt;=0,$F$9,0)+IF(H101&lt;=0,$F$10,0)+IF(I101&lt;=0,$F$11,0)+IF(J101&lt;=0,$F$12,0)+IF(K101&lt;=0,$F$13,0)+IF(L101&lt;=0,$F$14,0)+IF(M101&lt;=0,$F$15,0)+IF(N101&lt;=0,$F$16,0)+IF(O101&lt;=0,$F$17,0)+IF(P101&lt;=0,$F$18,0)+IF(Q101&lt;=0,$F$19,0)+IF(R101&lt;=0,$F$20,0)+IF(S101&lt;=0,$F$21,0)+IF(T101&lt;=0,$F$22,0)+IF(U101&lt;=0,$F$23,0)+IF(V101&lt;=0,$F$24,0))-C101-AN102))</f>
        <v/>
      </c>
      <c r="AQ102">
        <f>IF(D101&lt;=0,0,D101*$E$6/12)</f>
        <v/>
      </c>
      <c r="AR102">
        <f>IF(D101&lt;=0,0,MIN(D101+AQ102,$F$6+AP102))</f>
        <v/>
      </c>
      <c r="AS102">
        <f>IF(D101&lt;=0,AP102,MAX(0,$F$6+AP102-D101-AQ102))</f>
        <v/>
      </c>
      <c r="AT102">
        <f>IF(E101&lt;=0,0,E101*$E$7/12)</f>
        <v/>
      </c>
      <c r="AU102">
        <f>IF(E101&lt;=0,0,MIN(E101+AT102,$F$7+AS102))</f>
        <v/>
      </c>
      <c r="AV102">
        <f>IF(E101&lt;=0,AS102,MAX(0,$F$7+AS102-E101-AT102))</f>
        <v/>
      </c>
      <c r="AW102">
        <f>IF(F101&lt;=0,0,F101*$E$8/12)</f>
        <v/>
      </c>
      <c r="AX102">
        <f>IF(F101&lt;=0,0,MIN(F101+AW102,$F$8+AV102))</f>
        <v/>
      </c>
      <c r="AY102">
        <f>IF(F101&lt;=0,AV102,MAX(0,$F$8+AV102-F101-AW102))</f>
        <v/>
      </c>
      <c r="AZ102">
        <f>IF(G101&lt;=0,0,G101*$E$9/12)</f>
        <v/>
      </c>
      <c r="BA102">
        <f>IF(G101&lt;=0,0,MIN(G101+AZ102,$F$9+AY102))</f>
        <v/>
      </c>
      <c r="BB102">
        <f>IF(G101&lt;=0,AY102,MAX(0,$F$9+AY102-G101-AZ102))</f>
        <v/>
      </c>
      <c r="BC102">
        <f>IF(H101&lt;=0,0,H101*$E$10/12)</f>
        <v/>
      </c>
      <c r="BD102">
        <f>IF(H101&lt;=0,0,MIN(H101+BC102,$F$10+BB102))</f>
        <v/>
      </c>
      <c r="BE102">
        <f>IF(H101&lt;=0,BB102,MAX(0,$F$10+BB102-H101-BC102))</f>
        <v/>
      </c>
      <c r="BF102">
        <f>IF(I101&lt;=0,0,I101*$E$11/12)</f>
        <v/>
      </c>
      <c r="BG102">
        <f>IF(I101&lt;=0,0,MIN(I101+BF102,$F$11+BE102))</f>
        <v/>
      </c>
      <c r="BH102">
        <f>IF(I101&lt;=0,BE102,MAX(0,$F$11+BE102-I101-BF102))</f>
        <v/>
      </c>
      <c r="BI102">
        <f>IF(J101&lt;=0,0,J101*$E$12/12)</f>
        <v/>
      </c>
      <c r="BJ102">
        <f>IF(J101&lt;=0,0,MIN(J101+BI102,$F$12+BH102))</f>
        <v/>
      </c>
      <c r="BK102">
        <f>IF(J101&lt;=0,BH102,MAX(0,$F$12+BH102-J101-BI102))</f>
        <v/>
      </c>
      <c r="BL102">
        <f>IF(K101&lt;=0,0,K101*$E$13/12)</f>
        <v/>
      </c>
      <c r="BM102">
        <f>IF(K101&lt;=0,0,MIN(K101+BL102,$F$13+BK102))</f>
        <v/>
      </c>
      <c r="BN102">
        <f>IF(K101&lt;=0,BK102,MAX(0,$F$13+BK102-K101-BL102))</f>
        <v/>
      </c>
      <c r="BO102">
        <f>IF(L101&lt;=0,0,L101*$E$14/12)</f>
        <v/>
      </c>
      <c r="BP102">
        <f>IF(L101&lt;=0,0,MIN(L101+BO102,$F$14+BN102))</f>
        <v/>
      </c>
      <c r="BQ102">
        <f>IF(L101&lt;=0,BN102,MAX(0,$F$14+BN102-L101-BO102))</f>
        <v/>
      </c>
      <c r="BR102">
        <f>IF(M101&lt;=0,0,M101*$E$15/12)</f>
        <v/>
      </c>
      <c r="BS102">
        <f>IF(M101&lt;=0,0,MIN(M101+BR102,$F$15+BQ102))</f>
        <v/>
      </c>
      <c r="BT102">
        <f>IF(M101&lt;=0,BQ102,MAX(0,$F$15+BQ102-M101-BR102))</f>
        <v/>
      </c>
      <c r="BU102">
        <f>IF(N101&lt;=0,0,N101*$E$16/12)</f>
        <v/>
      </c>
      <c r="BV102">
        <f>IF(N101&lt;=0,0,MIN(N101+BU102,$F$16+BT102))</f>
        <v/>
      </c>
      <c r="BW102">
        <f>IF(N101&lt;=0,BT102,MAX(0,$F$16+BT102-N101-BU102))</f>
        <v/>
      </c>
      <c r="BX102">
        <f>IF(O101&lt;=0,0,O101*$E$17/12)</f>
        <v/>
      </c>
      <c r="BY102">
        <f>IF(O101&lt;=0,0,MIN(O101+BX102,$F$17+BW102))</f>
        <v/>
      </c>
      <c r="BZ102">
        <f>IF(O101&lt;=0,BW102,MAX(0,$F$17+BW102-O101-BX102))</f>
        <v/>
      </c>
      <c r="CA102">
        <f>IF(P101&lt;=0,0,P101*$E$18/12)</f>
        <v/>
      </c>
      <c r="CB102">
        <f>IF(P101&lt;=0,0,MIN(P101+CA102,$F$18+BZ102))</f>
        <v/>
      </c>
      <c r="CC102">
        <f>IF(P101&lt;=0,BZ102,MAX(0,$F$18+BZ102-P101-CA102))</f>
        <v/>
      </c>
      <c r="CD102">
        <f>IF(Q101&lt;=0,0,Q101*$E$19/12)</f>
        <v/>
      </c>
      <c r="CE102">
        <f>IF(Q101&lt;=0,0,MIN(Q101+CD102,$F$19+CC102))</f>
        <v/>
      </c>
      <c r="CF102">
        <f>IF(Q101&lt;=0,CC102,MAX(0,$F$19+CC102-Q101-CD102))</f>
        <v/>
      </c>
      <c r="CG102">
        <f>IF(R101&lt;=0,0,R101*$E$20/12)</f>
        <v/>
      </c>
      <c r="CH102">
        <f>IF(R101&lt;=0,0,MIN(R101+CG102,$F$20+CF102))</f>
        <v/>
      </c>
      <c r="CI102">
        <f>IF(R101&lt;=0,CF102,MAX(0,$F$20+CF102-R101-CG102))</f>
        <v/>
      </c>
      <c r="CJ102">
        <f>IF(S101&lt;=0,0,S101*$E$21/12)</f>
        <v/>
      </c>
      <c r="CK102">
        <f>IF(S101&lt;=0,0,MIN(S101+CJ102,$F$21+CI102))</f>
        <v/>
      </c>
      <c r="CL102">
        <f>IF(S101&lt;=0,CI102,MAX(0,$F$21+CI102-S101-CJ102))</f>
        <v/>
      </c>
      <c r="CM102">
        <f>IF(T101&lt;=0,0,T101*$E$22/12)</f>
        <v/>
      </c>
      <c r="CN102">
        <f>IF(T101&lt;=0,0,MIN(T101+CM102,$F$22+CL102))</f>
        <v/>
      </c>
      <c r="CO102">
        <f>IF(T101&lt;=0,CL102,MAX(0,$F$22+CL102-T101-CM102))</f>
        <v/>
      </c>
      <c r="CP102">
        <f>IF(U101&lt;=0,0,U101*$E$23/12)</f>
        <v/>
      </c>
      <c r="CQ102">
        <f>IF(U101&lt;=0,0,MIN(U101+CP102,$F$23+CO102))</f>
        <v/>
      </c>
      <c r="CR102">
        <f>IF(U101&lt;=0,CO102,MAX(0,$F$23+CO102-U101-CP102))</f>
        <v/>
      </c>
      <c r="CS102">
        <f>IF(V101&lt;=0,0,V101*$E$24/12)</f>
        <v/>
      </c>
      <c r="CT102">
        <f>IF(V101&lt;=0,0,MIN(V101+CS102,$F$24+CR102))</f>
        <v/>
      </c>
      <c r="CU102">
        <f>IF(V101&lt;=0,CR102,MAX(0,$F$24+CR102-V101-CS102))</f>
        <v/>
      </c>
    </row>
    <row r="103">
      <c r="B103" s="39" t="n">
        <v>77</v>
      </c>
      <c r="C103" s="13">
        <f>IF(C102&lt;=0,0,MAX(0,C102+AN103-AO103))</f>
        <v/>
      </c>
      <c r="D103" s="13">
        <f>IF(D102&lt;=0,0,MAX(0,D102+AQ103-AR103))</f>
        <v/>
      </c>
      <c r="E103" s="13">
        <f>IF(E102&lt;=0,0,MAX(0,E102+AT103-AU103))</f>
        <v/>
      </c>
      <c r="F103" s="13">
        <f>IF(F102&lt;=0,0,MAX(0,F102+AW103-AX103))</f>
        <v/>
      </c>
      <c r="G103" s="13">
        <f>IF(G102&lt;=0,0,MAX(0,G102+AZ103-BA103))</f>
        <v/>
      </c>
      <c r="H103" s="13">
        <f>IF(H102&lt;=0,0,MAX(0,H102+BC103-BD103))</f>
        <v/>
      </c>
      <c r="I103" s="13">
        <f>IF(I102&lt;=0,0,MAX(0,I102+BF103-BG103))</f>
        <v/>
      </c>
      <c r="J103" s="13">
        <f>IF(J102&lt;=0,0,MAX(0,J102+BI103-BJ103))</f>
        <v/>
      </c>
      <c r="K103" s="13">
        <f>IF(K102&lt;=0,0,MAX(0,K102+BL103-BM103))</f>
        <v/>
      </c>
      <c r="L103" s="13">
        <f>IF(L102&lt;=0,0,MAX(0,L102+BO103-BP103))</f>
        <v/>
      </c>
      <c r="M103" s="13">
        <f>IF(M102&lt;=0,0,MAX(0,M102+BR103-BS103))</f>
        <v/>
      </c>
      <c r="N103" s="13">
        <f>IF(N102&lt;=0,0,MAX(0,N102+BU103-BV103))</f>
        <v/>
      </c>
      <c r="O103" s="13">
        <f>IF(O102&lt;=0,0,MAX(0,O102+BX103-BY103))</f>
        <v/>
      </c>
      <c r="P103" s="13">
        <f>IF(P102&lt;=0,0,MAX(0,P102+CA103-CB103))</f>
        <v/>
      </c>
      <c r="Q103" s="13">
        <f>IF(Q102&lt;=0,0,MAX(0,Q102+CD103-CE103))</f>
        <v/>
      </c>
      <c r="R103" s="13">
        <f>IF(R102&lt;=0,0,MAX(0,R102+CG103-CH103))</f>
        <v/>
      </c>
      <c r="S103" s="13">
        <f>IF(S102&lt;=0,0,MAX(0,S102+CJ103-CK103))</f>
        <v/>
      </c>
      <c r="T103" s="13">
        <f>IF(T102&lt;=0,0,MAX(0,T102+CM103-CN103))</f>
        <v/>
      </c>
      <c r="U103" s="13">
        <f>IF(U102&lt;=0,0,MAX(0,U102+CP103-CQ103))</f>
        <v/>
      </c>
      <c r="V103" s="13">
        <f>IF(V102&lt;=0,0,MAX(0,V102+CS103-CT103))</f>
        <v/>
      </c>
      <c r="W103" s="13">
        <f>AO103+AR103+AU103+AX103+BA103+BD103+BG103+BJ103+BM103+BP103+BS103+BV103+BY103+CB103+CE103+CH103+CK103+CN103+CQ103+CT103</f>
        <v/>
      </c>
      <c r="X103" s="13">
        <f>AN103+AQ103+AT103+AW103+AZ103+BC103+BF103+BI103+BL103+BO103+BR103+BU103+BX103+CA103+CD103+CG103+CJ103+CM103+CP103+CS103</f>
        <v/>
      </c>
      <c r="Y103" s="27">
        <f>C103+D103+E103+F103+G103+H103+I103+J103+K103+L103+M103+N103+O103+P103+Q103+R103+S103+T103+U103+V103</f>
        <v/>
      </c>
      <c r="AN103">
        <f>IF(C102&lt;=0,0,C102*$E$5/12)</f>
        <v/>
      </c>
      <c r="AO103">
        <f>IF(C102&lt;=0,0,MIN(C102+AN103,$F$5+(Dashboard!$C$11+IF(C102&lt;=0,$F$5,0)+IF(D102&lt;=0,$F$6,0)+IF(E102&lt;=0,$F$7,0)+IF(F102&lt;=0,$F$8,0)+IF(G102&lt;=0,$F$9,0)+IF(H102&lt;=0,$F$10,0)+IF(I102&lt;=0,$F$11,0)+IF(J102&lt;=0,$F$12,0)+IF(K102&lt;=0,$F$13,0)+IF(L102&lt;=0,$F$14,0)+IF(M102&lt;=0,$F$15,0)+IF(N102&lt;=0,$F$16,0)+IF(O102&lt;=0,$F$17,0)+IF(P102&lt;=0,$F$18,0)+IF(Q102&lt;=0,$F$19,0)+IF(R102&lt;=0,$F$20,0)+IF(S102&lt;=0,$F$21,0)+IF(T102&lt;=0,$F$22,0)+IF(U102&lt;=0,$F$23,0)+IF(V102&lt;=0,$F$24,0))))</f>
        <v/>
      </c>
      <c r="AP103">
        <f>IF(C102&lt;=0,(Dashboard!$C$11+IF(C102&lt;=0,$F$5,0)+IF(D102&lt;=0,$F$6,0)+IF(E102&lt;=0,$F$7,0)+IF(F102&lt;=0,$F$8,0)+IF(G102&lt;=0,$F$9,0)+IF(H102&lt;=0,$F$10,0)+IF(I102&lt;=0,$F$11,0)+IF(J102&lt;=0,$F$12,0)+IF(K102&lt;=0,$F$13,0)+IF(L102&lt;=0,$F$14,0)+IF(M102&lt;=0,$F$15,0)+IF(N102&lt;=0,$F$16,0)+IF(O102&lt;=0,$F$17,0)+IF(P102&lt;=0,$F$18,0)+IF(Q102&lt;=0,$F$19,0)+IF(R102&lt;=0,$F$20,0)+IF(S102&lt;=0,$F$21,0)+IF(T102&lt;=0,$F$22,0)+IF(U102&lt;=0,$F$23,0)+IF(V102&lt;=0,$F$24,0)),MAX(0,$F$5+(Dashboard!$C$11+IF(C102&lt;=0,$F$5,0)+IF(D102&lt;=0,$F$6,0)+IF(E102&lt;=0,$F$7,0)+IF(F102&lt;=0,$F$8,0)+IF(G102&lt;=0,$F$9,0)+IF(H102&lt;=0,$F$10,0)+IF(I102&lt;=0,$F$11,0)+IF(J102&lt;=0,$F$12,0)+IF(K102&lt;=0,$F$13,0)+IF(L102&lt;=0,$F$14,0)+IF(M102&lt;=0,$F$15,0)+IF(N102&lt;=0,$F$16,0)+IF(O102&lt;=0,$F$17,0)+IF(P102&lt;=0,$F$18,0)+IF(Q102&lt;=0,$F$19,0)+IF(R102&lt;=0,$F$20,0)+IF(S102&lt;=0,$F$21,0)+IF(T102&lt;=0,$F$22,0)+IF(U102&lt;=0,$F$23,0)+IF(V102&lt;=0,$F$24,0))-C102-AN103))</f>
        <v/>
      </c>
      <c r="AQ103">
        <f>IF(D102&lt;=0,0,D102*$E$6/12)</f>
        <v/>
      </c>
      <c r="AR103">
        <f>IF(D102&lt;=0,0,MIN(D102+AQ103,$F$6+AP103))</f>
        <v/>
      </c>
      <c r="AS103">
        <f>IF(D102&lt;=0,AP103,MAX(0,$F$6+AP103-D102-AQ103))</f>
        <v/>
      </c>
      <c r="AT103">
        <f>IF(E102&lt;=0,0,E102*$E$7/12)</f>
        <v/>
      </c>
      <c r="AU103">
        <f>IF(E102&lt;=0,0,MIN(E102+AT103,$F$7+AS103))</f>
        <v/>
      </c>
      <c r="AV103">
        <f>IF(E102&lt;=0,AS103,MAX(0,$F$7+AS103-E102-AT103))</f>
        <v/>
      </c>
      <c r="AW103">
        <f>IF(F102&lt;=0,0,F102*$E$8/12)</f>
        <v/>
      </c>
      <c r="AX103">
        <f>IF(F102&lt;=0,0,MIN(F102+AW103,$F$8+AV103))</f>
        <v/>
      </c>
      <c r="AY103">
        <f>IF(F102&lt;=0,AV103,MAX(0,$F$8+AV103-F102-AW103))</f>
        <v/>
      </c>
      <c r="AZ103">
        <f>IF(G102&lt;=0,0,G102*$E$9/12)</f>
        <v/>
      </c>
      <c r="BA103">
        <f>IF(G102&lt;=0,0,MIN(G102+AZ103,$F$9+AY103))</f>
        <v/>
      </c>
      <c r="BB103">
        <f>IF(G102&lt;=0,AY103,MAX(0,$F$9+AY103-G102-AZ103))</f>
        <v/>
      </c>
      <c r="BC103">
        <f>IF(H102&lt;=0,0,H102*$E$10/12)</f>
        <v/>
      </c>
      <c r="BD103">
        <f>IF(H102&lt;=0,0,MIN(H102+BC103,$F$10+BB103))</f>
        <v/>
      </c>
      <c r="BE103">
        <f>IF(H102&lt;=0,BB103,MAX(0,$F$10+BB103-H102-BC103))</f>
        <v/>
      </c>
      <c r="BF103">
        <f>IF(I102&lt;=0,0,I102*$E$11/12)</f>
        <v/>
      </c>
      <c r="BG103">
        <f>IF(I102&lt;=0,0,MIN(I102+BF103,$F$11+BE103))</f>
        <v/>
      </c>
      <c r="BH103">
        <f>IF(I102&lt;=0,BE103,MAX(0,$F$11+BE103-I102-BF103))</f>
        <v/>
      </c>
      <c r="BI103">
        <f>IF(J102&lt;=0,0,J102*$E$12/12)</f>
        <v/>
      </c>
      <c r="BJ103">
        <f>IF(J102&lt;=0,0,MIN(J102+BI103,$F$12+BH103))</f>
        <v/>
      </c>
      <c r="BK103">
        <f>IF(J102&lt;=0,BH103,MAX(0,$F$12+BH103-J102-BI103))</f>
        <v/>
      </c>
      <c r="BL103">
        <f>IF(K102&lt;=0,0,K102*$E$13/12)</f>
        <v/>
      </c>
      <c r="BM103">
        <f>IF(K102&lt;=0,0,MIN(K102+BL103,$F$13+BK103))</f>
        <v/>
      </c>
      <c r="BN103">
        <f>IF(K102&lt;=0,BK103,MAX(0,$F$13+BK103-K102-BL103))</f>
        <v/>
      </c>
      <c r="BO103">
        <f>IF(L102&lt;=0,0,L102*$E$14/12)</f>
        <v/>
      </c>
      <c r="BP103">
        <f>IF(L102&lt;=0,0,MIN(L102+BO103,$F$14+BN103))</f>
        <v/>
      </c>
      <c r="BQ103">
        <f>IF(L102&lt;=0,BN103,MAX(0,$F$14+BN103-L102-BO103))</f>
        <v/>
      </c>
      <c r="BR103">
        <f>IF(M102&lt;=0,0,M102*$E$15/12)</f>
        <v/>
      </c>
      <c r="BS103">
        <f>IF(M102&lt;=0,0,MIN(M102+BR103,$F$15+BQ103))</f>
        <v/>
      </c>
      <c r="BT103">
        <f>IF(M102&lt;=0,BQ103,MAX(0,$F$15+BQ103-M102-BR103))</f>
        <v/>
      </c>
      <c r="BU103">
        <f>IF(N102&lt;=0,0,N102*$E$16/12)</f>
        <v/>
      </c>
      <c r="BV103">
        <f>IF(N102&lt;=0,0,MIN(N102+BU103,$F$16+BT103))</f>
        <v/>
      </c>
      <c r="BW103">
        <f>IF(N102&lt;=0,BT103,MAX(0,$F$16+BT103-N102-BU103))</f>
        <v/>
      </c>
      <c r="BX103">
        <f>IF(O102&lt;=0,0,O102*$E$17/12)</f>
        <v/>
      </c>
      <c r="BY103">
        <f>IF(O102&lt;=0,0,MIN(O102+BX103,$F$17+BW103))</f>
        <v/>
      </c>
      <c r="BZ103">
        <f>IF(O102&lt;=0,BW103,MAX(0,$F$17+BW103-O102-BX103))</f>
        <v/>
      </c>
      <c r="CA103">
        <f>IF(P102&lt;=0,0,P102*$E$18/12)</f>
        <v/>
      </c>
      <c r="CB103">
        <f>IF(P102&lt;=0,0,MIN(P102+CA103,$F$18+BZ103))</f>
        <v/>
      </c>
      <c r="CC103">
        <f>IF(P102&lt;=0,BZ103,MAX(0,$F$18+BZ103-P102-CA103))</f>
        <v/>
      </c>
      <c r="CD103">
        <f>IF(Q102&lt;=0,0,Q102*$E$19/12)</f>
        <v/>
      </c>
      <c r="CE103">
        <f>IF(Q102&lt;=0,0,MIN(Q102+CD103,$F$19+CC103))</f>
        <v/>
      </c>
      <c r="CF103">
        <f>IF(Q102&lt;=0,CC103,MAX(0,$F$19+CC103-Q102-CD103))</f>
        <v/>
      </c>
      <c r="CG103">
        <f>IF(R102&lt;=0,0,R102*$E$20/12)</f>
        <v/>
      </c>
      <c r="CH103">
        <f>IF(R102&lt;=0,0,MIN(R102+CG103,$F$20+CF103))</f>
        <v/>
      </c>
      <c r="CI103">
        <f>IF(R102&lt;=0,CF103,MAX(0,$F$20+CF103-R102-CG103))</f>
        <v/>
      </c>
      <c r="CJ103">
        <f>IF(S102&lt;=0,0,S102*$E$21/12)</f>
        <v/>
      </c>
      <c r="CK103">
        <f>IF(S102&lt;=0,0,MIN(S102+CJ103,$F$21+CI103))</f>
        <v/>
      </c>
      <c r="CL103">
        <f>IF(S102&lt;=0,CI103,MAX(0,$F$21+CI103-S102-CJ103))</f>
        <v/>
      </c>
      <c r="CM103">
        <f>IF(T102&lt;=0,0,T102*$E$22/12)</f>
        <v/>
      </c>
      <c r="CN103">
        <f>IF(T102&lt;=0,0,MIN(T102+CM103,$F$22+CL103))</f>
        <v/>
      </c>
      <c r="CO103">
        <f>IF(T102&lt;=0,CL103,MAX(0,$F$22+CL103-T102-CM103))</f>
        <v/>
      </c>
      <c r="CP103">
        <f>IF(U102&lt;=0,0,U102*$E$23/12)</f>
        <v/>
      </c>
      <c r="CQ103">
        <f>IF(U102&lt;=0,0,MIN(U102+CP103,$F$23+CO103))</f>
        <v/>
      </c>
      <c r="CR103">
        <f>IF(U102&lt;=0,CO103,MAX(0,$F$23+CO103-U102-CP103))</f>
        <v/>
      </c>
      <c r="CS103">
        <f>IF(V102&lt;=0,0,V102*$E$24/12)</f>
        <v/>
      </c>
      <c r="CT103">
        <f>IF(V102&lt;=0,0,MIN(V102+CS103,$F$24+CR103))</f>
        <v/>
      </c>
      <c r="CU103">
        <f>IF(V102&lt;=0,CR103,MAX(0,$F$24+CR103-V102-CS103))</f>
        <v/>
      </c>
    </row>
    <row r="104">
      <c r="B104" s="39" t="n">
        <v>78</v>
      </c>
      <c r="C104" s="13">
        <f>IF(C103&lt;=0,0,MAX(0,C103+AN104-AO104))</f>
        <v/>
      </c>
      <c r="D104" s="13">
        <f>IF(D103&lt;=0,0,MAX(0,D103+AQ104-AR104))</f>
        <v/>
      </c>
      <c r="E104" s="13">
        <f>IF(E103&lt;=0,0,MAX(0,E103+AT104-AU104))</f>
        <v/>
      </c>
      <c r="F104" s="13">
        <f>IF(F103&lt;=0,0,MAX(0,F103+AW104-AX104))</f>
        <v/>
      </c>
      <c r="G104" s="13">
        <f>IF(G103&lt;=0,0,MAX(0,G103+AZ104-BA104))</f>
        <v/>
      </c>
      <c r="H104" s="13">
        <f>IF(H103&lt;=0,0,MAX(0,H103+BC104-BD104))</f>
        <v/>
      </c>
      <c r="I104" s="13">
        <f>IF(I103&lt;=0,0,MAX(0,I103+BF104-BG104))</f>
        <v/>
      </c>
      <c r="J104" s="13">
        <f>IF(J103&lt;=0,0,MAX(0,J103+BI104-BJ104))</f>
        <v/>
      </c>
      <c r="K104" s="13">
        <f>IF(K103&lt;=0,0,MAX(0,K103+BL104-BM104))</f>
        <v/>
      </c>
      <c r="L104" s="13">
        <f>IF(L103&lt;=0,0,MAX(0,L103+BO104-BP104))</f>
        <v/>
      </c>
      <c r="M104" s="13">
        <f>IF(M103&lt;=0,0,MAX(0,M103+BR104-BS104))</f>
        <v/>
      </c>
      <c r="N104" s="13">
        <f>IF(N103&lt;=0,0,MAX(0,N103+BU104-BV104))</f>
        <v/>
      </c>
      <c r="O104" s="13">
        <f>IF(O103&lt;=0,0,MAX(0,O103+BX104-BY104))</f>
        <v/>
      </c>
      <c r="P104" s="13">
        <f>IF(P103&lt;=0,0,MAX(0,P103+CA104-CB104))</f>
        <v/>
      </c>
      <c r="Q104" s="13">
        <f>IF(Q103&lt;=0,0,MAX(0,Q103+CD104-CE104))</f>
        <v/>
      </c>
      <c r="R104" s="13">
        <f>IF(R103&lt;=0,0,MAX(0,R103+CG104-CH104))</f>
        <v/>
      </c>
      <c r="S104" s="13">
        <f>IF(S103&lt;=0,0,MAX(0,S103+CJ104-CK104))</f>
        <v/>
      </c>
      <c r="T104" s="13">
        <f>IF(T103&lt;=0,0,MAX(0,T103+CM104-CN104))</f>
        <v/>
      </c>
      <c r="U104" s="13">
        <f>IF(U103&lt;=0,0,MAX(0,U103+CP104-CQ104))</f>
        <v/>
      </c>
      <c r="V104" s="13">
        <f>IF(V103&lt;=0,0,MAX(0,V103+CS104-CT104))</f>
        <v/>
      </c>
      <c r="W104" s="13">
        <f>AO104+AR104+AU104+AX104+BA104+BD104+BG104+BJ104+BM104+BP104+BS104+BV104+BY104+CB104+CE104+CH104+CK104+CN104+CQ104+CT104</f>
        <v/>
      </c>
      <c r="X104" s="13">
        <f>AN104+AQ104+AT104+AW104+AZ104+BC104+BF104+BI104+BL104+BO104+BR104+BU104+BX104+CA104+CD104+CG104+CJ104+CM104+CP104+CS104</f>
        <v/>
      </c>
      <c r="Y104" s="27">
        <f>C104+D104+E104+F104+G104+H104+I104+J104+K104+L104+M104+N104+O104+P104+Q104+R104+S104+T104+U104+V104</f>
        <v/>
      </c>
      <c r="AN104">
        <f>IF(C103&lt;=0,0,C103*$E$5/12)</f>
        <v/>
      </c>
      <c r="AO104">
        <f>IF(C103&lt;=0,0,MIN(C103+AN104,$F$5+(Dashboard!$C$11+IF(C103&lt;=0,$F$5,0)+IF(D103&lt;=0,$F$6,0)+IF(E103&lt;=0,$F$7,0)+IF(F103&lt;=0,$F$8,0)+IF(G103&lt;=0,$F$9,0)+IF(H103&lt;=0,$F$10,0)+IF(I103&lt;=0,$F$11,0)+IF(J103&lt;=0,$F$12,0)+IF(K103&lt;=0,$F$13,0)+IF(L103&lt;=0,$F$14,0)+IF(M103&lt;=0,$F$15,0)+IF(N103&lt;=0,$F$16,0)+IF(O103&lt;=0,$F$17,0)+IF(P103&lt;=0,$F$18,0)+IF(Q103&lt;=0,$F$19,0)+IF(R103&lt;=0,$F$20,0)+IF(S103&lt;=0,$F$21,0)+IF(T103&lt;=0,$F$22,0)+IF(U103&lt;=0,$F$23,0)+IF(V103&lt;=0,$F$24,0))))</f>
        <v/>
      </c>
      <c r="AP104">
        <f>IF(C103&lt;=0,(Dashboard!$C$11+IF(C103&lt;=0,$F$5,0)+IF(D103&lt;=0,$F$6,0)+IF(E103&lt;=0,$F$7,0)+IF(F103&lt;=0,$F$8,0)+IF(G103&lt;=0,$F$9,0)+IF(H103&lt;=0,$F$10,0)+IF(I103&lt;=0,$F$11,0)+IF(J103&lt;=0,$F$12,0)+IF(K103&lt;=0,$F$13,0)+IF(L103&lt;=0,$F$14,0)+IF(M103&lt;=0,$F$15,0)+IF(N103&lt;=0,$F$16,0)+IF(O103&lt;=0,$F$17,0)+IF(P103&lt;=0,$F$18,0)+IF(Q103&lt;=0,$F$19,0)+IF(R103&lt;=0,$F$20,0)+IF(S103&lt;=0,$F$21,0)+IF(T103&lt;=0,$F$22,0)+IF(U103&lt;=0,$F$23,0)+IF(V103&lt;=0,$F$24,0)),MAX(0,$F$5+(Dashboard!$C$11+IF(C103&lt;=0,$F$5,0)+IF(D103&lt;=0,$F$6,0)+IF(E103&lt;=0,$F$7,0)+IF(F103&lt;=0,$F$8,0)+IF(G103&lt;=0,$F$9,0)+IF(H103&lt;=0,$F$10,0)+IF(I103&lt;=0,$F$11,0)+IF(J103&lt;=0,$F$12,0)+IF(K103&lt;=0,$F$13,0)+IF(L103&lt;=0,$F$14,0)+IF(M103&lt;=0,$F$15,0)+IF(N103&lt;=0,$F$16,0)+IF(O103&lt;=0,$F$17,0)+IF(P103&lt;=0,$F$18,0)+IF(Q103&lt;=0,$F$19,0)+IF(R103&lt;=0,$F$20,0)+IF(S103&lt;=0,$F$21,0)+IF(T103&lt;=0,$F$22,0)+IF(U103&lt;=0,$F$23,0)+IF(V103&lt;=0,$F$24,0))-C103-AN104))</f>
        <v/>
      </c>
      <c r="AQ104">
        <f>IF(D103&lt;=0,0,D103*$E$6/12)</f>
        <v/>
      </c>
      <c r="AR104">
        <f>IF(D103&lt;=0,0,MIN(D103+AQ104,$F$6+AP104))</f>
        <v/>
      </c>
      <c r="AS104">
        <f>IF(D103&lt;=0,AP104,MAX(0,$F$6+AP104-D103-AQ104))</f>
        <v/>
      </c>
      <c r="AT104">
        <f>IF(E103&lt;=0,0,E103*$E$7/12)</f>
        <v/>
      </c>
      <c r="AU104">
        <f>IF(E103&lt;=0,0,MIN(E103+AT104,$F$7+AS104))</f>
        <v/>
      </c>
      <c r="AV104">
        <f>IF(E103&lt;=0,AS104,MAX(0,$F$7+AS104-E103-AT104))</f>
        <v/>
      </c>
      <c r="AW104">
        <f>IF(F103&lt;=0,0,F103*$E$8/12)</f>
        <v/>
      </c>
      <c r="AX104">
        <f>IF(F103&lt;=0,0,MIN(F103+AW104,$F$8+AV104))</f>
        <v/>
      </c>
      <c r="AY104">
        <f>IF(F103&lt;=0,AV104,MAX(0,$F$8+AV104-F103-AW104))</f>
        <v/>
      </c>
      <c r="AZ104">
        <f>IF(G103&lt;=0,0,G103*$E$9/12)</f>
        <v/>
      </c>
      <c r="BA104">
        <f>IF(G103&lt;=0,0,MIN(G103+AZ104,$F$9+AY104))</f>
        <v/>
      </c>
      <c r="BB104">
        <f>IF(G103&lt;=0,AY104,MAX(0,$F$9+AY104-G103-AZ104))</f>
        <v/>
      </c>
      <c r="BC104">
        <f>IF(H103&lt;=0,0,H103*$E$10/12)</f>
        <v/>
      </c>
      <c r="BD104">
        <f>IF(H103&lt;=0,0,MIN(H103+BC104,$F$10+BB104))</f>
        <v/>
      </c>
      <c r="BE104">
        <f>IF(H103&lt;=0,BB104,MAX(0,$F$10+BB104-H103-BC104))</f>
        <v/>
      </c>
      <c r="BF104">
        <f>IF(I103&lt;=0,0,I103*$E$11/12)</f>
        <v/>
      </c>
      <c r="BG104">
        <f>IF(I103&lt;=0,0,MIN(I103+BF104,$F$11+BE104))</f>
        <v/>
      </c>
      <c r="BH104">
        <f>IF(I103&lt;=0,BE104,MAX(0,$F$11+BE104-I103-BF104))</f>
        <v/>
      </c>
      <c r="BI104">
        <f>IF(J103&lt;=0,0,J103*$E$12/12)</f>
        <v/>
      </c>
      <c r="BJ104">
        <f>IF(J103&lt;=0,0,MIN(J103+BI104,$F$12+BH104))</f>
        <v/>
      </c>
      <c r="BK104">
        <f>IF(J103&lt;=0,BH104,MAX(0,$F$12+BH104-J103-BI104))</f>
        <v/>
      </c>
      <c r="BL104">
        <f>IF(K103&lt;=0,0,K103*$E$13/12)</f>
        <v/>
      </c>
      <c r="BM104">
        <f>IF(K103&lt;=0,0,MIN(K103+BL104,$F$13+BK104))</f>
        <v/>
      </c>
      <c r="BN104">
        <f>IF(K103&lt;=0,BK104,MAX(0,$F$13+BK104-K103-BL104))</f>
        <v/>
      </c>
      <c r="BO104">
        <f>IF(L103&lt;=0,0,L103*$E$14/12)</f>
        <v/>
      </c>
      <c r="BP104">
        <f>IF(L103&lt;=0,0,MIN(L103+BO104,$F$14+BN104))</f>
        <v/>
      </c>
      <c r="BQ104">
        <f>IF(L103&lt;=0,BN104,MAX(0,$F$14+BN104-L103-BO104))</f>
        <v/>
      </c>
      <c r="BR104">
        <f>IF(M103&lt;=0,0,M103*$E$15/12)</f>
        <v/>
      </c>
      <c r="BS104">
        <f>IF(M103&lt;=0,0,MIN(M103+BR104,$F$15+BQ104))</f>
        <v/>
      </c>
      <c r="BT104">
        <f>IF(M103&lt;=0,BQ104,MAX(0,$F$15+BQ104-M103-BR104))</f>
        <v/>
      </c>
      <c r="BU104">
        <f>IF(N103&lt;=0,0,N103*$E$16/12)</f>
        <v/>
      </c>
      <c r="BV104">
        <f>IF(N103&lt;=0,0,MIN(N103+BU104,$F$16+BT104))</f>
        <v/>
      </c>
      <c r="BW104">
        <f>IF(N103&lt;=0,BT104,MAX(0,$F$16+BT104-N103-BU104))</f>
        <v/>
      </c>
      <c r="BX104">
        <f>IF(O103&lt;=0,0,O103*$E$17/12)</f>
        <v/>
      </c>
      <c r="BY104">
        <f>IF(O103&lt;=0,0,MIN(O103+BX104,$F$17+BW104))</f>
        <v/>
      </c>
      <c r="BZ104">
        <f>IF(O103&lt;=0,BW104,MAX(0,$F$17+BW104-O103-BX104))</f>
        <v/>
      </c>
      <c r="CA104">
        <f>IF(P103&lt;=0,0,P103*$E$18/12)</f>
        <v/>
      </c>
      <c r="CB104">
        <f>IF(P103&lt;=0,0,MIN(P103+CA104,$F$18+BZ104))</f>
        <v/>
      </c>
      <c r="CC104">
        <f>IF(P103&lt;=0,BZ104,MAX(0,$F$18+BZ104-P103-CA104))</f>
        <v/>
      </c>
      <c r="CD104">
        <f>IF(Q103&lt;=0,0,Q103*$E$19/12)</f>
        <v/>
      </c>
      <c r="CE104">
        <f>IF(Q103&lt;=0,0,MIN(Q103+CD104,$F$19+CC104))</f>
        <v/>
      </c>
      <c r="CF104">
        <f>IF(Q103&lt;=0,CC104,MAX(0,$F$19+CC104-Q103-CD104))</f>
        <v/>
      </c>
      <c r="CG104">
        <f>IF(R103&lt;=0,0,R103*$E$20/12)</f>
        <v/>
      </c>
      <c r="CH104">
        <f>IF(R103&lt;=0,0,MIN(R103+CG104,$F$20+CF104))</f>
        <v/>
      </c>
      <c r="CI104">
        <f>IF(R103&lt;=0,CF104,MAX(0,$F$20+CF104-R103-CG104))</f>
        <v/>
      </c>
      <c r="CJ104">
        <f>IF(S103&lt;=0,0,S103*$E$21/12)</f>
        <v/>
      </c>
      <c r="CK104">
        <f>IF(S103&lt;=0,0,MIN(S103+CJ104,$F$21+CI104))</f>
        <v/>
      </c>
      <c r="CL104">
        <f>IF(S103&lt;=0,CI104,MAX(0,$F$21+CI104-S103-CJ104))</f>
        <v/>
      </c>
      <c r="CM104">
        <f>IF(T103&lt;=0,0,T103*$E$22/12)</f>
        <v/>
      </c>
      <c r="CN104">
        <f>IF(T103&lt;=0,0,MIN(T103+CM104,$F$22+CL104))</f>
        <v/>
      </c>
      <c r="CO104">
        <f>IF(T103&lt;=0,CL104,MAX(0,$F$22+CL104-T103-CM104))</f>
        <v/>
      </c>
      <c r="CP104">
        <f>IF(U103&lt;=0,0,U103*$E$23/12)</f>
        <v/>
      </c>
      <c r="CQ104">
        <f>IF(U103&lt;=0,0,MIN(U103+CP104,$F$23+CO104))</f>
        <v/>
      </c>
      <c r="CR104">
        <f>IF(U103&lt;=0,CO104,MAX(0,$F$23+CO104-U103-CP104))</f>
        <v/>
      </c>
      <c r="CS104">
        <f>IF(V103&lt;=0,0,V103*$E$24/12)</f>
        <v/>
      </c>
      <c r="CT104">
        <f>IF(V103&lt;=0,0,MIN(V103+CS104,$F$24+CR104))</f>
        <v/>
      </c>
      <c r="CU104">
        <f>IF(V103&lt;=0,CR104,MAX(0,$F$24+CR104-V103-CS104))</f>
        <v/>
      </c>
    </row>
    <row r="105">
      <c r="B105" s="39" t="n">
        <v>79</v>
      </c>
      <c r="C105" s="13">
        <f>IF(C104&lt;=0,0,MAX(0,C104+AN105-AO105))</f>
        <v/>
      </c>
      <c r="D105" s="13">
        <f>IF(D104&lt;=0,0,MAX(0,D104+AQ105-AR105))</f>
        <v/>
      </c>
      <c r="E105" s="13">
        <f>IF(E104&lt;=0,0,MAX(0,E104+AT105-AU105))</f>
        <v/>
      </c>
      <c r="F105" s="13">
        <f>IF(F104&lt;=0,0,MAX(0,F104+AW105-AX105))</f>
        <v/>
      </c>
      <c r="G105" s="13">
        <f>IF(G104&lt;=0,0,MAX(0,G104+AZ105-BA105))</f>
        <v/>
      </c>
      <c r="H105" s="13">
        <f>IF(H104&lt;=0,0,MAX(0,H104+BC105-BD105))</f>
        <v/>
      </c>
      <c r="I105" s="13">
        <f>IF(I104&lt;=0,0,MAX(0,I104+BF105-BG105))</f>
        <v/>
      </c>
      <c r="J105" s="13">
        <f>IF(J104&lt;=0,0,MAX(0,J104+BI105-BJ105))</f>
        <v/>
      </c>
      <c r="K105" s="13">
        <f>IF(K104&lt;=0,0,MAX(0,K104+BL105-BM105))</f>
        <v/>
      </c>
      <c r="L105" s="13">
        <f>IF(L104&lt;=0,0,MAX(0,L104+BO105-BP105))</f>
        <v/>
      </c>
      <c r="M105" s="13">
        <f>IF(M104&lt;=0,0,MAX(0,M104+BR105-BS105))</f>
        <v/>
      </c>
      <c r="N105" s="13">
        <f>IF(N104&lt;=0,0,MAX(0,N104+BU105-BV105))</f>
        <v/>
      </c>
      <c r="O105" s="13">
        <f>IF(O104&lt;=0,0,MAX(0,O104+BX105-BY105))</f>
        <v/>
      </c>
      <c r="P105" s="13">
        <f>IF(P104&lt;=0,0,MAX(0,P104+CA105-CB105))</f>
        <v/>
      </c>
      <c r="Q105" s="13">
        <f>IF(Q104&lt;=0,0,MAX(0,Q104+CD105-CE105))</f>
        <v/>
      </c>
      <c r="R105" s="13">
        <f>IF(R104&lt;=0,0,MAX(0,R104+CG105-CH105))</f>
        <v/>
      </c>
      <c r="S105" s="13">
        <f>IF(S104&lt;=0,0,MAX(0,S104+CJ105-CK105))</f>
        <v/>
      </c>
      <c r="T105" s="13">
        <f>IF(T104&lt;=0,0,MAX(0,T104+CM105-CN105))</f>
        <v/>
      </c>
      <c r="U105" s="13">
        <f>IF(U104&lt;=0,0,MAX(0,U104+CP105-CQ105))</f>
        <v/>
      </c>
      <c r="V105" s="13">
        <f>IF(V104&lt;=0,0,MAX(0,V104+CS105-CT105))</f>
        <v/>
      </c>
      <c r="W105" s="13">
        <f>AO105+AR105+AU105+AX105+BA105+BD105+BG105+BJ105+BM105+BP105+BS105+BV105+BY105+CB105+CE105+CH105+CK105+CN105+CQ105+CT105</f>
        <v/>
      </c>
      <c r="X105" s="13">
        <f>AN105+AQ105+AT105+AW105+AZ105+BC105+BF105+BI105+BL105+BO105+BR105+BU105+BX105+CA105+CD105+CG105+CJ105+CM105+CP105+CS105</f>
        <v/>
      </c>
      <c r="Y105" s="27">
        <f>C105+D105+E105+F105+G105+H105+I105+J105+K105+L105+M105+N105+O105+P105+Q105+R105+S105+T105+U105+V105</f>
        <v/>
      </c>
      <c r="AN105">
        <f>IF(C104&lt;=0,0,C104*$E$5/12)</f>
        <v/>
      </c>
      <c r="AO105">
        <f>IF(C104&lt;=0,0,MIN(C104+AN105,$F$5+(Dashboard!$C$11+IF(C104&lt;=0,$F$5,0)+IF(D104&lt;=0,$F$6,0)+IF(E104&lt;=0,$F$7,0)+IF(F104&lt;=0,$F$8,0)+IF(G104&lt;=0,$F$9,0)+IF(H104&lt;=0,$F$10,0)+IF(I104&lt;=0,$F$11,0)+IF(J104&lt;=0,$F$12,0)+IF(K104&lt;=0,$F$13,0)+IF(L104&lt;=0,$F$14,0)+IF(M104&lt;=0,$F$15,0)+IF(N104&lt;=0,$F$16,0)+IF(O104&lt;=0,$F$17,0)+IF(P104&lt;=0,$F$18,0)+IF(Q104&lt;=0,$F$19,0)+IF(R104&lt;=0,$F$20,0)+IF(S104&lt;=0,$F$21,0)+IF(T104&lt;=0,$F$22,0)+IF(U104&lt;=0,$F$23,0)+IF(V104&lt;=0,$F$24,0))))</f>
        <v/>
      </c>
      <c r="AP105">
        <f>IF(C104&lt;=0,(Dashboard!$C$11+IF(C104&lt;=0,$F$5,0)+IF(D104&lt;=0,$F$6,0)+IF(E104&lt;=0,$F$7,0)+IF(F104&lt;=0,$F$8,0)+IF(G104&lt;=0,$F$9,0)+IF(H104&lt;=0,$F$10,0)+IF(I104&lt;=0,$F$11,0)+IF(J104&lt;=0,$F$12,0)+IF(K104&lt;=0,$F$13,0)+IF(L104&lt;=0,$F$14,0)+IF(M104&lt;=0,$F$15,0)+IF(N104&lt;=0,$F$16,0)+IF(O104&lt;=0,$F$17,0)+IF(P104&lt;=0,$F$18,0)+IF(Q104&lt;=0,$F$19,0)+IF(R104&lt;=0,$F$20,0)+IF(S104&lt;=0,$F$21,0)+IF(T104&lt;=0,$F$22,0)+IF(U104&lt;=0,$F$23,0)+IF(V104&lt;=0,$F$24,0)),MAX(0,$F$5+(Dashboard!$C$11+IF(C104&lt;=0,$F$5,0)+IF(D104&lt;=0,$F$6,0)+IF(E104&lt;=0,$F$7,0)+IF(F104&lt;=0,$F$8,0)+IF(G104&lt;=0,$F$9,0)+IF(H104&lt;=0,$F$10,0)+IF(I104&lt;=0,$F$11,0)+IF(J104&lt;=0,$F$12,0)+IF(K104&lt;=0,$F$13,0)+IF(L104&lt;=0,$F$14,0)+IF(M104&lt;=0,$F$15,0)+IF(N104&lt;=0,$F$16,0)+IF(O104&lt;=0,$F$17,0)+IF(P104&lt;=0,$F$18,0)+IF(Q104&lt;=0,$F$19,0)+IF(R104&lt;=0,$F$20,0)+IF(S104&lt;=0,$F$21,0)+IF(T104&lt;=0,$F$22,0)+IF(U104&lt;=0,$F$23,0)+IF(V104&lt;=0,$F$24,0))-C104-AN105))</f>
        <v/>
      </c>
      <c r="AQ105">
        <f>IF(D104&lt;=0,0,D104*$E$6/12)</f>
        <v/>
      </c>
      <c r="AR105">
        <f>IF(D104&lt;=0,0,MIN(D104+AQ105,$F$6+AP105))</f>
        <v/>
      </c>
      <c r="AS105">
        <f>IF(D104&lt;=0,AP105,MAX(0,$F$6+AP105-D104-AQ105))</f>
        <v/>
      </c>
      <c r="AT105">
        <f>IF(E104&lt;=0,0,E104*$E$7/12)</f>
        <v/>
      </c>
      <c r="AU105">
        <f>IF(E104&lt;=0,0,MIN(E104+AT105,$F$7+AS105))</f>
        <v/>
      </c>
      <c r="AV105">
        <f>IF(E104&lt;=0,AS105,MAX(0,$F$7+AS105-E104-AT105))</f>
        <v/>
      </c>
      <c r="AW105">
        <f>IF(F104&lt;=0,0,F104*$E$8/12)</f>
        <v/>
      </c>
      <c r="AX105">
        <f>IF(F104&lt;=0,0,MIN(F104+AW105,$F$8+AV105))</f>
        <v/>
      </c>
      <c r="AY105">
        <f>IF(F104&lt;=0,AV105,MAX(0,$F$8+AV105-F104-AW105))</f>
        <v/>
      </c>
      <c r="AZ105">
        <f>IF(G104&lt;=0,0,G104*$E$9/12)</f>
        <v/>
      </c>
      <c r="BA105">
        <f>IF(G104&lt;=0,0,MIN(G104+AZ105,$F$9+AY105))</f>
        <v/>
      </c>
      <c r="BB105">
        <f>IF(G104&lt;=0,AY105,MAX(0,$F$9+AY105-G104-AZ105))</f>
        <v/>
      </c>
      <c r="BC105">
        <f>IF(H104&lt;=0,0,H104*$E$10/12)</f>
        <v/>
      </c>
      <c r="BD105">
        <f>IF(H104&lt;=0,0,MIN(H104+BC105,$F$10+BB105))</f>
        <v/>
      </c>
      <c r="BE105">
        <f>IF(H104&lt;=0,BB105,MAX(0,$F$10+BB105-H104-BC105))</f>
        <v/>
      </c>
      <c r="BF105">
        <f>IF(I104&lt;=0,0,I104*$E$11/12)</f>
        <v/>
      </c>
      <c r="BG105">
        <f>IF(I104&lt;=0,0,MIN(I104+BF105,$F$11+BE105))</f>
        <v/>
      </c>
      <c r="BH105">
        <f>IF(I104&lt;=0,BE105,MAX(0,$F$11+BE105-I104-BF105))</f>
        <v/>
      </c>
      <c r="BI105">
        <f>IF(J104&lt;=0,0,J104*$E$12/12)</f>
        <v/>
      </c>
      <c r="BJ105">
        <f>IF(J104&lt;=0,0,MIN(J104+BI105,$F$12+BH105))</f>
        <v/>
      </c>
      <c r="BK105">
        <f>IF(J104&lt;=0,BH105,MAX(0,$F$12+BH105-J104-BI105))</f>
        <v/>
      </c>
      <c r="BL105">
        <f>IF(K104&lt;=0,0,K104*$E$13/12)</f>
        <v/>
      </c>
      <c r="BM105">
        <f>IF(K104&lt;=0,0,MIN(K104+BL105,$F$13+BK105))</f>
        <v/>
      </c>
      <c r="BN105">
        <f>IF(K104&lt;=0,BK105,MAX(0,$F$13+BK105-K104-BL105))</f>
        <v/>
      </c>
      <c r="BO105">
        <f>IF(L104&lt;=0,0,L104*$E$14/12)</f>
        <v/>
      </c>
      <c r="BP105">
        <f>IF(L104&lt;=0,0,MIN(L104+BO105,$F$14+BN105))</f>
        <v/>
      </c>
      <c r="BQ105">
        <f>IF(L104&lt;=0,BN105,MAX(0,$F$14+BN105-L104-BO105))</f>
        <v/>
      </c>
      <c r="BR105">
        <f>IF(M104&lt;=0,0,M104*$E$15/12)</f>
        <v/>
      </c>
      <c r="BS105">
        <f>IF(M104&lt;=0,0,MIN(M104+BR105,$F$15+BQ105))</f>
        <v/>
      </c>
      <c r="BT105">
        <f>IF(M104&lt;=0,BQ105,MAX(0,$F$15+BQ105-M104-BR105))</f>
        <v/>
      </c>
      <c r="BU105">
        <f>IF(N104&lt;=0,0,N104*$E$16/12)</f>
        <v/>
      </c>
      <c r="BV105">
        <f>IF(N104&lt;=0,0,MIN(N104+BU105,$F$16+BT105))</f>
        <v/>
      </c>
      <c r="BW105">
        <f>IF(N104&lt;=0,BT105,MAX(0,$F$16+BT105-N104-BU105))</f>
        <v/>
      </c>
      <c r="BX105">
        <f>IF(O104&lt;=0,0,O104*$E$17/12)</f>
        <v/>
      </c>
      <c r="BY105">
        <f>IF(O104&lt;=0,0,MIN(O104+BX105,$F$17+BW105))</f>
        <v/>
      </c>
      <c r="BZ105">
        <f>IF(O104&lt;=0,BW105,MAX(0,$F$17+BW105-O104-BX105))</f>
        <v/>
      </c>
      <c r="CA105">
        <f>IF(P104&lt;=0,0,P104*$E$18/12)</f>
        <v/>
      </c>
      <c r="CB105">
        <f>IF(P104&lt;=0,0,MIN(P104+CA105,$F$18+BZ105))</f>
        <v/>
      </c>
      <c r="CC105">
        <f>IF(P104&lt;=0,BZ105,MAX(0,$F$18+BZ105-P104-CA105))</f>
        <v/>
      </c>
      <c r="CD105">
        <f>IF(Q104&lt;=0,0,Q104*$E$19/12)</f>
        <v/>
      </c>
      <c r="CE105">
        <f>IF(Q104&lt;=0,0,MIN(Q104+CD105,$F$19+CC105))</f>
        <v/>
      </c>
      <c r="CF105">
        <f>IF(Q104&lt;=0,CC105,MAX(0,$F$19+CC105-Q104-CD105))</f>
        <v/>
      </c>
      <c r="CG105">
        <f>IF(R104&lt;=0,0,R104*$E$20/12)</f>
        <v/>
      </c>
      <c r="CH105">
        <f>IF(R104&lt;=0,0,MIN(R104+CG105,$F$20+CF105))</f>
        <v/>
      </c>
      <c r="CI105">
        <f>IF(R104&lt;=0,CF105,MAX(0,$F$20+CF105-R104-CG105))</f>
        <v/>
      </c>
      <c r="CJ105">
        <f>IF(S104&lt;=0,0,S104*$E$21/12)</f>
        <v/>
      </c>
      <c r="CK105">
        <f>IF(S104&lt;=0,0,MIN(S104+CJ105,$F$21+CI105))</f>
        <v/>
      </c>
      <c r="CL105">
        <f>IF(S104&lt;=0,CI105,MAX(0,$F$21+CI105-S104-CJ105))</f>
        <v/>
      </c>
      <c r="CM105">
        <f>IF(T104&lt;=0,0,T104*$E$22/12)</f>
        <v/>
      </c>
      <c r="CN105">
        <f>IF(T104&lt;=0,0,MIN(T104+CM105,$F$22+CL105))</f>
        <v/>
      </c>
      <c r="CO105">
        <f>IF(T104&lt;=0,CL105,MAX(0,$F$22+CL105-T104-CM105))</f>
        <v/>
      </c>
      <c r="CP105">
        <f>IF(U104&lt;=0,0,U104*$E$23/12)</f>
        <v/>
      </c>
      <c r="CQ105">
        <f>IF(U104&lt;=0,0,MIN(U104+CP105,$F$23+CO105))</f>
        <v/>
      </c>
      <c r="CR105">
        <f>IF(U104&lt;=0,CO105,MAX(0,$F$23+CO105-U104-CP105))</f>
        <v/>
      </c>
      <c r="CS105">
        <f>IF(V104&lt;=0,0,V104*$E$24/12)</f>
        <v/>
      </c>
      <c r="CT105">
        <f>IF(V104&lt;=0,0,MIN(V104+CS105,$F$24+CR105))</f>
        <v/>
      </c>
      <c r="CU105">
        <f>IF(V104&lt;=0,CR105,MAX(0,$F$24+CR105-V104-CS105))</f>
        <v/>
      </c>
    </row>
    <row r="106">
      <c r="B106" s="39" t="n">
        <v>80</v>
      </c>
      <c r="C106" s="13">
        <f>IF(C105&lt;=0,0,MAX(0,C105+AN106-AO106))</f>
        <v/>
      </c>
      <c r="D106" s="13">
        <f>IF(D105&lt;=0,0,MAX(0,D105+AQ106-AR106))</f>
        <v/>
      </c>
      <c r="E106" s="13">
        <f>IF(E105&lt;=0,0,MAX(0,E105+AT106-AU106))</f>
        <v/>
      </c>
      <c r="F106" s="13">
        <f>IF(F105&lt;=0,0,MAX(0,F105+AW106-AX106))</f>
        <v/>
      </c>
      <c r="G106" s="13">
        <f>IF(G105&lt;=0,0,MAX(0,G105+AZ106-BA106))</f>
        <v/>
      </c>
      <c r="H106" s="13">
        <f>IF(H105&lt;=0,0,MAX(0,H105+BC106-BD106))</f>
        <v/>
      </c>
      <c r="I106" s="13">
        <f>IF(I105&lt;=0,0,MAX(0,I105+BF106-BG106))</f>
        <v/>
      </c>
      <c r="J106" s="13">
        <f>IF(J105&lt;=0,0,MAX(0,J105+BI106-BJ106))</f>
        <v/>
      </c>
      <c r="K106" s="13">
        <f>IF(K105&lt;=0,0,MAX(0,K105+BL106-BM106))</f>
        <v/>
      </c>
      <c r="L106" s="13">
        <f>IF(L105&lt;=0,0,MAX(0,L105+BO106-BP106))</f>
        <v/>
      </c>
      <c r="M106" s="13">
        <f>IF(M105&lt;=0,0,MAX(0,M105+BR106-BS106))</f>
        <v/>
      </c>
      <c r="N106" s="13">
        <f>IF(N105&lt;=0,0,MAX(0,N105+BU106-BV106))</f>
        <v/>
      </c>
      <c r="O106" s="13">
        <f>IF(O105&lt;=0,0,MAX(0,O105+BX106-BY106))</f>
        <v/>
      </c>
      <c r="P106" s="13">
        <f>IF(P105&lt;=0,0,MAX(0,P105+CA106-CB106))</f>
        <v/>
      </c>
      <c r="Q106" s="13">
        <f>IF(Q105&lt;=0,0,MAX(0,Q105+CD106-CE106))</f>
        <v/>
      </c>
      <c r="R106" s="13">
        <f>IF(R105&lt;=0,0,MAX(0,R105+CG106-CH106))</f>
        <v/>
      </c>
      <c r="S106" s="13">
        <f>IF(S105&lt;=0,0,MAX(0,S105+CJ106-CK106))</f>
        <v/>
      </c>
      <c r="T106" s="13">
        <f>IF(T105&lt;=0,0,MAX(0,T105+CM106-CN106))</f>
        <v/>
      </c>
      <c r="U106" s="13">
        <f>IF(U105&lt;=0,0,MAX(0,U105+CP106-CQ106))</f>
        <v/>
      </c>
      <c r="V106" s="13">
        <f>IF(V105&lt;=0,0,MAX(0,V105+CS106-CT106))</f>
        <v/>
      </c>
      <c r="W106" s="13">
        <f>AO106+AR106+AU106+AX106+BA106+BD106+BG106+BJ106+BM106+BP106+BS106+BV106+BY106+CB106+CE106+CH106+CK106+CN106+CQ106+CT106</f>
        <v/>
      </c>
      <c r="X106" s="13">
        <f>AN106+AQ106+AT106+AW106+AZ106+BC106+BF106+BI106+BL106+BO106+BR106+BU106+BX106+CA106+CD106+CG106+CJ106+CM106+CP106+CS106</f>
        <v/>
      </c>
      <c r="Y106" s="27">
        <f>C106+D106+E106+F106+G106+H106+I106+J106+K106+L106+M106+N106+O106+P106+Q106+R106+S106+T106+U106+V106</f>
        <v/>
      </c>
      <c r="AN106">
        <f>IF(C105&lt;=0,0,C105*$E$5/12)</f>
        <v/>
      </c>
      <c r="AO106">
        <f>IF(C105&lt;=0,0,MIN(C105+AN106,$F$5+(Dashboard!$C$11+IF(C105&lt;=0,$F$5,0)+IF(D105&lt;=0,$F$6,0)+IF(E105&lt;=0,$F$7,0)+IF(F105&lt;=0,$F$8,0)+IF(G105&lt;=0,$F$9,0)+IF(H105&lt;=0,$F$10,0)+IF(I105&lt;=0,$F$11,0)+IF(J105&lt;=0,$F$12,0)+IF(K105&lt;=0,$F$13,0)+IF(L105&lt;=0,$F$14,0)+IF(M105&lt;=0,$F$15,0)+IF(N105&lt;=0,$F$16,0)+IF(O105&lt;=0,$F$17,0)+IF(P105&lt;=0,$F$18,0)+IF(Q105&lt;=0,$F$19,0)+IF(R105&lt;=0,$F$20,0)+IF(S105&lt;=0,$F$21,0)+IF(T105&lt;=0,$F$22,0)+IF(U105&lt;=0,$F$23,0)+IF(V105&lt;=0,$F$24,0))))</f>
        <v/>
      </c>
      <c r="AP106">
        <f>IF(C105&lt;=0,(Dashboard!$C$11+IF(C105&lt;=0,$F$5,0)+IF(D105&lt;=0,$F$6,0)+IF(E105&lt;=0,$F$7,0)+IF(F105&lt;=0,$F$8,0)+IF(G105&lt;=0,$F$9,0)+IF(H105&lt;=0,$F$10,0)+IF(I105&lt;=0,$F$11,0)+IF(J105&lt;=0,$F$12,0)+IF(K105&lt;=0,$F$13,0)+IF(L105&lt;=0,$F$14,0)+IF(M105&lt;=0,$F$15,0)+IF(N105&lt;=0,$F$16,0)+IF(O105&lt;=0,$F$17,0)+IF(P105&lt;=0,$F$18,0)+IF(Q105&lt;=0,$F$19,0)+IF(R105&lt;=0,$F$20,0)+IF(S105&lt;=0,$F$21,0)+IF(T105&lt;=0,$F$22,0)+IF(U105&lt;=0,$F$23,0)+IF(V105&lt;=0,$F$24,0)),MAX(0,$F$5+(Dashboard!$C$11+IF(C105&lt;=0,$F$5,0)+IF(D105&lt;=0,$F$6,0)+IF(E105&lt;=0,$F$7,0)+IF(F105&lt;=0,$F$8,0)+IF(G105&lt;=0,$F$9,0)+IF(H105&lt;=0,$F$10,0)+IF(I105&lt;=0,$F$11,0)+IF(J105&lt;=0,$F$12,0)+IF(K105&lt;=0,$F$13,0)+IF(L105&lt;=0,$F$14,0)+IF(M105&lt;=0,$F$15,0)+IF(N105&lt;=0,$F$16,0)+IF(O105&lt;=0,$F$17,0)+IF(P105&lt;=0,$F$18,0)+IF(Q105&lt;=0,$F$19,0)+IF(R105&lt;=0,$F$20,0)+IF(S105&lt;=0,$F$21,0)+IF(T105&lt;=0,$F$22,0)+IF(U105&lt;=0,$F$23,0)+IF(V105&lt;=0,$F$24,0))-C105-AN106))</f>
        <v/>
      </c>
      <c r="AQ106">
        <f>IF(D105&lt;=0,0,D105*$E$6/12)</f>
        <v/>
      </c>
      <c r="AR106">
        <f>IF(D105&lt;=0,0,MIN(D105+AQ106,$F$6+AP106))</f>
        <v/>
      </c>
      <c r="AS106">
        <f>IF(D105&lt;=0,AP106,MAX(0,$F$6+AP106-D105-AQ106))</f>
        <v/>
      </c>
      <c r="AT106">
        <f>IF(E105&lt;=0,0,E105*$E$7/12)</f>
        <v/>
      </c>
      <c r="AU106">
        <f>IF(E105&lt;=0,0,MIN(E105+AT106,$F$7+AS106))</f>
        <v/>
      </c>
      <c r="AV106">
        <f>IF(E105&lt;=0,AS106,MAX(0,$F$7+AS106-E105-AT106))</f>
        <v/>
      </c>
      <c r="AW106">
        <f>IF(F105&lt;=0,0,F105*$E$8/12)</f>
        <v/>
      </c>
      <c r="AX106">
        <f>IF(F105&lt;=0,0,MIN(F105+AW106,$F$8+AV106))</f>
        <v/>
      </c>
      <c r="AY106">
        <f>IF(F105&lt;=0,AV106,MAX(0,$F$8+AV106-F105-AW106))</f>
        <v/>
      </c>
      <c r="AZ106">
        <f>IF(G105&lt;=0,0,G105*$E$9/12)</f>
        <v/>
      </c>
      <c r="BA106">
        <f>IF(G105&lt;=0,0,MIN(G105+AZ106,$F$9+AY106))</f>
        <v/>
      </c>
      <c r="BB106">
        <f>IF(G105&lt;=0,AY106,MAX(0,$F$9+AY106-G105-AZ106))</f>
        <v/>
      </c>
      <c r="BC106">
        <f>IF(H105&lt;=0,0,H105*$E$10/12)</f>
        <v/>
      </c>
      <c r="BD106">
        <f>IF(H105&lt;=0,0,MIN(H105+BC106,$F$10+BB106))</f>
        <v/>
      </c>
      <c r="BE106">
        <f>IF(H105&lt;=0,BB106,MAX(0,$F$10+BB106-H105-BC106))</f>
        <v/>
      </c>
      <c r="BF106">
        <f>IF(I105&lt;=0,0,I105*$E$11/12)</f>
        <v/>
      </c>
      <c r="BG106">
        <f>IF(I105&lt;=0,0,MIN(I105+BF106,$F$11+BE106))</f>
        <v/>
      </c>
      <c r="BH106">
        <f>IF(I105&lt;=0,BE106,MAX(0,$F$11+BE106-I105-BF106))</f>
        <v/>
      </c>
      <c r="BI106">
        <f>IF(J105&lt;=0,0,J105*$E$12/12)</f>
        <v/>
      </c>
      <c r="BJ106">
        <f>IF(J105&lt;=0,0,MIN(J105+BI106,$F$12+BH106))</f>
        <v/>
      </c>
      <c r="BK106">
        <f>IF(J105&lt;=0,BH106,MAX(0,$F$12+BH106-J105-BI106))</f>
        <v/>
      </c>
      <c r="BL106">
        <f>IF(K105&lt;=0,0,K105*$E$13/12)</f>
        <v/>
      </c>
      <c r="BM106">
        <f>IF(K105&lt;=0,0,MIN(K105+BL106,$F$13+BK106))</f>
        <v/>
      </c>
      <c r="BN106">
        <f>IF(K105&lt;=0,BK106,MAX(0,$F$13+BK106-K105-BL106))</f>
        <v/>
      </c>
      <c r="BO106">
        <f>IF(L105&lt;=0,0,L105*$E$14/12)</f>
        <v/>
      </c>
      <c r="BP106">
        <f>IF(L105&lt;=0,0,MIN(L105+BO106,$F$14+BN106))</f>
        <v/>
      </c>
      <c r="BQ106">
        <f>IF(L105&lt;=0,BN106,MAX(0,$F$14+BN106-L105-BO106))</f>
        <v/>
      </c>
      <c r="BR106">
        <f>IF(M105&lt;=0,0,M105*$E$15/12)</f>
        <v/>
      </c>
      <c r="BS106">
        <f>IF(M105&lt;=0,0,MIN(M105+BR106,$F$15+BQ106))</f>
        <v/>
      </c>
      <c r="BT106">
        <f>IF(M105&lt;=0,BQ106,MAX(0,$F$15+BQ106-M105-BR106))</f>
        <v/>
      </c>
      <c r="BU106">
        <f>IF(N105&lt;=0,0,N105*$E$16/12)</f>
        <v/>
      </c>
      <c r="BV106">
        <f>IF(N105&lt;=0,0,MIN(N105+BU106,$F$16+BT106))</f>
        <v/>
      </c>
      <c r="BW106">
        <f>IF(N105&lt;=0,BT106,MAX(0,$F$16+BT106-N105-BU106))</f>
        <v/>
      </c>
      <c r="BX106">
        <f>IF(O105&lt;=0,0,O105*$E$17/12)</f>
        <v/>
      </c>
      <c r="BY106">
        <f>IF(O105&lt;=0,0,MIN(O105+BX106,$F$17+BW106))</f>
        <v/>
      </c>
      <c r="BZ106">
        <f>IF(O105&lt;=0,BW106,MAX(0,$F$17+BW106-O105-BX106))</f>
        <v/>
      </c>
      <c r="CA106">
        <f>IF(P105&lt;=0,0,P105*$E$18/12)</f>
        <v/>
      </c>
      <c r="CB106">
        <f>IF(P105&lt;=0,0,MIN(P105+CA106,$F$18+BZ106))</f>
        <v/>
      </c>
      <c r="CC106">
        <f>IF(P105&lt;=0,BZ106,MAX(0,$F$18+BZ106-P105-CA106))</f>
        <v/>
      </c>
      <c r="CD106">
        <f>IF(Q105&lt;=0,0,Q105*$E$19/12)</f>
        <v/>
      </c>
      <c r="CE106">
        <f>IF(Q105&lt;=0,0,MIN(Q105+CD106,$F$19+CC106))</f>
        <v/>
      </c>
      <c r="CF106">
        <f>IF(Q105&lt;=0,CC106,MAX(0,$F$19+CC106-Q105-CD106))</f>
        <v/>
      </c>
      <c r="CG106">
        <f>IF(R105&lt;=0,0,R105*$E$20/12)</f>
        <v/>
      </c>
      <c r="CH106">
        <f>IF(R105&lt;=0,0,MIN(R105+CG106,$F$20+CF106))</f>
        <v/>
      </c>
      <c r="CI106">
        <f>IF(R105&lt;=0,CF106,MAX(0,$F$20+CF106-R105-CG106))</f>
        <v/>
      </c>
      <c r="CJ106">
        <f>IF(S105&lt;=0,0,S105*$E$21/12)</f>
        <v/>
      </c>
      <c r="CK106">
        <f>IF(S105&lt;=0,0,MIN(S105+CJ106,$F$21+CI106))</f>
        <v/>
      </c>
      <c r="CL106">
        <f>IF(S105&lt;=0,CI106,MAX(0,$F$21+CI106-S105-CJ106))</f>
        <v/>
      </c>
      <c r="CM106">
        <f>IF(T105&lt;=0,0,T105*$E$22/12)</f>
        <v/>
      </c>
      <c r="CN106">
        <f>IF(T105&lt;=0,0,MIN(T105+CM106,$F$22+CL106))</f>
        <v/>
      </c>
      <c r="CO106">
        <f>IF(T105&lt;=0,CL106,MAX(0,$F$22+CL106-T105-CM106))</f>
        <v/>
      </c>
      <c r="CP106">
        <f>IF(U105&lt;=0,0,U105*$E$23/12)</f>
        <v/>
      </c>
      <c r="CQ106">
        <f>IF(U105&lt;=0,0,MIN(U105+CP106,$F$23+CO106))</f>
        <v/>
      </c>
      <c r="CR106">
        <f>IF(U105&lt;=0,CO106,MAX(0,$F$23+CO106-U105-CP106))</f>
        <v/>
      </c>
      <c r="CS106">
        <f>IF(V105&lt;=0,0,V105*$E$24/12)</f>
        <v/>
      </c>
      <c r="CT106">
        <f>IF(V105&lt;=0,0,MIN(V105+CS106,$F$24+CR106))</f>
        <v/>
      </c>
      <c r="CU106">
        <f>IF(V105&lt;=0,CR106,MAX(0,$F$24+CR106-V105-CS106))</f>
        <v/>
      </c>
    </row>
    <row r="107">
      <c r="B107" s="39" t="n">
        <v>81</v>
      </c>
      <c r="C107" s="13">
        <f>IF(C106&lt;=0,0,MAX(0,C106+AN107-AO107))</f>
        <v/>
      </c>
      <c r="D107" s="13">
        <f>IF(D106&lt;=0,0,MAX(0,D106+AQ107-AR107))</f>
        <v/>
      </c>
      <c r="E107" s="13">
        <f>IF(E106&lt;=0,0,MAX(0,E106+AT107-AU107))</f>
        <v/>
      </c>
      <c r="F107" s="13">
        <f>IF(F106&lt;=0,0,MAX(0,F106+AW107-AX107))</f>
        <v/>
      </c>
      <c r="G107" s="13">
        <f>IF(G106&lt;=0,0,MAX(0,G106+AZ107-BA107))</f>
        <v/>
      </c>
      <c r="H107" s="13">
        <f>IF(H106&lt;=0,0,MAX(0,H106+BC107-BD107))</f>
        <v/>
      </c>
      <c r="I107" s="13">
        <f>IF(I106&lt;=0,0,MAX(0,I106+BF107-BG107))</f>
        <v/>
      </c>
      <c r="J107" s="13">
        <f>IF(J106&lt;=0,0,MAX(0,J106+BI107-BJ107))</f>
        <v/>
      </c>
      <c r="K107" s="13">
        <f>IF(K106&lt;=0,0,MAX(0,K106+BL107-BM107))</f>
        <v/>
      </c>
      <c r="L107" s="13">
        <f>IF(L106&lt;=0,0,MAX(0,L106+BO107-BP107))</f>
        <v/>
      </c>
      <c r="M107" s="13">
        <f>IF(M106&lt;=0,0,MAX(0,M106+BR107-BS107))</f>
        <v/>
      </c>
      <c r="N107" s="13">
        <f>IF(N106&lt;=0,0,MAX(0,N106+BU107-BV107))</f>
        <v/>
      </c>
      <c r="O107" s="13">
        <f>IF(O106&lt;=0,0,MAX(0,O106+BX107-BY107))</f>
        <v/>
      </c>
      <c r="P107" s="13">
        <f>IF(P106&lt;=0,0,MAX(0,P106+CA107-CB107))</f>
        <v/>
      </c>
      <c r="Q107" s="13">
        <f>IF(Q106&lt;=0,0,MAX(0,Q106+CD107-CE107))</f>
        <v/>
      </c>
      <c r="R107" s="13">
        <f>IF(R106&lt;=0,0,MAX(0,R106+CG107-CH107))</f>
        <v/>
      </c>
      <c r="S107" s="13">
        <f>IF(S106&lt;=0,0,MAX(0,S106+CJ107-CK107))</f>
        <v/>
      </c>
      <c r="T107" s="13">
        <f>IF(T106&lt;=0,0,MAX(0,T106+CM107-CN107))</f>
        <v/>
      </c>
      <c r="U107" s="13">
        <f>IF(U106&lt;=0,0,MAX(0,U106+CP107-CQ107))</f>
        <v/>
      </c>
      <c r="V107" s="13">
        <f>IF(V106&lt;=0,0,MAX(0,V106+CS107-CT107))</f>
        <v/>
      </c>
      <c r="W107" s="13">
        <f>AO107+AR107+AU107+AX107+BA107+BD107+BG107+BJ107+BM107+BP107+BS107+BV107+BY107+CB107+CE107+CH107+CK107+CN107+CQ107+CT107</f>
        <v/>
      </c>
      <c r="X107" s="13">
        <f>AN107+AQ107+AT107+AW107+AZ107+BC107+BF107+BI107+BL107+BO107+BR107+BU107+BX107+CA107+CD107+CG107+CJ107+CM107+CP107+CS107</f>
        <v/>
      </c>
      <c r="Y107" s="27">
        <f>C107+D107+E107+F107+G107+H107+I107+J107+K107+L107+M107+N107+O107+P107+Q107+R107+S107+T107+U107+V107</f>
        <v/>
      </c>
      <c r="AN107">
        <f>IF(C106&lt;=0,0,C106*$E$5/12)</f>
        <v/>
      </c>
      <c r="AO107">
        <f>IF(C106&lt;=0,0,MIN(C106+AN107,$F$5+(Dashboard!$C$11+IF(C106&lt;=0,$F$5,0)+IF(D106&lt;=0,$F$6,0)+IF(E106&lt;=0,$F$7,0)+IF(F106&lt;=0,$F$8,0)+IF(G106&lt;=0,$F$9,0)+IF(H106&lt;=0,$F$10,0)+IF(I106&lt;=0,$F$11,0)+IF(J106&lt;=0,$F$12,0)+IF(K106&lt;=0,$F$13,0)+IF(L106&lt;=0,$F$14,0)+IF(M106&lt;=0,$F$15,0)+IF(N106&lt;=0,$F$16,0)+IF(O106&lt;=0,$F$17,0)+IF(P106&lt;=0,$F$18,0)+IF(Q106&lt;=0,$F$19,0)+IF(R106&lt;=0,$F$20,0)+IF(S106&lt;=0,$F$21,0)+IF(T106&lt;=0,$F$22,0)+IF(U106&lt;=0,$F$23,0)+IF(V106&lt;=0,$F$24,0))))</f>
        <v/>
      </c>
      <c r="AP107">
        <f>IF(C106&lt;=0,(Dashboard!$C$11+IF(C106&lt;=0,$F$5,0)+IF(D106&lt;=0,$F$6,0)+IF(E106&lt;=0,$F$7,0)+IF(F106&lt;=0,$F$8,0)+IF(G106&lt;=0,$F$9,0)+IF(H106&lt;=0,$F$10,0)+IF(I106&lt;=0,$F$11,0)+IF(J106&lt;=0,$F$12,0)+IF(K106&lt;=0,$F$13,0)+IF(L106&lt;=0,$F$14,0)+IF(M106&lt;=0,$F$15,0)+IF(N106&lt;=0,$F$16,0)+IF(O106&lt;=0,$F$17,0)+IF(P106&lt;=0,$F$18,0)+IF(Q106&lt;=0,$F$19,0)+IF(R106&lt;=0,$F$20,0)+IF(S106&lt;=0,$F$21,0)+IF(T106&lt;=0,$F$22,0)+IF(U106&lt;=0,$F$23,0)+IF(V106&lt;=0,$F$24,0)),MAX(0,$F$5+(Dashboard!$C$11+IF(C106&lt;=0,$F$5,0)+IF(D106&lt;=0,$F$6,0)+IF(E106&lt;=0,$F$7,0)+IF(F106&lt;=0,$F$8,0)+IF(G106&lt;=0,$F$9,0)+IF(H106&lt;=0,$F$10,0)+IF(I106&lt;=0,$F$11,0)+IF(J106&lt;=0,$F$12,0)+IF(K106&lt;=0,$F$13,0)+IF(L106&lt;=0,$F$14,0)+IF(M106&lt;=0,$F$15,0)+IF(N106&lt;=0,$F$16,0)+IF(O106&lt;=0,$F$17,0)+IF(P106&lt;=0,$F$18,0)+IF(Q106&lt;=0,$F$19,0)+IF(R106&lt;=0,$F$20,0)+IF(S106&lt;=0,$F$21,0)+IF(T106&lt;=0,$F$22,0)+IF(U106&lt;=0,$F$23,0)+IF(V106&lt;=0,$F$24,0))-C106-AN107))</f>
        <v/>
      </c>
      <c r="AQ107">
        <f>IF(D106&lt;=0,0,D106*$E$6/12)</f>
        <v/>
      </c>
      <c r="AR107">
        <f>IF(D106&lt;=0,0,MIN(D106+AQ107,$F$6+AP107))</f>
        <v/>
      </c>
      <c r="AS107">
        <f>IF(D106&lt;=0,AP107,MAX(0,$F$6+AP107-D106-AQ107))</f>
        <v/>
      </c>
      <c r="AT107">
        <f>IF(E106&lt;=0,0,E106*$E$7/12)</f>
        <v/>
      </c>
      <c r="AU107">
        <f>IF(E106&lt;=0,0,MIN(E106+AT107,$F$7+AS107))</f>
        <v/>
      </c>
      <c r="AV107">
        <f>IF(E106&lt;=0,AS107,MAX(0,$F$7+AS107-E106-AT107))</f>
        <v/>
      </c>
      <c r="AW107">
        <f>IF(F106&lt;=0,0,F106*$E$8/12)</f>
        <v/>
      </c>
      <c r="AX107">
        <f>IF(F106&lt;=0,0,MIN(F106+AW107,$F$8+AV107))</f>
        <v/>
      </c>
      <c r="AY107">
        <f>IF(F106&lt;=0,AV107,MAX(0,$F$8+AV107-F106-AW107))</f>
        <v/>
      </c>
      <c r="AZ107">
        <f>IF(G106&lt;=0,0,G106*$E$9/12)</f>
        <v/>
      </c>
      <c r="BA107">
        <f>IF(G106&lt;=0,0,MIN(G106+AZ107,$F$9+AY107))</f>
        <v/>
      </c>
      <c r="BB107">
        <f>IF(G106&lt;=0,AY107,MAX(0,$F$9+AY107-G106-AZ107))</f>
        <v/>
      </c>
      <c r="BC107">
        <f>IF(H106&lt;=0,0,H106*$E$10/12)</f>
        <v/>
      </c>
      <c r="BD107">
        <f>IF(H106&lt;=0,0,MIN(H106+BC107,$F$10+BB107))</f>
        <v/>
      </c>
      <c r="BE107">
        <f>IF(H106&lt;=0,BB107,MAX(0,$F$10+BB107-H106-BC107))</f>
        <v/>
      </c>
      <c r="BF107">
        <f>IF(I106&lt;=0,0,I106*$E$11/12)</f>
        <v/>
      </c>
      <c r="BG107">
        <f>IF(I106&lt;=0,0,MIN(I106+BF107,$F$11+BE107))</f>
        <v/>
      </c>
      <c r="BH107">
        <f>IF(I106&lt;=0,BE107,MAX(0,$F$11+BE107-I106-BF107))</f>
        <v/>
      </c>
      <c r="BI107">
        <f>IF(J106&lt;=0,0,J106*$E$12/12)</f>
        <v/>
      </c>
      <c r="BJ107">
        <f>IF(J106&lt;=0,0,MIN(J106+BI107,$F$12+BH107))</f>
        <v/>
      </c>
      <c r="BK107">
        <f>IF(J106&lt;=0,BH107,MAX(0,$F$12+BH107-J106-BI107))</f>
        <v/>
      </c>
      <c r="BL107">
        <f>IF(K106&lt;=0,0,K106*$E$13/12)</f>
        <v/>
      </c>
      <c r="BM107">
        <f>IF(K106&lt;=0,0,MIN(K106+BL107,$F$13+BK107))</f>
        <v/>
      </c>
      <c r="BN107">
        <f>IF(K106&lt;=0,BK107,MAX(0,$F$13+BK107-K106-BL107))</f>
        <v/>
      </c>
      <c r="BO107">
        <f>IF(L106&lt;=0,0,L106*$E$14/12)</f>
        <v/>
      </c>
      <c r="BP107">
        <f>IF(L106&lt;=0,0,MIN(L106+BO107,$F$14+BN107))</f>
        <v/>
      </c>
      <c r="BQ107">
        <f>IF(L106&lt;=0,BN107,MAX(0,$F$14+BN107-L106-BO107))</f>
        <v/>
      </c>
      <c r="BR107">
        <f>IF(M106&lt;=0,0,M106*$E$15/12)</f>
        <v/>
      </c>
      <c r="BS107">
        <f>IF(M106&lt;=0,0,MIN(M106+BR107,$F$15+BQ107))</f>
        <v/>
      </c>
      <c r="BT107">
        <f>IF(M106&lt;=0,BQ107,MAX(0,$F$15+BQ107-M106-BR107))</f>
        <v/>
      </c>
      <c r="BU107">
        <f>IF(N106&lt;=0,0,N106*$E$16/12)</f>
        <v/>
      </c>
      <c r="BV107">
        <f>IF(N106&lt;=0,0,MIN(N106+BU107,$F$16+BT107))</f>
        <v/>
      </c>
      <c r="BW107">
        <f>IF(N106&lt;=0,BT107,MAX(0,$F$16+BT107-N106-BU107))</f>
        <v/>
      </c>
      <c r="BX107">
        <f>IF(O106&lt;=0,0,O106*$E$17/12)</f>
        <v/>
      </c>
      <c r="BY107">
        <f>IF(O106&lt;=0,0,MIN(O106+BX107,$F$17+BW107))</f>
        <v/>
      </c>
      <c r="BZ107">
        <f>IF(O106&lt;=0,BW107,MAX(0,$F$17+BW107-O106-BX107))</f>
        <v/>
      </c>
      <c r="CA107">
        <f>IF(P106&lt;=0,0,P106*$E$18/12)</f>
        <v/>
      </c>
      <c r="CB107">
        <f>IF(P106&lt;=0,0,MIN(P106+CA107,$F$18+BZ107))</f>
        <v/>
      </c>
      <c r="CC107">
        <f>IF(P106&lt;=0,BZ107,MAX(0,$F$18+BZ107-P106-CA107))</f>
        <v/>
      </c>
      <c r="CD107">
        <f>IF(Q106&lt;=0,0,Q106*$E$19/12)</f>
        <v/>
      </c>
      <c r="CE107">
        <f>IF(Q106&lt;=0,0,MIN(Q106+CD107,$F$19+CC107))</f>
        <v/>
      </c>
      <c r="CF107">
        <f>IF(Q106&lt;=0,CC107,MAX(0,$F$19+CC107-Q106-CD107))</f>
        <v/>
      </c>
      <c r="CG107">
        <f>IF(R106&lt;=0,0,R106*$E$20/12)</f>
        <v/>
      </c>
      <c r="CH107">
        <f>IF(R106&lt;=0,0,MIN(R106+CG107,$F$20+CF107))</f>
        <v/>
      </c>
      <c r="CI107">
        <f>IF(R106&lt;=0,CF107,MAX(0,$F$20+CF107-R106-CG107))</f>
        <v/>
      </c>
      <c r="CJ107">
        <f>IF(S106&lt;=0,0,S106*$E$21/12)</f>
        <v/>
      </c>
      <c r="CK107">
        <f>IF(S106&lt;=0,0,MIN(S106+CJ107,$F$21+CI107))</f>
        <v/>
      </c>
      <c r="CL107">
        <f>IF(S106&lt;=0,CI107,MAX(0,$F$21+CI107-S106-CJ107))</f>
        <v/>
      </c>
      <c r="CM107">
        <f>IF(T106&lt;=0,0,T106*$E$22/12)</f>
        <v/>
      </c>
      <c r="CN107">
        <f>IF(T106&lt;=0,0,MIN(T106+CM107,$F$22+CL107))</f>
        <v/>
      </c>
      <c r="CO107">
        <f>IF(T106&lt;=0,CL107,MAX(0,$F$22+CL107-T106-CM107))</f>
        <v/>
      </c>
      <c r="CP107">
        <f>IF(U106&lt;=0,0,U106*$E$23/12)</f>
        <v/>
      </c>
      <c r="CQ107">
        <f>IF(U106&lt;=0,0,MIN(U106+CP107,$F$23+CO107))</f>
        <v/>
      </c>
      <c r="CR107">
        <f>IF(U106&lt;=0,CO107,MAX(0,$F$23+CO107-U106-CP107))</f>
        <v/>
      </c>
      <c r="CS107">
        <f>IF(V106&lt;=0,0,V106*$E$24/12)</f>
        <v/>
      </c>
      <c r="CT107">
        <f>IF(V106&lt;=0,0,MIN(V106+CS107,$F$24+CR107))</f>
        <v/>
      </c>
      <c r="CU107">
        <f>IF(V106&lt;=0,CR107,MAX(0,$F$24+CR107-V106-CS107))</f>
        <v/>
      </c>
    </row>
    <row r="108">
      <c r="B108" s="39" t="n">
        <v>82</v>
      </c>
      <c r="C108" s="13">
        <f>IF(C107&lt;=0,0,MAX(0,C107+AN108-AO108))</f>
        <v/>
      </c>
      <c r="D108" s="13">
        <f>IF(D107&lt;=0,0,MAX(0,D107+AQ108-AR108))</f>
        <v/>
      </c>
      <c r="E108" s="13">
        <f>IF(E107&lt;=0,0,MAX(0,E107+AT108-AU108))</f>
        <v/>
      </c>
      <c r="F108" s="13">
        <f>IF(F107&lt;=0,0,MAX(0,F107+AW108-AX108))</f>
        <v/>
      </c>
      <c r="G108" s="13">
        <f>IF(G107&lt;=0,0,MAX(0,G107+AZ108-BA108))</f>
        <v/>
      </c>
      <c r="H108" s="13">
        <f>IF(H107&lt;=0,0,MAX(0,H107+BC108-BD108))</f>
        <v/>
      </c>
      <c r="I108" s="13">
        <f>IF(I107&lt;=0,0,MAX(0,I107+BF108-BG108))</f>
        <v/>
      </c>
      <c r="J108" s="13">
        <f>IF(J107&lt;=0,0,MAX(0,J107+BI108-BJ108))</f>
        <v/>
      </c>
      <c r="K108" s="13">
        <f>IF(K107&lt;=0,0,MAX(0,K107+BL108-BM108))</f>
        <v/>
      </c>
      <c r="L108" s="13">
        <f>IF(L107&lt;=0,0,MAX(0,L107+BO108-BP108))</f>
        <v/>
      </c>
      <c r="M108" s="13">
        <f>IF(M107&lt;=0,0,MAX(0,M107+BR108-BS108))</f>
        <v/>
      </c>
      <c r="N108" s="13">
        <f>IF(N107&lt;=0,0,MAX(0,N107+BU108-BV108))</f>
        <v/>
      </c>
      <c r="O108" s="13">
        <f>IF(O107&lt;=0,0,MAX(0,O107+BX108-BY108))</f>
        <v/>
      </c>
      <c r="P108" s="13">
        <f>IF(P107&lt;=0,0,MAX(0,P107+CA108-CB108))</f>
        <v/>
      </c>
      <c r="Q108" s="13">
        <f>IF(Q107&lt;=0,0,MAX(0,Q107+CD108-CE108))</f>
        <v/>
      </c>
      <c r="R108" s="13">
        <f>IF(R107&lt;=0,0,MAX(0,R107+CG108-CH108))</f>
        <v/>
      </c>
      <c r="S108" s="13">
        <f>IF(S107&lt;=0,0,MAX(0,S107+CJ108-CK108))</f>
        <v/>
      </c>
      <c r="T108" s="13">
        <f>IF(T107&lt;=0,0,MAX(0,T107+CM108-CN108))</f>
        <v/>
      </c>
      <c r="U108" s="13">
        <f>IF(U107&lt;=0,0,MAX(0,U107+CP108-CQ108))</f>
        <v/>
      </c>
      <c r="V108" s="13">
        <f>IF(V107&lt;=0,0,MAX(0,V107+CS108-CT108))</f>
        <v/>
      </c>
      <c r="W108" s="13">
        <f>AO108+AR108+AU108+AX108+BA108+BD108+BG108+BJ108+BM108+BP108+BS108+BV108+BY108+CB108+CE108+CH108+CK108+CN108+CQ108+CT108</f>
        <v/>
      </c>
      <c r="X108" s="13">
        <f>AN108+AQ108+AT108+AW108+AZ108+BC108+BF108+BI108+BL108+BO108+BR108+BU108+BX108+CA108+CD108+CG108+CJ108+CM108+CP108+CS108</f>
        <v/>
      </c>
      <c r="Y108" s="27">
        <f>C108+D108+E108+F108+G108+H108+I108+J108+K108+L108+M108+N108+O108+P108+Q108+R108+S108+T108+U108+V108</f>
        <v/>
      </c>
      <c r="AN108">
        <f>IF(C107&lt;=0,0,C107*$E$5/12)</f>
        <v/>
      </c>
      <c r="AO108">
        <f>IF(C107&lt;=0,0,MIN(C107+AN108,$F$5+(Dashboard!$C$11+IF(C107&lt;=0,$F$5,0)+IF(D107&lt;=0,$F$6,0)+IF(E107&lt;=0,$F$7,0)+IF(F107&lt;=0,$F$8,0)+IF(G107&lt;=0,$F$9,0)+IF(H107&lt;=0,$F$10,0)+IF(I107&lt;=0,$F$11,0)+IF(J107&lt;=0,$F$12,0)+IF(K107&lt;=0,$F$13,0)+IF(L107&lt;=0,$F$14,0)+IF(M107&lt;=0,$F$15,0)+IF(N107&lt;=0,$F$16,0)+IF(O107&lt;=0,$F$17,0)+IF(P107&lt;=0,$F$18,0)+IF(Q107&lt;=0,$F$19,0)+IF(R107&lt;=0,$F$20,0)+IF(S107&lt;=0,$F$21,0)+IF(T107&lt;=0,$F$22,0)+IF(U107&lt;=0,$F$23,0)+IF(V107&lt;=0,$F$24,0))))</f>
        <v/>
      </c>
      <c r="AP108">
        <f>IF(C107&lt;=0,(Dashboard!$C$11+IF(C107&lt;=0,$F$5,0)+IF(D107&lt;=0,$F$6,0)+IF(E107&lt;=0,$F$7,0)+IF(F107&lt;=0,$F$8,0)+IF(G107&lt;=0,$F$9,0)+IF(H107&lt;=0,$F$10,0)+IF(I107&lt;=0,$F$11,0)+IF(J107&lt;=0,$F$12,0)+IF(K107&lt;=0,$F$13,0)+IF(L107&lt;=0,$F$14,0)+IF(M107&lt;=0,$F$15,0)+IF(N107&lt;=0,$F$16,0)+IF(O107&lt;=0,$F$17,0)+IF(P107&lt;=0,$F$18,0)+IF(Q107&lt;=0,$F$19,0)+IF(R107&lt;=0,$F$20,0)+IF(S107&lt;=0,$F$21,0)+IF(T107&lt;=0,$F$22,0)+IF(U107&lt;=0,$F$23,0)+IF(V107&lt;=0,$F$24,0)),MAX(0,$F$5+(Dashboard!$C$11+IF(C107&lt;=0,$F$5,0)+IF(D107&lt;=0,$F$6,0)+IF(E107&lt;=0,$F$7,0)+IF(F107&lt;=0,$F$8,0)+IF(G107&lt;=0,$F$9,0)+IF(H107&lt;=0,$F$10,0)+IF(I107&lt;=0,$F$11,0)+IF(J107&lt;=0,$F$12,0)+IF(K107&lt;=0,$F$13,0)+IF(L107&lt;=0,$F$14,0)+IF(M107&lt;=0,$F$15,0)+IF(N107&lt;=0,$F$16,0)+IF(O107&lt;=0,$F$17,0)+IF(P107&lt;=0,$F$18,0)+IF(Q107&lt;=0,$F$19,0)+IF(R107&lt;=0,$F$20,0)+IF(S107&lt;=0,$F$21,0)+IF(T107&lt;=0,$F$22,0)+IF(U107&lt;=0,$F$23,0)+IF(V107&lt;=0,$F$24,0))-C107-AN108))</f>
        <v/>
      </c>
      <c r="AQ108">
        <f>IF(D107&lt;=0,0,D107*$E$6/12)</f>
        <v/>
      </c>
      <c r="AR108">
        <f>IF(D107&lt;=0,0,MIN(D107+AQ108,$F$6+AP108))</f>
        <v/>
      </c>
      <c r="AS108">
        <f>IF(D107&lt;=0,AP108,MAX(0,$F$6+AP108-D107-AQ108))</f>
        <v/>
      </c>
      <c r="AT108">
        <f>IF(E107&lt;=0,0,E107*$E$7/12)</f>
        <v/>
      </c>
      <c r="AU108">
        <f>IF(E107&lt;=0,0,MIN(E107+AT108,$F$7+AS108))</f>
        <v/>
      </c>
      <c r="AV108">
        <f>IF(E107&lt;=0,AS108,MAX(0,$F$7+AS108-E107-AT108))</f>
        <v/>
      </c>
      <c r="AW108">
        <f>IF(F107&lt;=0,0,F107*$E$8/12)</f>
        <v/>
      </c>
      <c r="AX108">
        <f>IF(F107&lt;=0,0,MIN(F107+AW108,$F$8+AV108))</f>
        <v/>
      </c>
      <c r="AY108">
        <f>IF(F107&lt;=0,AV108,MAX(0,$F$8+AV108-F107-AW108))</f>
        <v/>
      </c>
      <c r="AZ108">
        <f>IF(G107&lt;=0,0,G107*$E$9/12)</f>
        <v/>
      </c>
      <c r="BA108">
        <f>IF(G107&lt;=0,0,MIN(G107+AZ108,$F$9+AY108))</f>
        <v/>
      </c>
      <c r="BB108">
        <f>IF(G107&lt;=0,AY108,MAX(0,$F$9+AY108-G107-AZ108))</f>
        <v/>
      </c>
      <c r="BC108">
        <f>IF(H107&lt;=0,0,H107*$E$10/12)</f>
        <v/>
      </c>
      <c r="BD108">
        <f>IF(H107&lt;=0,0,MIN(H107+BC108,$F$10+BB108))</f>
        <v/>
      </c>
      <c r="BE108">
        <f>IF(H107&lt;=0,BB108,MAX(0,$F$10+BB108-H107-BC108))</f>
        <v/>
      </c>
      <c r="BF108">
        <f>IF(I107&lt;=0,0,I107*$E$11/12)</f>
        <v/>
      </c>
      <c r="BG108">
        <f>IF(I107&lt;=0,0,MIN(I107+BF108,$F$11+BE108))</f>
        <v/>
      </c>
      <c r="BH108">
        <f>IF(I107&lt;=0,BE108,MAX(0,$F$11+BE108-I107-BF108))</f>
        <v/>
      </c>
      <c r="BI108">
        <f>IF(J107&lt;=0,0,J107*$E$12/12)</f>
        <v/>
      </c>
      <c r="BJ108">
        <f>IF(J107&lt;=0,0,MIN(J107+BI108,$F$12+BH108))</f>
        <v/>
      </c>
      <c r="BK108">
        <f>IF(J107&lt;=0,BH108,MAX(0,$F$12+BH108-J107-BI108))</f>
        <v/>
      </c>
      <c r="BL108">
        <f>IF(K107&lt;=0,0,K107*$E$13/12)</f>
        <v/>
      </c>
      <c r="BM108">
        <f>IF(K107&lt;=0,0,MIN(K107+BL108,$F$13+BK108))</f>
        <v/>
      </c>
      <c r="BN108">
        <f>IF(K107&lt;=0,BK108,MAX(0,$F$13+BK108-K107-BL108))</f>
        <v/>
      </c>
      <c r="BO108">
        <f>IF(L107&lt;=0,0,L107*$E$14/12)</f>
        <v/>
      </c>
      <c r="BP108">
        <f>IF(L107&lt;=0,0,MIN(L107+BO108,$F$14+BN108))</f>
        <v/>
      </c>
      <c r="BQ108">
        <f>IF(L107&lt;=0,BN108,MAX(0,$F$14+BN108-L107-BO108))</f>
        <v/>
      </c>
      <c r="BR108">
        <f>IF(M107&lt;=0,0,M107*$E$15/12)</f>
        <v/>
      </c>
      <c r="BS108">
        <f>IF(M107&lt;=0,0,MIN(M107+BR108,$F$15+BQ108))</f>
        <v/>
      </c>
      <c r="BT108">
        <f>IF(M107&lt;=0,BQ108,MAX(0,$F$15+BQ108-M107-BR108))</f>
        <v/>
      </c>
      <c r="BU108">
        <f>IF(N107&lt;=0,0,N107*$E$16/12)</f>
        <v/>
      </c>
      <c r="BV108">
        <f>IF(N107&lt;=0,0,MIN(N107+BU108,$F$16+BT108))</f>
        <v/>
      </c>
      <c r="BW108">
        <f>IF(N107&lt;=0,BT108,MAX(0,$F$16+BT108-N107-BU108))</f>
        <v/>
      </c>
      <c r="BX108">
        <f>IF(O107&lt;=0,0,O107*$E$17/12)</f>
        <v/>
      </c>
      <c r="BY108">
        <f>IF(O107&lt;=0,0,MIN(O107+BX108,$F$17+BW108))</f>
        <v/>
      </c>
      <c r="BZ108">
        <f>IF(O107&lt;=0,BW108,MAX(0,$F$17+BW108-O107-BX108))</f>
        <v/>
      </c>
      <c r="CA108">
        <f>IF(P107&lt;=0,0,P107*$E$18/12)</f>
        <v/>
      </c>
      <c r="CB108">
        <f>IF(P107&lt;=0,0,MIN(P107+CA108,$F$18+BZ108))</f>
        <v/>
      </c>
      <c r="CC108">
        <f>IF(P107&lt;=0,BZ108,MAX(0,$F$18+BZ108-P107-CA108))</f>
        <v/>
      </c>
      <c r="CD108">
        <f>IF(Q107&lt;=0,0,Q107*$E$19/12)</f>
        <v/>
      </c>
      <c r="CE108">
        <f>IF(Q107&lt;=0,0,MIN(Q107+CD108,$F$19+CC108))</f>
        <v/>
      </c>
      <c r="CF108">
        <f>IF(Q107&lt;=0,CC108,MAX(0,$F$19+CC108-Q107-CD108))</f>
        <v/>
      </c>
      <c r="CG108">
        <f>IF(R107&lt;=0,0,R107*$E$20/12)</f>
        <v/>
      </c>
      <c r="CH108">
        <f>IF(R107&lt;=0,0,MIN(R107+CG108,$F$20+CF108))</f>
        <v/>
      </c>
      <c r="CI108">
        <f>IF(R107&lt;=0,CF108,MAX(0,$F$20+CF108-R107-CG108))</f>
        <v/>
      </c>
      <c r="CJ108">
        <f>IF(S107&lt;=0,0,S107*$E$21/12)</f>
        <v/>
      </c>
      <c r="CK108">
        <f>IF(S107&lt;=0,0,MIN(S107+CJ108,$F$21+CI108))</f>
        <v/>
      </c>
      <c r="CL108">
        <f>IF(S107&lt;=0,CI108,MAX(0,$F$21+CI108-S107-CJ108))</f>
        <v/>
      </c>
      <c r="CM108">
        <f>IF(T107&lt;=0,0,T107*$E$22/12)</f>
        <v/>
      </c>
      <c r="CN108">
        <f>IF(T107&lt;=0,0,MIN(T107+CM108,$F$22+CL108))</f>
        <v/>
      </c>
      <c r="CO108">
        <f>IF(T107&lt;=0,CL108,MAX(0,$F$22+CL108-T107-CM108))</f>
        <v/>
      </c>
      <c r="CP108">
        <f>IF(U107&lt;=0,0,U107*$E$23/12)</f>
        <v/>
      </c>
      <c r="CQ108">
        <f>IF(U107&lt;=0,0,MIN(U107+CP108,$F$23+CO108))</f>
        <v/>
      </c>
      <c r="CR108">
        <f>IF(U107&lt;=0,CO108,MAX(0,$F$23+CO108-U107-CP108))</f>
        <v/>
      </c>
      <c r="CS108">
        <f>IF(V107&lt;=0,0,V107*$E$24/12)</f>
        <v/>
      </c>
      <c r="CT108">
        <f>IF(V107&lt;=0,0,MIN(V107+CS108,$F$24+CR108))</f>
        <v/>
      </c>
      <c r="CU108">
        <f>IF(V107&lt;=0,CR108,MAX(0,$F$24+CR108-V107-CS108))</f>
        <v/>
      </c>
    </row>
    <row r="109">
      <c r="B109" s="39" t="n">
        <v>83</v>
      </c>
      <c r="C109" s="13">
        <f>IF(C108&lt;=0,0,MAX(0,C108+AN109-AO109))</f>
        <v/>
      </c>
      <c r="D109" s="13">
        <f>IF(D108&lt;=0,0,MAX(0,D108+AQ109-AR109))</f>
        <v/>
      </c>
      <c r="E109" s="13">
        <f>IF(E108&lt;=0,0,MAX(0,E108+AT109-AU109))</f>
        <v/>
      </c>
      <c r="F109" s="13">
        <f>IF(F108&lt;=0,0,MAX(0,F108+AW109-AX109))</f>
        <v/>
      </c>
      <c r="G109" s="13">
        <f>IF(G108&lt;=0,0,MAX(0,G108+AZ109-BA109))</f>
        <v/>
      </c>
      <c r="H109" s="13">
        <f>IF(H108&lt;=0,0,MAX(0,H108+BC109-BD109))</f>
        <v/>
      </c>
      <c r="I109" s="13">
        <f>IF(I108&lt;=0,0,MAX(0,I108+BF109-BG109))</f>
        <v/>
      </c>
      <c r="J109" s="13">
        <f>IF(J108&lt;=0,0,MAX(0,J108+BI109-BJ109))</f>
        <v/>
      </c>
      <c r="K109" s="13">
        <f>IF(K108&lt;=0,0,MAX(0,K108+BL109-BM109))</f>
        <v/>
      </c>
      <c r="L109" s="13">
        <f>IF(L108&lt;=0,0,MAX(0,L108+BO109-BP109))</f>
        <v/>
      </c>
      <c r="M109" s="13">
        <f>IF(M108&lt;=0,0,MAX(0,M108+BR109-BS109))</f>
        <v/>
      </c>
      <c r="N109" s="13">
        <f>IF(N108&lt;=0,0,MAX(0,N108+BU109-BV109))</f>
        <v/>
      </c>
      <c r="O109" s="13">
        <f>IF(O108&lt;=0,0,MAX(0,O108+BX109-BY109))</f>
        <v/>
      </c>
      <c r="P109" s="13">
        <f>IF(P108&lt;=0,0,MAX(0,P108+CA109-CB109))</f>
        <v/>
      </c>
      <c r="Q109" s="13">
        <f>IF(Q108&lt;=0,0,MAX(0,Q108+CD109-CE109))</f>
        <v/>
      </c>
      <c r="R109" s="13">
        <f>IF(R108&lt;=0,0,MAX(0,R108+CG109-CH109))</f>
        <v/>
      </c>
      <c r="S109" s="13">
        <f>IF(S108&lt;=0,0,MAX(0,S108+CJ109-CK109))</f>
        <v/>
      </c>
      <c r="T109" s="13">
        <f>IF(T108&lt;=0,0,MAX(0,T108+CM109-CN109))</f>
        <v/>
      </c>
      <c r="U109" s="13">
        <f>IF(U108&lt;=0,0,MAX(0,U108+CP109-CQ109))</f>
        <v/>
      </c>
      <c r="V109" s="13">
        <f>IF(V108&lt;=0,0,MAX(0,V108+CS109-CT109))</f>
        <v/>
      </c>
      <c r="W109" s="13">
        <f>AO109+AR109+AU109+AX109+BA109+BD109+BG109+BJ109+BM109+BP109+BS109+BV109+BY109+CB109+CE109+CH109+CK109+CN109+CQ109+CT109</f>
        <v/>
      </c>
      <c r="X109" s="13">
        <f>AN109+AQ109+AT109+AW109+AZ109+BC109+BF109+BI109+BL109+BO109+BR109+BU109+BX109+CA109+CD109+CG109+CJ109+CM109+CP109+CS109</f>
        <v/>
      </c>
      <c r="Y109" s="27">
        <f>C109+D109+E109+F109+G109+H109+I109+J109+K109+L109+M109+N109+O109+P109+Q109+R109+S109+T109+U109+V109</f>
        <v/>
      </c>
      <c r="AN109">
        <f>IF(C108&lt;=0,0,C108*$E$5/12)</f>
        <v/>
      </c>
      <c r="AO109">
        <f>IF(C108&lt;=0,0,MIN(C108+AN109,$F$5+(Dashboard!$C$11+IF(C108&lt;=0,$F$5,0)+IF(D108&lt;=0,$F$6,0)+IF(E108&lt;=0,$F$7,0)+IF(F108&lt;=0,$F$8,0)+IF(G108&lt;=0,$F$9,0)+IF(H108&lt;=0,$F$10,0)+IF(I108&lt;=0,$F$11,0)+IF(J108&lt;=0,$F$12,0)+IF(K108&lt;=0,$F$13,0)+IF(L108&lt;=0,$F$14,0)+IF(M108&lt;=0,$F$15,0)+IF(N108&lt;=0,$F$16,0)+IF(O108&lt;=0,$F$17,0)+IF(P108&lt;=0,$F$18,0)+IF(Q108&lt;=0,$F$19,0)+IF(R108&lt;=0,$F$20,0)+IF(S108&lt;=0,$F$21,0)+IF(T108&lt;=0,$F$22,0)+IF(U108&lt;=0,$F$23,0)+IF(V108&lt;=0,$F$24,0))))</f>
        <v/>
      </c>
      <c r="AP109">
        <f>IF(C108&lt;=0,(Dashboard!$C$11+IF(C108&lt;=0,$F$5,0)+IF(D108&lt;=0,$F$6,0)+IF(E108&lt;=0,$F$7,0)+IF(F108&lt;=0,$F$8,0)+IF(G108&lt;=0,$F$9,0)+IF(H108&lt;=0,$F$10,0)+IF(I108&lt;=0,$F$11,0)+IF(J108&lt;=0,$F$12,0)+IF(K108&lt;=0,$F$13,0)+IF(L108&lt;=0,$F$14,0)+IF(M108&lt;=0,$F$15,0)+IF(N108&lt;=0,$F$16,0)+IF(O108&lt;=0,$F$17,0)+IF(P108&lt;=0,$F$18,0)+IF(Q108&lt;=0,$F$19,0)+IF(R108&lt;=0,$F$20,0)+IF(S108&lt;=0,$F$21,0)+IF(T108&lt;=0,$F$22,0)+IF(U108&lt;=0,$F$23,0)+IF(V108&lt;=0,$F$24,0)),MAX(0,$F$5+(Dashboard!$C$11+IF(C108&lt;=0,$F$5,0)+IF(D108&lt;=0,$F$6,0)+IF(E108&lt;=0,$F$7,0)+IF(F108&lt;=0,$F$8,0)+IF(G108&lt;=0,$F$9,0)+IF(H108&lt;=0,$F$10,0)+IF(I108&lt;=0,$F$11,0)+IF(J108&lt;=0,$F$12,0)+IF(K108&lt;=0,$F$13,0)+IF(L108&lt;=0,$F$14,0)+IF(M108&lt;=0,$F$15,0)+IF(N108&lt;=0,$F$16,0)+IF(O108&lt;=0,$F$17,0)+IF(P108&lt;=0,$F$18,0)+IF(Q108&lt;=0,$F$19,0)+IF(R108&lt;=0,$F$20,0)+IF(S108&lt;=0,$F$21,0)+IF(T108&lt;=0,$F$22,0)+IF(U108&lt;=0,$F$23,0)+IF(V108&lt;=0,$F$24,0))-C108-AN109))</f>
        <v/>
      </c>
      <c r="AQ109">
        <f>IF(D108&lt;=0,0,D108*$E$6/12)</f>
        <v/>
      </c>
      <c r="AR109">
        <f>IF(D108&lt;=0,0,MIN(D108+AQ109,$F$6+AP109))</f>
        <v/>
      </c>
      <c r="AS109">
        <f>IF(D108&lt;=0,AP109,MAX(0,$F$6+AP109-D108-AQ109))</f>
        <v/>
      </c>
      <c r="AT109">
        <f>IF(E108&lt;=0,0,E108*$E$7/12)</f>
        <v/>
      </c>
      <c r="AU109">
        <f>IF(E108&lt;=0,0,MIN(E108+AT109,$F$7+AS109))</f>
        <v/>
      </c>
      <c r="AV109">
        <f>IF(E108&lt;=0,AS109,MAX(0,$F$7+AS109-E108-AT109))</f>
        <v/>
      </c>
      <c r="AW109">
        <f>IF(F108&lt;=0,0,F108*$E$8/12)</f>
        <v/>
      </c>
      <c r="AX109">
        <f>IF(F108&lt;=0,0,MIN(F108+AW109,$F$8+AV109))</f>
        <v/>
      </c>
      <c r="AY109">
        <f>IF(F108&lt;=0,AV109,MAX(0,$F$8+AV109-F108-AW109))</f>
        <v/>
      </c>
      <c r="AZ109">
        <f>IF(G108&lt;=0,0,G108*$E$9/12)</f>
        <v/>
      </c>
      <c r="BA109">
        <f>IF(G108&lt;=0,0,MIN(G108+AZ109,$F$9+AY109))</f>
        <v/>
      </c>
      <c r="BB109">
        <f>IF(G108&lt;=0,AY109,MAX(0,$F$9+AY109-G108-AZ109))</f>
        <v/>
      </c>
      <c r="BC109">
        <f>IF(H108&lt;=0,0,H108*$E$10/12)</f>
        <v/>
      </c>
      <c r="BD109">
        <f>IF(H108&lt;=0,0,MIN(H108+BC109,$F$10+BB109))</f>
        <v/>
      </c>
      <c r="BE109">
        <f>IF(H108&lt;=0,BB109,MAX(0,$F$10+BB109-H108-BC109))</f>
        <v/>
      </c>
      <c r="BF109">
        <f>IF(I108&lt;=0,0,I108*$E$11/12)</f>
        <v/>
      </c>
      <c r="BG109">
        <f>IF(I108&lt;=0,0,MIN(I108+BF109,$F$11+BE109))</f>
        <v/>
      </c>
      <c r="BH109">
        <f>IF(I108&lt;=0,BE109,MAX(0,$F$11+BE109-I108-BF109))</f>
        <v/>
      </c>
      <c r="BI109">
        <f>IF(J108&lt;=0,0,J108*$E$12/12)</f>
        <v/>
      </c>
      <c r="BJ109">
        <f>IF(J108&lt;=0,0,MIN(J108+BI109,$F$12+BH109))</f>
        <v/>
      </c>
      <c r="BK109">
        <f>IF(J108&lt;=0,BH109,MAX(0,$F$12+BH109-J108-BI109))</f>
        <v/>
      </c>
      <c r="BL109">
        <f>IF(K108&lt;=0,0,K108*$E$13/12)</f>
        <v/>
      </c>
      <c r="BM109">
        <f>IF(K108&lt;=0,0,MIN(K108+BL109,$F$13+BK109))</f>
        <v/>
      </c>
      <c r="BN109">
        <f>IF(K108&lt;=0,BK109,MAX(0,$F$13+BK109-K108-BL109))</f>
        <v/>
      </c>
      <c r="BO109">
        <f>IF(L108&lt;=0,0,L108*$E$14/12)</f>
        <v/>
      </c>
      <c r="BP109">
        <f>IF(L108&lt;=0,0,MIN(L108+BO109,$F$14+BN109))</f>
        <v/>
      </c>
      <c r="BQ109">
        <f>IF(L108&lt;=0,BN109,MAX(0,$F$14+BN109-L108-BO109))</f>
        <v/>
      </c>
      <c r="BR109">
        <f>IF(M108&lt;=0,0,M108*$E$15/12)</f>
        <v/>
      </c>
      <c r="BS109">
        <f>IF(M108&lt;=0,0,MIN(M108+BR109,$F$15+BQ109))</f>
        <v/>
      </c>
      <c r="BT109">
        <f>IF(M108&lt;=0,BQ109,MAX(0,$F$15+BQ109-M108-BR109))</f>
        <v/>
      </c>
      <c r="BU109">
        <f>IF(N108&lt;=0,0,N108*$E$16/12)</f>
        <v/>
      </c>
      <c r="BV109">
        <f>IF(N108&lt;=0,0,MIN(N108+BU109,$F$16+BT109))</f>
        <v/>
      </c>
      <c r="BW109">
        <f>IF(N108&lt;=0,BT109,MAX(0,$F$16+BT109-N108-BU109))</f>
        <v/>
      </c>
      <c r="BX109">
        <f>IF(O108&lt;=0,0,O108*$E$17/12)</f>
        <v/>
      </c>
      <c r="BY109">
        <f>IF(O108&lt;=0,0,MIN(O108+BX109,$F$17+BW109))</f>
        <v/>
      </c>
      <c r="BZ109">
        <f>IF(O108&lt;=0,BW109,MAX(0,$F$17+BW109-O108-BX109))</f>
        <v/>
      </c>
      <c r="CA109">
        <f>IF(P108&lt;=0,0,P108*$E$18/12)</f>
        <v/>
      </c>
      <c r="CB109">
        <f>IF(P108&lt;=0,0,MIN(P108+CA109,$F$18+BZ109))</f>
        <v/>
      </c>
      <c r="CC109">
        <f>IF(P108&lt;=0,BZ109,MAX(0,$F$18+BZ109-P108-CA109))</f>
        <v/>
      </c>
      <c r="CD109">
        <f>IF(Q108&lt;=0,0,Q108*$E$19/12)</f>
        <v/>
      </c>
      <c r="CE109">
        <f>IF(Q108&lt;=0,0,MIN(Q108+CD109,$F$19+CC109))</f>
        <v/>
      </c>
      <c r="CF109">
        <f>IF(Q108&lt;=0,CC109,MAX(0,$F$19+CC109-Q108-CD109))</f>
        <v/>
      </c>
      <c r="CG109">
        <f>IF(R108&lt;=0,0,R108*$E$20/12)</f>
        <v/>
      </c>
      <c r="CH109">
        <f>IF(R108&lt;=0,0,MIN(R108+CG109,$F$20+CF109))</f>
        <v/>
      </c>
      <c r="CI109">
        <f>IF(R108&lt;=0,CF109,MAX(0,$F$20+CF109-R108-CG109))</f>
        <v/>
      </c>
      <c r="CJ109">
        <f>IF(S108&lt;=0,0,S108*$E$21/12)</f>
        <v/>
      </c>
      <c r="CK109">
        <f>IF(S108&lt;=0,0,MIN(S108+CJ109,$F$21+CI109))</f>
        <v/>
      </c>
      <c r="CL109">
        <f>IF(S108&lt;=0,CI109,MAX(0,$F$21+CI109-S108-CJ109))</f>
        <v/>
      </c>
      <c r="CM109">
        <f>IF(T108&lt;=0,0,T108*$E$22/12)</f>
        <v/>
      </c>
      <c r="CN109">
        <f>IF(T108&lt;=0,0,MIN(T108+CM109,$F$22+CL109))</f>
        <v/>
      </c>
      <c r="CO109">
        <f>IF(T108&lt;=0,CL109,MAX(0,$F$22+CL109-T108-CM109))</f>
        <v/>
      </c>
      <c r="CP109">
        <f>IF(U108&lt;=0,0,U108*$E$23/12)</f>
        <v/>
      </c>
      <c r="CQ109">
        <f>IF(U108&lt;=0,0,MIN(U108+CP109,$F$23+CO109))</f>
        <v/>
      </c>
      <c r="CR109">
        <f>IF(U108&lt;=0,CO109,MAX(0,$F$23+CO109-U108-CP109))</f>
        <v/>
      </c>
      <c r="CS109">
        <f>IF(V108&lt;=0,0,V108*$E$24/12)</f>
        <v/>
      </c>
      <c r="CT109">
        <f>IF(V108&lt;=0,0,MIN(V108+CS109,$F$24+CR109))</f>
        <v/>
      </c>
      <c r="CU109">
        <f>IF(V108&lt;=0,CR109,MAX(0,$F$24+CR109-V108-CS109))</f>
        <v/>
      </c>
    </row>
    <row r="110">
      <c r="B110" s="39" t="n">
        <v>84</v>
      </c>
      <c r="C110" s="13">
        <f>IF(C109&lt;=0,0,MAX(0,C109+AN110-AO110))</f>
        <v/>
      </c>
      <c r="D110" s="13">
        <f>IF(D109&lt;=0,0,MAX(0,D109+AQ110-AR110))</f>
        <v/>
      </c>
      <c r="E110" s="13">
        <f>IF(E109&lt;=0,0,MAX(0,E109+AT110-AU110))</f>
        <v/>
      </c>
      <c r="F110" s="13">
        <f>IF(F109&lt;=0,0,MAX(0,F109+AW110-AX110))</f>
        <v/>
      </c>
      <c r="G110" s="13">
        <f>IF(G109&lt;=0,0,MAX(0,G109+AZ110-BA110))</f>
        <v/>
      </c>
      <c r="H110" s="13">
        <f>IF(H109&lt;=0,0,MAX(0,H109+BC110-BD110))</f>
        <v/>
      </c>
      <c r="I110" s="13">
        <f>IF(I109&lt;=0,0,MAX(0,I109+BF110-BG110))</f>
        <v/>
      </c>
      <c r="J110" s="13">
        <f>IF(J109&lt;=0,0,MAX(0,J109+BI110-BJ110))</f>
        <v/>
      </c>
      <c r="K110" s="13">
        <f>IF(K109&lt;=0,0,MAX(0,K109+BL110-BM110))</f>
        <v/>
      </c>
      <c r="L110" s="13">
        <f>IF(L109&lt;=0,0,MAX(0,L109+BO110-BP110))</f>
        <v/>
      </c>
      <c r="M110" s="13">
        <f>IF(M109&lt;=0,0,MAX(0,M109+BR110-BS110))</f>
        <v/>
      </c>
      <c r="N110" s="13">
        <f>IF(N109&lt;=0,0,MAX(0,N109+BU110-BV110))</f>
        <v/>
      </c>
      <c r="O110" s="13">
        <f>IF(O109&lt;=0,0,MAX(0,O109+BX110-BY110))</f>
        <v/>
      </c>
      <c r="P110" s="13">
        <f>IF(P109&lt;=0,0,MAX(0,P109+CA110-CB110))</f>
        <v/>
      </c>
      <c r="Q110" s="13">
        <f>IF(Q109&lt;=0,0,MAX(0,Q109+CD110-CE110))</f>
        <v/>
      </c>
      <c r="R110" s="13">
        <f>IF(R109&lt;=0,0,MAX(0,R109+CG110-CH110))</f>
        <v/>
      </c>
      <c r="S110" s="13">
        <f>IF(S109&lt;=0,0,MAX(0,S109+CJ110-CK110))</f>
        <v/>
      </c>
      <c r="T110" s="13">
        <f>IF(T109&lt;=0,0,MAX(0,T109+CM110-CN110))</f>
        <v/>
      </c>
      <c r="U110" s="13">
        <f>IF(U109&lt;=0,0,MAX(0,U109+CP110-CQ110))</f>
        <v/>
      </c>
      <c r="V110" s="13">
        <f>IF(V109&lt;=0,0,MAX(0,V109+CS110-CT110))</f>
        <v/>
      </c>
      <c r="W110" s="13">
        <f>AO110+AR110+AU110+AX110+BA110+BD110+BG110+BJ110+BM110+BP110+BS110+BV110+BY110+CB110+CE110+CH110+CK110+CN110+CQ110+CT110</f>
        <v/>
      </c>
      <c r="X110" s="13">
        <f>AN110+AQ110+AT110+AW110+AZ110+BC110+BF110+BI110+BL110+BO110+BR110+BU110+BX110+CA110+CD110+CG110+CJ110+CM110+CP110+CS110</f>
        <v/>
      </c>
      <c r="Y110" s="27">
        <f>C110+D110+E110+F110+G110+H110+I110+J110+K110+L110+M110+N110+O110+P110+Q110+R110+S110+T110+U110+V110</f>
        <v/>
      </c>
      <c r="AN110">
        <f>IF(C109&lt;=0,0,C109*$E$5/12)</f>
        <v/>
      </c>
      <c r="AO110">
        <f>IF(C109&lt;=0,0,MIN(C109+AN110,$F$5+(Dashboard!$C$11+IF(C109&lt;=0,$F$5,0)+IF(D109&lt;=0,$F$6,0)+IF(E109&lt;=0,$F$7,0)+IF(F109&lt;=0,$F$8,0)+IF(G109&lt;=0,$F$9,0)+IF(H109&lt;=0,$F$10,0)+IF(I109&lt;=0,$F$11,0)+IF(J109&lt;=0,$F$12,0)+IF(K109&lt;=0,$F$13,0)+IF(L109&lt;=0,$F$14,0)+IF(M109&lt;=0,$F$15,0)+IF(N109&lt;=0,$F$16,0)+IF(O109&lt;=0,$F$17,0)+IF(P109&lt;=0,$F$18,0)+IF(Q109&lt;=0,$F$19,0)+IF(R109&lt;=0,$F$20,0)+IF(S109&lt;=0,$F$21,0)+IF(T109&lt;=0,$F$22,0)+IF(U109&lt;=0,$F$23,0)+IF(V109&lt;=0,$F$24,0))))</f>
        <v/>
      </c>
      <c r="AP110">
        <f>IF(C109&lt;=0,(Dashboard!$C$11+IF(C109&lt;=0,$F$5,0)+IF(D109&lt;=0,$F$6,0)+IF(E109&lt;=0,$F$7,0)+IF(F109&lt;=0,$F$8,0)+IF(G109&lt;=0,$F$9,0)+IF(H109&lt;=0,$F$10,0)+IF(I109&lt;=0,$F$11,0)+IF(J109&lt;=0,$F$12,0)+IF(K109&lt;=0,$F$13,0)+IF(L109&lt;=0,$F$14,0)+IF(M109&lt;=0,$F$15,0)+IF(N109&lt;=0,$F$16,0)+IF(O109&lt;=0,$F$17,0)+IF(P109&lt;=0,$F$18,0)+IF(Q109&lt;=0,$F$19,0)+IF(R109&lt;=0,$F$20,0)+IF(S109&lt;=0,$F$21,0)+IF(T109&lt;=0,$F$22,0)+IF(U109&lt;=0,$F$23,0)+IF(V109&lt;=0,$F$24,0)),MAX(0,$F$5+(Dashboard!$C$11+IF(C109&lt;=0,$F$5,0)+IF(D109&lt;=0,$F$6,0)+IF(E109&lt;=0,$F$7,0)+IF(F109&lt;=0,$F$8,0)+IF(G109&lt;=0,$F$9,0)+IF(H109&lt;=0,$F$10,0)+IF(I109&lt;=0,$F$11,0)+IF(J109&lt;=0,$F$12,0)+IF(K109&lt;=0,$F$13,0)+IF(L109&lt;=0,$F$14,0)+IF(M109&lt;=0,$F$15,0)+IF(N109&lt;=0,$F$16,0)+IF(O109&lt;=0,$F$17,0)+IF(P109&lt;=0,$F$18,0)+IF(Q109&lt;=0,$F$19,0)+IF(R109&lt;=0,$F$20,0)+IF(S109&lt;=0,$F$21,0)+IF(T109&lt;=0,$F$22,0)+IF(U109&lt;=0,$F$23,0)+IF(V109&lt;=0,$F$24,0))-C109-AN110))</f>
        <v/>
      </c>
      <c r="AQ110">
        <f>IF(D109&lt;=0,0,D109*$E$6/12)</f>
        <v/>
      </c>
      <c r="AR110">
        <f>IF(D109&lt;=0,0,MIN(D109+AQ110,$F$6+AP110))</f>
        <v/>
      </c>
      <c r="AS110">
        <f>IF(D109&lt;=0,AP110,MAX(0,$F$6+AP110-D109-AQ110))</f>
        <v/>
      </c>
      <c r="AT110">
        <f>IF(E109&lt;=0,0,E109*$E$7/12)</f>
        <v/>
      </c>
      <c r="AU110">
        <f>IF(E109&lt;=0,0,MIN(E109+AT110,$F$7+AS110))</f>
        <v/>
      </c>
      <c r="AV110">
        <f>IF(E109&lt;=0,AS110,MAX(0,$F$7+AS110-E109-AT110))</f>
        <v/>
      </c>
      <c r="AW110">
        <f>IF(F109&lt;=0,0,F109*$E$8/12)</f>
        <v/>
      </c>
      <c r="AX110">
        <f>IF(F109&lt;=0,0,MIN(F109+AW110,$F$8+AV110))</f>
        <v/>
      </c>
      <c r="AY110">
        <f>IF(F109&lt;=0,AV110,MAX(0,$F$8+AV110-F109-AW110))</f>
        <v/>
      </c>
      <c r="AZ110">
        <f>IF(G109&lt;=0,0,G109*$E$9/12)</f>
        <v/>
      </c>
      <c r="BA110">
        <f>IF(G109&lt;=0,0,MIN(G109+AZ110,$F$9+AY110))</f>
        <v/>
      </c>
      <c r="BB110">
        <f>IF(G109&lt;=0,AY110,MAX(0,$F$9+AY110-G109-AZ110))</f>
        <v/>
      </c>
      <c r="BC110">
        <f>IF(H109&lt;=0,0,H109*$E$10/12)</f>
        <v/>
      </c>
      <c r="BD110">
        <f>IF(H109&lt;=0,0,MIN(H109+BC110,$F$10+BB110))</f>
        <v/>
      </c>
      <c r="BE110">
        <f>IF(H109&lt;=0,BB110,MAX(0,$F$10+BB110-H109-BC110))</f>
        <v/>
      </c>
      <c r="BF110">
        <f>IF(I109&lt;=0,0,I109*$E$11/12)</f>
        <v/>
      </c>
      <c r="BG110">
        <f>IF(I109&lt;=0,0,MIN(I109+BF110,$F$11+BE110))</f>
        <v/>
      </c>
      <c r="BH110">
        <f>IF(I109&lt;=0,BE110,MAX(0,$F$11+BE110-I109-BF110))</f>
        <v/>
      </c>
      <c r="BI110">
        <f>IF(J109&lt;=0,0,J109*$E$12/12)</f>
        <v/>
      </c>
      <c r="BJ110">
        <f>IF(J109&lt;=0,0,MIN(J109+BI110,$F$12+BH110))</f>
        <v/>
      </c>
      <c r="BK110">
        <f>IF(J109&lt;=0,BH110,MAX(0,$F$12+BH110-J109-BI110))</f>
        <v/>
      </c>
      <c r="BL110">
        <f>IF(K109&lt;=0,0,K109*$E$13/12)</f>
        <v/>
      </c>
      <c r="BM110">
        <f>IF(K109&lt;=0,0,MIN(K109+BL110,$F$13+BK110))</f>
        <v/>
      </c>
      <c r="BN110">
        <f>IF(K109&lt;=0,BK110,MAX(0,$F$13+BK110-K109-BL110))</f>
        <v/>
      </c>
      <c r="BO110">
        <f>IF(L109&lt;=0,0,L109*$E$14/12)</f>
        <v/>
      </c>
      <c r="BP110">
        <f>IF(L109&lt;=0,0,MIN(L109+BO110,$F$14+BN110))</f>
        <v/>
      </c>
      <c r="BQ110">
        <f>IF(L109&lt;=0,BN110,MAX(0,$F$14+BN110-L109-BO110))</f>
        <v/>
      </c>
      <c r="BR110">
        <f>IF(M109&lt;=0,0,M109*$E$15/12)</f>
        <v/>
      </c>
      <c r="BS110">
        <f>IF(M109&lt;=0,0,MIN(M109+BR110,$F$15+BQ110))</f>
        <v/>
      </c>
      <c r="BT110">
        <f>IF(M109&lt;=0,BQ110,MAX(0,$F$15+BQ110-M109-BR110))</f>
        <v/>
      </c>
      <c r="BU110">
        <f>IF(N109&lt;=0,0,N109*$E$16/12)</f>
        <v/>
      </c>
      <c r="BV110">
        <f>IF(N109&lt;=0,0,MIN(N109+BU110,$F$16+BT110))</f>
        <v/>
      </c>
      <c r="BW110">
        <f>IF(N109&lt;=0,BT110,MAX(0,$F$16+BT110-N109-BU110))</f>
        <v/>
      </c>
      <c r="BX110">
        <f>IF(O109&lt;=0,0,O109*$E$17/12)</f>
        <v/>
      </c>
      <c r="BY110">
        <f>IF(O109&lt;=0,0,MIN(O109+BX110,$F$17+BW110))</f>
        <v/>
      </c>
      <c r="BZ110">
        <f>IF(O109&lt;=0,BW110,MAX(0,$F$17+BW110-O109-BX110))</f>
        <v/>
      </c>
      <c r="CA110">
        <f>IF(P109&lt;=0,0,P109*$E$18/12)</f>
        <v/>
      </c>
      <c r="CB110">
        <f>IF(P109&lt;=0,0,MIN(P109+CA110,$F$18+BZ110))</f>
        <v/>
      </c>
      <c r="CC110">
        <f>IF(P109&lt;=0,BZ110,MAX(0,$F$18+BZ110-P109-CA110))</f>
        <v/>
      </c>
      <c r="CD110">
        <f>IF(Q109&lt;=0,0,Q109*$E$19/12)</f>
        <v/>
      </c>
      <c r="CE110">
        <f>IF(Q109&lt;=0,0,MIN(Q109+CD110,$F$19+CC110))</f>
        <v/>
      </c>
      <c r="CF110">
        <f>IF(Q109&lt;=0,CC110,MAX(0,$F$19+CC110-Q109-CD110))</f>
        <v/>
      </c>
      <c r="CG110">
        <f>IF(R109&lt;=0,0,R109*$E$20/12)</f>
        <v/>
      </c>
      <c r="CH110">
        <f>IF(R109&lt;=0,0,MIN(R109+CG110,$F$20+CF110))</f>
        <v/>
      </c>
      <c r="CI110">
        <f>IF(R109&lt;=0,CF110,MAX(0,$F$20+CF110-R109-CG110))</f>
        <v/>
      </c>
      <c r="CJ110">
        <f>IF(S109&lt;=0,0,S109*$E$21/12)</f>
        <v/>
      </c>
      <c r="CK110">
        <f>IF(S109&lt;=0,0,MIN(S109+CJ110,$F$21+CI110))</f>
        <v/>
      </c>
      <c r="CL110">
        <f>IF(S109&lt;=0,CI110,MAX(0,$F$21+CI110-S109-CJ110))</f>
        <v/>
      </c>
      <c r="CM110">
        <f>IF(T109&lt;=0,0,T109*$E$22/12)</f>
        <v/>
      </c>
      <c r="CN110">
        <f>IF(T109&lt;=0,0,MIN(T109+CM110,$F$22+CL110))</f>
        <v/>
      </c>
      <c r="CO110">
        <f>IF(T109&lt;=0,CL110,MAX(0,$F$22+CL110-T109-CM110))</f>
        <v/>
      </c>
      <c r="CP110">
        <f>IF(U109&lt;=0,0,U109*$E$23/12)</f>
        <v/>
      </c>
      <c r="CQ110">
        <f>IF(U109&lt;=0,0,MIN(U109+CP110,$F$23+CO110))</f>
        <v/>
      </c>
      <c r="CR110">
        <f>IF(U109&lt;=0,CO110,MAX(0,$F$23+CO110-U109-CP110))</f>
        <v/>
      </c>
      <c r="CS110">
        <f>IF(V109&lt;=0,0,V109*$E$24/12)</f>
        <v/>
      </c>
      <c r="CT110">
        <f>IF(V109&lt;=0,0,MIN(V109+CS110,$F$24+CR110))</f>
        <v/>
      </c>
      <c r="CU110">
        <f>IF(V109&lt;=0,CR110,MAX(0,$F$24+CR110-V109-CS110))</f>
        <v/>
      </c>
    </row>
    <row r="111">
      <c r="B111" s="39" t="n">
        <v>85</v>
      </c>
      <c r="C111" s="13">
        <f>IF(C110&lt;=0,0,MAX(0,C110+AN111-AO111))</f>
        <v/>
      </c>
      <c r="D111" s="13">
        <f>IF(D110&lt;=0,0,MAX(0,D110+AQ111-AR111))</f>
        <v/>
      </c>
      <c r="E111" s="13">
        <f>IF(E110&lt;=0,0,MAX(0,E110+AT111-AU111))</f>
        <v/>
      </c>
      <c r="F111" s="13">
        <f>IF(F110&lt;=0,0,MAX(0,F110+AW111-AX111))</f>
        <v/>
      </c>
      <c r="G111" s="13">
        <f>IF(G110&lt;=0,0,MAX(0,G110+AZ111-BA111))</f>
        <v/>
      </c>
      <c r="H111" s="13">
        <f>IF(H110&lt;=0,0,MAX(0,H110+BC111-BD111))</f>
        <v/>
      </c>
      <c r="I111" s="13">
        <f>IF(I110&lt;=0,0,MAX(0,I110+BF111-BG111))</f>
        <v/>
      </c>
      <c r="J111" s="13">
        <f>IF(J110&lt;=0,0,MAX(0,J110+BI111-BJ111))</f>
        <v/>
      </c>
      <c r="K111" s="13">
        <f>IF(K110&lt;=0,0,MAX(0,K110+BL111-BM111))</f>
        <v/>
      </c>
      <c r="L111" s="13">
        <f>IF(L110&lt;=0,0,MAX(0,L110+BO111-BP111))</f>
        <v/>
      </c>
      <c r="M111" s="13">
        <f>IF(M110&lt;=0,0,MAX(0,M110+BR111-BS111))</f>
        <v/>
      </c>
      <c r="N111" s="13">
        <f>IF(N110&lt;=0,0,MAX(0,N110+BU111-BV111))</f>
        <v/>
      </c>
      <c r="O111" s="13">
        <f>IF(O110&lt;=0,0,MAX(0,O110+BX111-BY111))</f>
        <v/>
      </c>
      <c r="P111" s="13">
        <f>IF(P110&lt;=0,0,MAX(0,P110+CA111-CB111))</f>
        <v/>
      </c>
      <c r="Q111" s="13">
        <f>IF(Q110&lt;=0,0,MAX(0,Q110+CD111-CE111))</f>
        <v/>
      </c>
      <c r="R111" s="13">
        <f>IF(R110&lt;=0,0,MAX(0,R110+CG111-CH111))</f>
        <v/>
      </c>
      <c r="S111" s="13">
        <f>IF(S110&lt;=0,0,MAX(0,S110+CJ111-CK111))</f>
        <v/>
      </c>
      <c r="T111" s="13">
        <f>IF(T110&lt;=0,0,MAX(0,T110+CM111-CN111))</f>
        <v/>
      </c>
      <c r="U111" s="13">
        <f>IF(U110&lt;=0,0,MAX(0,U110+CP111-CQ111))</f>
        <v/>
      </c>
      <c r="V111" s="13">
        <f>IF(V110&lt;=0,0,MAX(0,V110+CS111-CT111))</f>
        <v/>
      </c>
      <c r="W111" s="13">
        <f>AO111+AR111+AU111+AX111+BA111+BD111+BG111+BJ111+BM111+BP111+BS111+BV111+BY111+CB111+CE111+CH111+CK111+CN111+CQ111+CT111</f>
        <v/>
      </c>
      <c r="X111" s="13">
        <f>AN111+AQ111+AT111+AW111+AZ111+BC111+BF111+BI111+BL111+BO111+BR111+BU111+BX111+CA111+CD111+CG111+CJ111+CM111+CP111+CS111</f>
        <v/>
      </c>
      <c r="Y111" s="27">
        <f>C111+D111+E111+F111+G111+H111+I111+J111+K111+L111+M111+N111+O111+P111+Q111+R111+S111+T111+U111+V111</f>
        <v/>
      </c>
      <c r="AN111">
        <f>IF(C110&lt;=0,0,C110*$E$5/12)</f>
        <v/>
      </c>
      <c r="AO111">
        <f>IF(C110&lt;=0,0,MIN(C110+AN111,$F$5+(Dashboard!$C$11+IF(C110&lt;=0,$F$5,0)+IF(D110&lt;=0,$F$6,0)+IF(E110&lt;=0,$F$7,0)+IF(F110&lt;=0,$F$8,0)+IF(G110&lt;=0,$F$9,0)+IF(H110&lt;=0,$F$10,0)+IF(I110&lt;=0,$F$11,0)+IF(J110&lt;=0,$F$12,0)+IF(K110&lt;=0,$F$13,0)+IF(L110&lt;=0,$F$14,0)+IF(M110&lt;=0,$F$15,0)+IF(N110&lt;=0,$F$16,0)+IF(O110&lt;=0,$F$17,0)+IF(P110&lt;=0,$F$18,0)+IF(Q110&lt;=0,$F$19,0)+IF(R110&lt;=0,$F$20,0)+IF(S110&lt;=0,$F$21,0)+IF(T110&lt;=0,$F$22,0)+IF(U110&lt;=0,$F$23,0)+IF(V110&lt;=0,$F$24,0))))</f>
        <v/>
      </c>
      <c r="AP111">
        <f>IF(C110&lt;=0,(Dashboard!$C$11+IF(C110&lt;=0,$F$5,0)+IF(D110&lt;=0,$F$6,0)+IF(E110&lt;=0,$F$7,0)+IF(F110&lt;=0,$F$8,0)+IF(G110&lt;=0,$F$9,0)+IF(H110&lt;=0,$F$10,0)+IF(I110&lt;=0,$F$11,0)+IF(J110&lt;=0,$F$12,0)+IF(K110&lt;=0,$F$13,0)+IF(L110&lt;=0,$F$14,0)+IF(M110&lt;=0,$F$15,0)+IF(N110&lt;=0,$F$16,0)+IF(O110&lt;=0,$F$17,0)+IF(P110&lt;=0,$F$18,0)+IF(Q110&lt;=0,$F$19,0)+IF(R110&lt;=0,$F$20,0)+IF(S110&lt;=0,$F$21,0)+IF(T110&lt;=0,$F$22,0)+IF(U110&lt;=0,$F$23,0)+IF(V110&lt;=0,$F$24,0)),MAX(0,$F$5+(Dashboard!$C$11+IF(C110&lt;=0,$F$5,0)+IF(D110&lt;=0,$F$6,0)+IF(E110&lt;=0,$F$7,0)+IF(F110&lt;=0,$F$8,0)+IF(G110&lt;=0,$F$9,0)+IF(H110&lt;=0,$F$10,0)+IF(I110&lt;=0,$F$11,0)+IF(J110&lt;=0,$F$12,0)+IF(K110&lt;=0,$F$13,0)+IF(L110&lt;=0,$F$14,0)+IF(M110&lt;=0,$F$15,0)+IF(N110&lt;=0,$F$16,0)+IF(O110&lt;=0,$F$17,0)+IF(P110&lt;=0,$F$18,0)+IF(Q110&lt;=0,$F$19,0)+IF(R110&lt;=0,$F$20,0)+IF(S110&lt;=0,$F$21,0)+IF(T110&lt;=0,$F$22,0)+IF(U110&lt;=0,$F$23,0)+IF(V110&lt;=0,$F$24,0))-C110-AN111))</f>
        <v/>
      </c>
      <c r="AQ111">
        <f>IF(D110&lt;=0,0,D110*$E$6/12)</f>
        <v/>
      </c>
      <c r="AR111">
        <f>IF(D110&lt;=0,0,MIN(D110+AQ111,$F$6+AP111))</f>
        <v/>
      </c>
      <c r="AS111">
        <f>IF(D110&lt;=0,AP111,MAX(0,$F$6+AP111-D110-AQ111))</f>
        <v/>
      </c>
      <c r="AT111">
        <f>IF(E110&lt;=0,0,E110*$E$7/12)</f>
        <v/>
      </c>
      <c r="AU111">
        <f>IF(E110&lt;=0,0,MIN(E110+AT111,$F$7+AS111))</f>
        <v/>
      </c>
      <c r="AV111">
        <f>IF(E110&lt;=0,AS111,MAX(0,$F$7+AS111-E110-AT111))</f>
        <v/>
      </c>
      <c r="AW111">
        <f>IF(F110&lt;=0,0,F110*$E$8/12)</f>
        <v/>
      </c>
      <c r="AX111">
        <f>IF(F110&lt;=0,0,MIN(F110+AW111,$F$8+AV111))</f>
        <v/>
      </c>
      <c r="AY111">
        <f>IF(F110&lt;=0,AV111,MAX(0,$F$8+AV111-F110-AW111))</f>
        <v/>
      </c>
      <c r="AZ111">
        <f>IF(G110&lt;=0,0,G110*$E$9/12)</f>
        <v/>
      </c>
      <c r="BA111">
        <f>IF(G110&lt;=0,0,MIN(G110+AZ111,$F$9+AY111))</f>
        <v/>
      </c>
      <c r="BB111">
        <f>IF(G110&lt;=0,AY111,MAX(0,$F$9+AY111-G110-AZ111))</f>
        <v/>
      </c>
      <c r="BC111">
        <f>IF(H110&lt;=0,0,H110*$E$10/12)</f>
        <v/>
      </c>
      <c r="BD111">
        <f>IF(H110&lt;=0,0,MIN(H110+BC111,$F$10+BB111))</f>
        <v/>
      </c>
      <c r="BE111">
        <f>IF(H110&lt;=0,BB111,MAX(0,$F$10+BB111-H110-BC111))</f>
        <v/>
      </c>
      <c r="BF111">
        <f>IF(I110&lt;=0,0,I110*$E$11/12)</f>
        <v/>
      </c>
      <c r="BG111">
        <f>IF(I110&lt;=0,0,MIN(I110+BF111,$F$11+BE111))</f>
        <v/>
      </c>
      <c r="BH111">
        <f>IF(I110&lt;=0,BE111,MAX(0,$F$11+BE111-I110-BF111))</f>
        <v/>
      </c>
      <c r="BI111">
        <f>IF(J110&lt;=0,0,J110*$E$12/12)</f>
        <v/>
      </c>
      <c r="BJ111">
        <f>IF(J110&lt;=0,0,MIN(J110+BI111,$F$12+BH111))</f>
        <v/>
      </c>
      <c r="BK111">
        <f>IF(J110&lt;=0,BH111,MAX(0,$F$12+BH111-J110-BI111))</f>
        <v/>
      </c>
      <c r="BL111">
        <f>IF(K110&lt;=0,0,K110*$E$13/12)</f>
        <v/>
      </c>
      <c r="BM111">
        <f>IF(K110&lt;=0,0,MIN(K110+BL111,$F$13+BK111))</f>
        <v/>
      </c>
      <c r="BN111">
        <f>IF(K110&lt;=0,BK111,MAX(0,$F$13+BK111-K110-BL111))</f>
        <v/>
      </c>
      <c r="BO111">
        <f>IF(L110&lt;=0,0,L110*$E$14/12)</f>
        <v/>
      </c>
      <c r="BP111">
        <f>IF(L110&lt;=0,0,MIN(L110+BO111,$F$14+BN111))</f>
        <v/>
      </c>
      <c r="BQ111">
        <f>IF(L110&lt;=0,BN111,MAX(0,$F$14+BN111-L110-BO111))</f>
        <v/>
      </c>
      <c r="BR111">
        <f>IF(M110&lt;=0,0,M110*$E$15/12)</f>
        <v/>
      </c>
      <c r="BS111">
        <f>IF(M110&lt;=0,0,MIN(M110+BR111,$F$15+BQ111))</f>
        <v/>
      </c>
      <c r="BT111">
        <f>IF(M110&lt;=0,BQ111,MAX(0,$F$15+BQ111-M110-BR111))</f>
        <v/>
      </c>
      <c r="BU111">
        <f>IF(N110&lt;=0,0,N110*$E$16/12)</f>
        <v/>
      </c>
      <c r="BV111">
        <f>IF(N110&lt;=0,0,MIN(N110+BU111,$F$16+BT111))</f>
        <v/>
      </c>
      <c r="BW111">
        <f>IF(N110&lt;=0,BT111,MAX(0,$F$16+BT111-N110-BU111))</f>
        <v/>
      </c>
      <c r="BX111">
        <f>IF(O110&lt;=0,0,O110*$E$17/12)</f>
        <v/>
      </c>
      <c r="BY111">
        <f>IF(O110&lt;=0,0,MIN(O110+BX111,$F$17+BW111))</f>
        <v/>
      </c>
      <c r="BZ111">
        <f>IF(O110&lt;=0,BW111,MAX(0,$F$17+BW111-O110-BX111))</f>
        <v/>
      </c>
      <c r="CA111">
        <f>IF(P110&lt;=0,0,P110*$E$18/12)</f>
        <v/>
      </c>
      <c r="CB111">
        <f>IF(P110&lt;=0,0,MIN(P110+CA111,$F$18+BZ111))</f>
        <v/>
      </c>
      <c r="CC111">
        <f>IF(P110&lt;=0,BZ111,MAX(0,$F$18+BZ111-P110-CA111))</f>
        <v/>
      </c>
      <c r="CD111">
        <f>IF(Q110&lt;=0,0,Q110*$E$19/12)</f>
        <v/>
      </c>
      <c r="CE111">
        <f>IF(Q110&lt;=0,0,MIN(Q110+CD111,$F$19+CC111))</f>
        <v/>
      </c>
      <c r="CF111">
        <f>IF(Q110&lt;=0,CC111,MAX(0,$F$19+CC111-Q110-CD111))</f>
        <v/>
      </c>
      <c r="CG111">
        <f>IF(R110&lt;=0,0,R110*$E$20/12)</f>
        <v/>
      </c>
      <c r="CH111">
        <f>IF(R110&lt;=0,0,MIN(R110+CG111,$F$20+CF111))</f>
        <v/>
      </c>
      <c r="CI111">
        <f>IF(R110&lt;=0,CF111,MAX(0,$F$20+CF111-R110-CG111))</f>
        <v/>
      </c>
      <c r="CJ111">
        <f>IF(S110&lt;=0,0,S110*$E$21/12)</f>
        <v/>
      </c>
      <c r="CK111">
        <f>IF(S110&lt;=0,0,MIN(S110+CJ111,$F$21+CI111))</f>
        <v/>
      </c>
      <c r="CL111">
        <f>IF(S110&lt;=0,CI111,MAX(0,$F$21+CI111-S110-CJ111))</f>
        <v/>
      </c>
      <c r="CM111">
        <f>IF(T110&lt;=0,0,T110*$E$22/12)</f>
        <v/>
      </c>
      <c r="CN111">
        <f>IF(T110&lt;=0,0,MIN(T110+CM111,$F$22+CL111))</f>
        <v/>
      </c>
      <c r="CO111">
        <f>IF(T110&lt;=0,CL111,MAX(0,$F$22+CL111-T110-CM111))</f>
        <v/>
      </c>
      <c r="CP111">
        <f>IF(U110&lt;=0,0,U110*$E$23/12)</f>
        <v/>
      </c>
      <c r="CQ111">
        <f>IF(U110&lt;=0,0,MIN(U110+CP111,$F$23+CO111))</f>
        <v/>
      </c>
      <c r="CR111">
        <f>IF(U110&lt;=0,CO111,MAX(0,$F$23+CO111-U110-CP111))</f>
        <v/>
      </c>
      <c r="CS111">
        <f>IF(V110&lt;=0,0,V110*$E$24/12)</f>
        <v/>
      </c>
      <c r="CT111">
        <f>IF(V110&lt;=0,0,MIN(V110+CS111,$F$24+CR111))</f>
        <v/>
      </c>
      <c r="CU111">
        <f>IF(V110&lt;=0,CR111,MAX(0,$F$24+CR111-V110-CS111))</f>
        <v/>
      </c>
    </row>
    <row r="112">
      <c r="B112" s="39" t="n">
        <v>86</v>
      </c>
      <c r="C112" s="13">
        <f>IF(C111&lt;=0,0,MAX(0,C111+AN112-AO112))</f>
        <v/>
      </c>
      <c r="D112" s="13">
        <f>IF(D111&lt;=0,0,MAX(0,D111+AQ112-AR112))</f>
        <v/>
      </c>
      <c r="E112" s="13">
        <f>IF(E111&lt;=0,0,MAX(0,E111+AT112-AU112))</f>
        <v/>
      </c>
      <c r="F112" s="13">
        <f>IF(F111&lt;=0,0,MAX(0,F111+AW112-AX112))</f>
        <v/>
      </c>
      <c r="G112" s="13">
        <f>IF(G111&lt;=0,0,MAX(0,G111+AZ112-BA112))</f>
        <v/>
      </c>
      <c r="H112" s="13">
        <f>IF(H111&lt;=0,0,MAX(0,H111+BC112-BD112))</f>
        <v/>
      </c>
      <c r="I112" s="13">
        <f>IF(I111&lt;=0,0,MAX(0,I111+BF112-BG112))</f>
        <v/>
      </c>
      <c r="J112" s="13">
        <f>IF(J111&lt;=0,0,MAX(0,J111+BI112-BJ112))</f>
        <v/>
      </c>
      <c r="K112" s="13">
        <f>IF(K111&lt;=0,0,MAX(0,K111+BL112-BM112))</f>
        <v/>
      </c>
      <c r="L112" s="13">
        <f>IF(L111&lt;=0,0,MAX(0,L111+BO112-BP112))</f>
        <v/>
      </c>
      <c r="M112" s="13">
        <f>IF(M111&lt;=0,0,MAX(0,M111+BR112-BS112))</f>
        <v/>
      </c>
      <c r="N112" s="13">
        <f>IF(N111&lt;=0,0,MAX(0,N111+BU112-BV112))</f>
        <v/>
      </c>
      <c r="O112" s="13">
        <f>IF(O111&lt;=0,0,MAX(0,O111+BX112-BY112))</f>
        <v/>
      </c>
      <c r="P112" s="13">
        <f>IF(P111&lt;=0,0,MAX(0,P111+CA112-CB112))</f>
        <v/>
      </c>
      <c r="Q112" s="13">
        <f>IF(Q111&lt;=0,0,MAX(0,Q111+CD112-CE112))</f>
        <v/>
      </c>
      <c r="R112" s="13">
        <f>IF(R111&lt;=0,0,MAX(0,R111+CG112-CH112))</f>
        <v/>
      </c>
      <c r="S112" s="13">
        <f>IF(S111&lt;=0,0,MAX(0,S111+CJ112-CK112))</f>
        <v/>
      </c>
      <c r="T112" s="13">
        <f>IF(T111&lt;=0,0,MAX(0,T111+CM112-CN112))</f>
        <v/>
      </c>
      <c r="U112" s="13">
        <f>IF(U111&lt;=0,0,MAX(0,U111+CP112-CQ112))</f>
        <v/>
      </c>
      <c r="V112" s="13">
        <f>IF(V111&lt;=0,0,MAX(0,V111+CS112-CT112))</f>
        <v/>
      </c>
      <c r="W112" s="13">
        <f>AO112+AR112+AU112+AX112+BA112+BD112+BG112+BJ112+BM112+BP112+BS112+BV112+BY112+CB112+CE112+CH112+CK112+CN112+CQ112+CT112</f>
        <v/>
      </c>
      <c r="X112" s="13">
        <f>AN112+AQ112+AT112+AW112+AZ112+BC112+BF112+BI112+BL112+BO112+BR112+BU112+BX112+CA112+CD112+CG112+CJ112+CM112+CP112+CS112</f>
        <v/>
      </c>
      <c r="Y112" s="27">
        <f>C112+D112+E112+F112+G112+H112+I112+J112+K112+L112+M112+N112+O112+P112+Q112+R112+S112+T112+U112+V112</f>
        <v/>
      </c>
      <c r="AN112">
        <f>IF(C111&lt;=0,0,C111*$E$5/12)</f>
        <v/>
      </c>
      <c r="AO112">
        <f>IF(C111&lt;=0,0,MIN(C111+AN112,$F$5+(Dashboard!$C$11+IF(C111&lt;=0,$F$5,0)+IF(D111&lt;=0,$F$6,0)+IF(E111&lt;=0,$F$7,0)+IF(F111&lt;=0,$F$8,0)+IF(G111&lt;=0,$F$9,0)+IF(H111&lt;=0,$F$10,0)+IF(I111&lt;=0,$F$11,0)+IF(J111&lt;=0,$F$12,0)+IF(K111&lt;=0,$F$13,0)+IF(L111&lt;=0,$F$14,0)+IF(M111&lt;=0,$F$15,0)+IF(N111&lt;=0,$F$16,0)+IF(O111&lt;=0,$F$17,0)+IF(P111&lt;=0,$F$18,0)+IF(Q111&lt;=0,$F$19,0)+IF(R111&lt;=0,$F$20,0)+IF(S111&lt;=0,$F$21,0)+IF(T111&lt;=0,$F$22,0)+IF(U111&lt;=0,$F$23,0)+IF(V111&lt;=0,$F$24,0))))</f>
        <v/>
      </c>
      <c r="AP112">
        <f>IF(C111&lt;=0,(Dashboard!$C$11+IF(C111&lt;=0,$F$5,0)+IF(D111&lt;=0,$F$6,0)+IF(E111&lt;=0,$F$7,0)+IF(F111&lt;=0,$F$8,0)+IF(G111&lt;=0,$F$9,0)+IF(H111&lt;=0,$F$10,0)+IF(I111&lt;=0,$F$11,0)+IF(J111&lt;=0,$F$12,0)+IF(K111&lt;=0,$F$13,0)+IF(L111&lt;=0,$F$14,0)+IF(M111&lt;=0,$F$15,0)+IF(N111&lt;=0,$F$16,0)+IF(O111&lt;=0,$F$17,0)+IF(P111&lt;=0,$F$18,0)+IF(Q111&lt;=0,$F$19,0)+IF(R111&lt;=0,$F$20,0)+IF(S111&lt;=0,$F$21,0)+IF(T111&lt;=0,$F$22,0)+IF(U111&lt;=0,$F$23,0)+IF(V111&lt;=0,$F$24,0)),MAX(0,$F$5+(Dashboard!$C$11+IF(C111&lt;=0,$F$5,0)+IF(D111&lt;=0,$F$6,0)+IF(E111&lt;=0,$F$7,0)+IF(F111&lt;=0,$F$8,0)+IF(G111&lt;=0,$F$9,0)+IF(H111&lt;=0,$F$10,0)+IF(I111&lt;=0,$F$11,0)+IF(J111&lt;=0,$F$12,0)+IF(K111&lt;=0,$F$13,0)+IF(L111&lt;=0,$F$14,0)+IF(M111&lt;=0,$F$15,0)+IF(N111&lt;=0,$F$16,0)+IF(O111&lt;=0,$F$17,0)+IF(P111&lt;=0,$F$18,0)+IF(Q111&lt;=0,$F$19,0)+IF(R111&lt;=0,$F$20,0)+IF(S111&lt;=0,$F$21,0)+IF(T111&lt;=0,$F$22,0)+IF(U111&lt;=0,$F$23,0)+IF(V111&lt;=0,$F$24,0))-C111-AN112))</f>
        <v/>
      </c>
      <c r="AQ112">
        <f>IF(D111&lt;=0,0,D111*$E$6/12)</f>
        <v/>
      </c>
      <c r="AR112">
        <f>IF(D111&lt;=0,0,MIN(D111+AQ112,$F$6+AP112))</f>
        <v/>
      </c>
      <c r="AS112">
        <f>IF(D111&lt;=0,AP112,MAX(0,$F$6+AP112-D111-AQ112))</f>
        <v/>
      </c>
      <c r="AT112">
        <f>IF(E111&lt;=0,0,E111*$E$7/12)</f>
        <v/>
      </c>
      <c r="AU112">
        <f>IF(E111&lt;=0,0,MIN(E111+AT112,$F$7+AS112))</f>
        <v/>
      </c>
      <c r="AV112">
        <f>IF(E111&lt;=0,AS112,MAX(0,$F$7+AS112-E111-AT112))</f>
        <v/>
      </c>
      <c r="AW112">
        <f>IF(F111&lt;=0,0,F111*$E$8/12)</f>
        <v/>
      </c>
      <c r="AX112">
        <f>IF(F111&lt;=0,0,MIN(F111+AW112,$F$8+AV112))</f>
        <v/>
      </c>
      <c r="AY112">
        <f>IF(F111&lt;=0,AV112,MAX(0,$F$8+AV112-F111-AW112))</f>
        <v/>
      </c>
      <c r="AZ112">
        <f>IF(G111&lt;=0,0,G111*$E$9/12)</f>
        <v/>
      </c>
      <c r="BA112">
        <f>IF(G111&lt;=0,0,MIN(G111+AZ112,$F$9+AY112))</f>
        <v/>
      </c>
      <c r="BB112">
        <f>IF(G111&lt;=0,AY112,MAX(0,$F$9+AY112-G111-AZ112))</f>
        <v/>
      </c>
      <c r="BC112">
        <f>IF(H111&lt;=0,0,H111*$E$10/12)</f>
        <v/>
      </c>
      <c r="BD112">
        <f>IF(H111&lt;=0,0,MIN(H111+BC112,$F$10+BB112))</f>
        <v/>
      </c>
      <c r="BE112">
        <f>IF(H111&lt;=0,BB112,MAX(0,$F$10+BB112-H111-BC112))</f>
        <v/>
      </c>
      <c r="BF112">
        <f>IF(I111&lt;=0,0,I111*$E$11/12)</f>
        <v/>
      </c>
      <c r="BG112">
        <f>IF(I111&lt;=0,0,MIN(I111+BF112,$F$11+BE112))</f>
        <v/>
      </c>
      <c r="BH112">
        <f>IF(I111&lt;=0,BE112,MAX(0,$F$11+BE112-I111-BF112))</f>
        <v/>
      </c>
      <c r="BI112">
        <f>IF(J111&lt;=0,0,J111*$E$12/12)</f>
        <v/>
      </c>
      <c r="BJ112">
        <f>IF(J111&lt;=0,0,MIN(J111+BI112,$F$12+BH112))</f>
        <v/>
      </c>
      <c r="BK112">
        <f>IF(J111&lt;=0,BH112,MAX(0,$F$12+BH112-J111-BI112))</f>
        <v/>
      </c>
      <c r="BL112">
        <f>IF(K111&lt;=0,0,K111*$E$13/12)</f>
        <v/>
      </c>
      <c r="BM112">
        <f>IF(K111&lt;=0,0,MIN(K111+BL112,$F$13+BK112))</f>
        <v/>
      </c>
      <c r="BN112">
        <f>IF(K111&lt;=0,BK112,MAX(0,$F$13+BK112-K111-BL112))</f>
        <v/>
      </c>
      <c r="BO112">
        <f>IF(L111&lt;=0,0,L111*$E$14/12)</f>
        <v/>
      </c>
      <c r="BP112">
        <f>IF(L111&lt;=0,0,MIN(L111+BO112,$F$14+BN112))</f>
        <v/>
      </c>
      <c r="BQ112">
        <f>IF(L111&lt;=0,BN112,MAX(0,$F$14+BN112-L111-BO112))</f>
        <v/>
      </c>
      <c r="BR112">
        <f>IF(M111&lt;=0,0,M111*$E$15/12)</f>
        <v/>
      </c>
      <c r="BS112">
        <f>IF(M111&lt;=0,0,MIN(M111+BR112,$F$15+BQ112))</f>
        <v/>
      </c>
      <c r="BT112">
        <f>IF(M111&lt;=0,BQ112,MAX(0,$F$15+BQ112-M111-BR112))</f>
        <v/>
      </c>
      <c r="BU112">
        <f>IF(N111&lt;=0,0,N111*$E$16/12)</f>
        <v/>
      </c>
      <c r="BV112">
        <f>IF(N111&lt;=0,0,MIN(N111+BU112,$F$16+BT112))</f>
        <v/>
      </c>
      <c r="BW112">
        <f>IF(N111&lt;=0,BT112,MAX(0,$F$16+BT112-N111-BU112))</f>
        <v/>
      </c>
      <c r="BX112">
        <f>IF(O111&lt;=0,0,O111*$E$17/12)</f>
        <v/>
      </c>
      <c r="BY112">
        <f>IF(O111&lt;=0,0,MIN(O111+BX112,$F$17+BW112))</f>
        <v/>
      </c>
      <c r="BZ112">
        <f>IF(O111&lt;=0,BW112,MAX(0,$F$17+BW112-O111-BX112))</f>
        <v/>
      </c>
      <c r="CA112">
        <f>IF(P111&lt;=0,0,P111*$E$18/12)</f>
        <v/>
      </c>
      <c r="CB112">
        <f>IF(P111&lt;=0,0,MIN(P111+CA112,$F$18+BZ112))</f>
        <v/>
      </c>
      <c r="CC112">
        <f>IF(P111&lt;=0,BZ112,MAX(0,$F$18+BZ112-P111-CA112))</f>
        <v/>
      </c>
      <c r="CD112">
        <f>IF(Q111&lt;=0,0,Q111*$E$19/12)</f>
        <v/>
      </c>
      <c r="CE112">
        <f>IF(Q111&lt;=0,0,MIN(Q111+CD112,$F$19+CC112))</f>
        <v/>
      </c>
      <c r="CF112">
        <f>IF(Q111&lt;=0,CC112,MAX(0,$F$19+CC112-Q111-CD112))</f>
        <v/>
      </c>
      <c r="CG112">
        <f>IF(R111&lt;=0,0,R111*$E$20/12)</f>
        <v/>
      </c>
      <c r="CH112">
        <f>IF(R111&lt;=0,0,MIN(R111+CG112,$F$20+CF112))</f>
        <v/>
      </c>
      <c r="CI112">
        <f>IF(R111&lt;=0,CF112,MAX(0,$F$20+CF112-R111-CG112))</f>
        <v/>
      </c>
      <c r="CJ112">
        <f>IF(S111&lt;=0,0,S111*$E$21/12)</f>
        <v/>
      </c>
      <c r="CK112">
        <f>IF(S111&lt;=0,0,MIN(S111+CJ112,$F$21+CI112))</f>
        <v/>
      </c>
      <c r="CL112">
        <f>IF(S111&lt;=0,CI112,MAX(0,$F$21+CI112-S111-CJ112))</f>
        <v/>
      </c>
      <c r="CM112">
        <f>IF(T111&lt;=0,0,T111*$E$22/12)</f>
        <v/>
      </c>
      <c r="CN112">
        <f>IF(T111&lt;=0,0,MIN(T111+CM112,$F$22+CL112))</f>
        <v/>
      </c>
      <c r="CO112">
        <f>IF(T111&lt;=0,CL112,MAX(0,$F$22+CL112-T111-CM112))</f>
        <v/>
      </c>
      <c r="CP112">
        <f>IF(U111&lt;=0,0,U111*$E$23/12)</f>
        <v/>
      </c>
      <c r="CQ112">
        <f>IF(U111&lt;=0,0,MIN(U111+CP112,$F$23+CO112))</f>
        <v/>
      </c>
      <c r="CR112">
        <f>IF(U111&lt;=0,CO112,MAX(0,$F$23+CO112-U111-CP112))</f>
        <v/>
      </c>
      <c r="CS112">
        <f>IF(V111&lt;=0,0,V111*$E$24/12)</f>
        <v/>
      </c>
      <c r="CT112">
        <f>IF(V111&lt;=0,0,MIN(V111+CS112,$F$24+CR112))</f>
        <v/>
      </c>
      <c r="CU112">
        <f>IF(V111&lt;=0,CR112,MAX(0,$F$24+CR112-V111-CS112))</f>
        <v/>
      </c>
    </row>
    <row r="113">
      <c r="B113" s="39" t="n">
        <v>87</v>
      </c>
      <c r="C113" s="13">
        <f>IF(C112&lt;=0,0,MAX(0,C112+AN113-AO113))</f>
        <v/>
      </c>
      <c r="D113" s="13">
        <f>IF(D112&lt;=0,0,MAX(0,D112+AQ113-AR113))</f>
        <v/>
      </c>
      <c r="E113" s="13">
        <f>IF(E112&lt;=0,0,MAX(0,E112+AT113-AU113))</f>
        <v/>
      </c>
      <c r="F113" s="13">
        <f>IF(F112&lt;=0,0,MAX(0,F112+AW113-AX113))</f>
        <v/>
      </c>
      <c r="G113" s="13">
        <f>IF(G112&lt;=0,0,MAX(0,G112+AZ113-BA113))</f>
        <v/>
      </c>
      <c r="H113" s="13">
        <f>IF(H112&lt;=0,0,MAX(0,H112+BC113-BD113))</f>
        <v/>
      </c>
      <c r="I113" s="13">
        <f>IF(I112&lt;=0,0,MAX(0,I112+BF113-BG113))</f>
        <v/>
      </c>
      <c r="J113" s="13">
        <f>IF(J112&lt;=0,0,MAX(0,J112+BI113-BJ113))</f>
        <v/>
      </c>
      <c r="K113" s="13">
        <f>IF(K112&lt;=0,0,MAX(0,K112+BL113-BM113))</f>
        <v/>
      </c>
      <c r="L113" s="13">
        <f>IF(L112&lt;=0,0,MAX(0,L112+BO113-BP113))</f>
        <v/>
      </c>
      <c r="M113" s="13">
        <f>IF(M112&lt;=0,0,MAX(0,M112+BR113-BS113))</f>
        <v/>
      </c>
      <c r="N113" s="13">
        <f>IF(N112&lt;=0,0,MAX(0,N112+BU113-BV113))</f>
        <v/>
      </c>
      <c r="O113" s="13">
        <f>IF(O112&lt;=0,0,MAX(0,O112+BX113-BY113))</f>
        <v/>
      </c>
      <c r="P113" s="13">
        <f>IF(P112&lt;=0,0,MAX(0,P112+CA113-CB113))</f>
        <v/>
      </c>
      <c r="Q113" s="13">
        <f>IF(Q112&lt;=0,0,MAX(0,Q112+CD113-CE113))</f>
        <v/>
      </c>
      <c r="R113" s="13">
        <f>IF(R112&lt;=0,0,MAX(0,R112+CG113-CH113))</f>
        <v/>
      </c>
      <c r="S113" s="13">
        <f>IF(S112&lt;=0,0,MAX(0,S112+CJ113-CK113))</f>
        <v/>
      </c>
      <c r="T113" s="13">
        <f>IF(T112&lt;=0,0,MAX(0,T112+CM113-CN113))</f>
        <v/>
      </c>
      <c r="U113" s="13">
        <f>IF(U112&lt;=0,0,MAX(0,U112+CP113-CQ113))</f>
        <v/>
      </c>
      <c r="V113" s="13">
        <f>IF(V112&lt;=0,0,MAX(0,V112+CS113-CT113))</f>
        <v/>
      </c>
      <c r="W113" s="13">
        <f>AO113+AR113+AU113+AX113+BA113+BD113+BG113+BJ113+BM113+BP113+BS113+BV113+BY113+CB113+CE113+CH113+CK113+CN113+CQ113+CT113</f>
        <v/>
      </c>
      <c r="X113" s="13">
        <f>AN113+AQ113+AT113+AW113+AZ113+BC113+BF113+BI113+BL113+BO113+BR113+BU113+BX113+CA113+CD113+CG113+CJ113+CM113+CP113+CS113</f>
        <v/>
      </c>
      <c r="Y113" s="27">
        <f>C113+D113+E113+F113+G113+H113+I113+J113+K113+L113+M113+N113+O113+P113+Q113+R113+S113+T113+U113+V113</f>
        <v/>
      </c>
      <c r="AN113">
        <f>IF(C112&lt;=0,0,C112*$E$5/12)</f>
        <v/>
      </c>
      <c r="AO113">
        <f>IF(C112&lt;=0,0,MIN(C112+AN113,$F$5+(Dashboard!$C$11+IF(C112&lt;=0,$F$5,0)+IF(D112&lt;=0,$F$6,0)+IF(E112&lt;=0,$F$7,0)+IF(F112&lt;=0,$F$8,0)+IF(G112&lt;=0,$F$9,0)+IF(H112&lt;=0,$F$10,0)+IF(I112&lt;=0,$F$11,0)+IF(J112&lt;=0,$F$12,0)+IF(K112&lt;=0,$F$13,0)+IF(L112&lt;=0,$F$14,0)+IF(M112&lt;=0,$F$15,0)+IF(N112&lt;=0,$F$16,0)+IF(O112&lt;=0,$F$17,0)+IF(P112&lt;=0,$F$18,0)+IF(Q112&lt;=0,$F$19,0)+IF(R112&lt;=0,$F$20,0)+IF(S112&lt;=0,$F$21,0)+IF(T112&lt;=0,$F$22,0)+IF(U112&lt;=0,$F$23,0)+IF(V112&lt;=0,$F$24,0))))</f>
        <v/>
      </c>
      <c r="AP113">
        <f>IF(C112&lt;=0,(Dashboard!$C$11+IF(C112&lt;=0,$F$5,0)+IF(D112&lt;=0,$F$6,0)+IF(E112&lt;=0,$F$7,0)+IF(F112&lt;=0,$F$8,0)+IF(G112&lt;=0,$F$9,0)+IF(H112&lt;=0,$F$10,0)+IF(I112&lt;=0,$F$11,0)+IF(J112&lt;=0,$F$12,0)+IF(K112&lt;=0,$F$13,0)+IF(L112&lt;=0,$F$14,0)+IF(M112&lt;=0,$F$15,0)+IF(N112&lt;=0,$F$16,0)+IF(O112&lt;=0,$F$17,0)+IF(P112&lt;=0,$F$18,0)+IF(Q112&lt;=0,$F$19,0)+IF(R112&lt;=0,$F$20,0)+IF(S112&lt;=0,$F$21,0)+IF(T112&lt;=0,$F$22,0)+IF(U112&lt;=0,$F$23,0)+IF(V112&lt;=0,$F$24,0)),MAX(0,$F$5+(Dashboard!$C$11+IF(C112&lt;=0,$F$5,0)+IF(D112&lt;=0,$F$6,0)+IF(E112&lt;=0,$F$7,0)+IF(F112&lt;=0,$F$8,0)+IF(G112&lt;=0,$F$9,0)+IF(H112&lt;=0,$F$10,0)+IF(I112&lt;=0,$F$11,0)+IF(J112&lt;=0,$F$12,0)+IF(K112&lt;=0,$F$13,0)+IF(L112&lt;=0,$F$14,0)+IF(M112&lt;=0,$F$15,0)+IF(N112&lt;=0,$F$16,0)+IF(O112&lt;=0,$F$17,0)+IF(P112&lt;=0,$F$18,0)+IF(Q112&lt;=0,$F$19,0)+IF(R112&lt;=0,$F$20,0)+IF(S112&lt;=0,$F$21,0)+IF(T112&lt;=0,$F$22,0)+IF(U112&lt;=0,$F$23,0)+IF(V112&lt;=0,$F$24,0))-C112-AN113))</f>
        <v/>
      </c>
      <c r="AQ113">
        <f>IF(D112&lt;=0,0,D112*$E$6/12)</f>
        <v/>
      </c>
      <c r="AR113">
        <f>IF(D112&lt;=0,0,MIN(D112+AQ113,$F$6+AP113))</f>
        <v/>
      </c>
      <c r="AS113">
        <f>IF(D112&lt;=0,AP113,MAX(0,$F$6+AP113-D112-AQ113))</f>
        <v/>
      </c>
      <c r="AT113">
        <f>IF(E112&lt;=0,0,E112*$E$7/12)</f>
        <v/>
      </c>
      <c r="AU113">
        <f>IF(E112&lt;=0,0,MIN(E112+AT113,$F$7+AS113))</f>
        <v/>
      </c>
      <c r="AV113">
        <f>IF(E112&lt;=0,AS113,MAX(0,$F$7+AS113-E112-AT113))</f>
        <v/>
      </c>
      <c r="AW113">
        <f>IF(F112&lt;=0,0,F112*$E$8/12)</f>
        <v/>
      </c>
      <c r="AX113">
        <f>IF(F112&lt;=0,0,MIN(F112+AW113,$F$8+AV113))</f>
        <v/>
      </c>
      <c r="AY113">
        <f>IF(F112&lt;=0,AV113,MAX(0,$F$8+AV113-F112-AW113))</f>
        <v/>
      </c>
      <c r="AZ113">
        <f>IF(G112&lt;=0,0,G112*$E$9/12)</f>
        <v/>
      </c>
      <c r="BA113">
        <f>IF(G112&lt;=0,0,MIN(G112+AZ113,$F$9+AY113))</f>
        <v/>
      </c>
      <c r="BB113">
        <f>IF(G112&lt;=0,AY113,MAX(0,$F$9+AY113-G112-AZ113))</f>
        <v/>
      </c>
      <c r="BC113">
        <f>IF(H112&lt;=0,0,H112*$E$10/12)</f>
        <v/>
      </c>
      <c r="BD113">
        <f>IF(H112&lt;=0,0,MIN(H112+BC113,$F$10+BB113))</f>
        <v/>
      </c>
      <c r="BE113">
        <f>IF(H112&lt;=0,BB113,MAX(0,$F$10+BB113-H112-BC113))</f>
        <v/>
      </c>
      <c r="BF113">
        <f>IF(I112&lt;=0,0,I112*$E$11/12)</f>
        <v/>
      </c>
      <c r="BG113">
        <f>IF(I112&lt;=0,0,MIN(I112+BF113,$F$11+BE113))</f>
        <v/>
      </c>
      <c r="BH113">
        <f>IF(I112&lt;=0,BE113,MAX(0,$F$11+BE113-I112-BF113))</f>
        <v/>
      </c>
      <c r="BI113">
        <f>IF(J112&lt;=0,0,J112*$E$12/12)</f>
        <v/>
      </c>
      <c r="BJ113">
        <f>IF(J112&lt;=0,0,MIN(J112+BI113,$F$12+BH113))</f>
        <v/>
      </c>
      <c r="BK113">
        <f>IF(J112&lt;=0,BH113,MAX(0,$F$12+BH113-J112-BI113))</f>
        <v/>
      </c>
      <c r="BL113">
        <f>IF(K112&lt;=0,0,K112*$E$13/12)</f>
        <v/>
      </c>
      <c r="BM113">
        <f>IF(K112&lt;=0,0,MIN(K112+BL113,$F$13+BK113))</f>
        <v/>
      </c>
      <c r="BN113">
        <f>IF(K112&lt;=0,BK113,MAX(0,$F$13+BK113-K112-BL113))</f>
        <v/>
      </c>
      <c r="BO113">
        <f>IF(L112&lt;=0,0,L112*$E$14/12)</f>
        <v/>
      </c>
      <c r="BP113">
        <f>IF(L112&lt;=0,0,MIN(L112+BO113,$F$14+BN113))</f>
        <v/>
      </c>
      <c r="BQ113">
        <f>IF(L112&lt;=0,BN113,MAX(0,$F$14+BN113-L112-BO113))</f>
        <v/>
      </c>
      <c r="BR113">
        <f>IF(M112&lt;=0,0,M112*$E$15/12)</f>
        <v/>
      </c>
      <c r="BS113">
        <f>IF(M112&lt;=0,0,MIN(M112+BR113,$F$15+BQ113))</f>
        <v/>
      </c>
      <c r="BT113">
        <f>IF(M112&lt;=0,BQ113,MAX(0,$F$15+BQ113-M112-BR113))</f>
        <v/>
      </c>
      <c r="BU113">
        <f>IF(N112&lt;=0,0,N112*$E$16/12)</f>
        <v/>
      </c>
      <c r="BV113">
        <f>IF(N112&lt;=0,0,MIN(N112+BU113,$F$16+BT113))</f>
        <v/>
      </c>
      <c r="BW113">
        <f>IF(N112&lt;=0,BT113,MAX(0,$F$16+BT113-N112-BU113))</f>
        <v/>
      </c>
      <c r="BX113">
        <f>IF(O112&lt;=0,0,O112*$E$17/12)</f>
        <v/>
      </c>
      <c r="BY113">
        <f>IF(O112&lt;=0,0,MIN(O112+BX113,$F$17+BW113))</f>
        <v/>
      </c>
      <c r="BZ113">
        <f>IF(O112&lt;=0,BW113,MAX(0,$F$17+BW113-O112-BX113))</f>
        <v/>
      </c>
      <c r="CA113">
        <f>IF(P112&lt;=0,0,P112*$E$18/12)</f>
        <v/>
      </c>
      <c r="CB113">
        <f>IF(P112&lt;=0,0,MIN(P112+CA113,$F$18+BZ113))</f>
        <v/>
      </c>
      <c r="CC113">
        <f>IF(P112&lt;=0,BZ113,MAX(0,$F$18+BZ113-P112-CA113))</f>
        <v/>
      </c>
      <c r="CD113">
        <f>IF(Q112&lt;=0,0,Q112*$E$19/12)</f>
        <v/>
      </c>
      <c r="CE113">
        <f>IF(Q112&lt;=0,0,MIN(Q112+CD113,$F$19+CC113))</f>
        <v/>
      </c>
      <c r="CF113">
        <f>IF(Q112&lt;=0,CC113,MAX(0,$F$19+CC113-Q112-CD113))</f>
        <v/>
      </c>
      <c r="CG113">
        <f>IF(R112&lt;=0,0,R112*$E$20/12)</f>
        <v/>
      </c>
      <c r="CH113">
        <f>IF(R112&lt;=0,0,MIN(R112+CG113,$F$20+CF113))</f>
        <v/>
      </c>
      <c r="CI113">
        <f>IF(R112&lt;=0,CF113,MAX(0,$F$20+CF113-R112-CG113))</f>
        <v/>
      </c>
      <c r="CJ113">
        <f>IF(S112&lt;=0,0,S112*$E$21/12)</f>
        <v/>
      </c>
      <c r="CK113">
        <f>IF(S112&lt;=0,0,MIN(S112+CJ113,$F$21+CI113))</f>
        <v/>
      </c>
      <c r="CL113">
        <f>IF(S112&lt;=0,CI113,MAX(0,$F$21+CI113-S112-CJ113))</f>
        <v/>
      </c>
      <c r="CM113">
        <f>IF(T112&lt;=0,0,T112*$E$22/12)</f>
        <v/>
      </c>
      <c r="CN113">
        <f>IF(T112&lt;=0,0,MIN(T112+CM113,$F$22+CL113))</f>
        <v/>
      </c>
      <c r="CO113">
        <f>IF(T112&lt;=0,CL113,MAX(0,$F$22+CL113-T112-CM113))</f>
        <v/>
      </c>
      <c r="CP113">
        <f>IF(U112&lt;=0,0,U112*$E$23/12)</f>
        <v/>
      </c>
      <c r="CQ113">
        <f>IF(U112&lt;=0,0,MIN(U112+CP113,$F$23+CO113))</f>
        <v/>
      </c>
      <c r="CR113">
        <f>IF(U112&lt;=0,CO113,MAX(0,$F$23+CO113-U112-CP113))</f>
        <v/>
      </c>
      <c r="CS113">
        <f>IF(V112&lt;=0,0,V112*$E$24/12)</f>
        <v/>
      </c>
      <c r="CT113">
        <f>IF(V112&lt;=0,0,MIN(V112+CS113,$F$24+CR113))</f>
        <v/>
      </c>
      <c r="CU113">
        <f>IF(V112&lt;=0,CR113,MAX(0,$F$24+CR113-V112-CS113))</f>
        <v/>
      </c>
    </row>
    <row r="114">
      <c r="B114" s="39" t="n">
        <v>88</v>
      </c>
      <c r="C114" s="13">
        <f>IF(C113&lt;=0,0,MAX(0,C113+AN114-AO114))</f>
        <v/>
      </c>
      <c r="D114" s="13">
        <f>IF(D113&lt;=0,0,MAX(0,D113+AQ114-AR114))</f>
        <v/>
      </c>
      <c r="E114" s="13">
        <f>IF(E113&lt;=0,0,MAX(0,E113+AT114-AU114))</f>
        <v/>
      </c>
      <c r="F114" s="13">
        <f>IF(F113&lt;=0,0,MAX(0,F113+AW114-AX114))</f>
        <v/>
      </c>
      <c r="G114" s="13">
        <f>IF(G113&lt;=0,0,MAX(0,G113+AZ114-BA114))</f>
        <v/>
      </c>
      <c r="H114" s="13">
        <f>IF(H113&lt;=0,0,MAX(0,H113+BC114-BD114))</f>
        <v/>
      </c>
      <c r="I114" s="13">
        <f>IF(I113&lt;=0,0,MAX(0,I113+BF114-BG114))</f>
        <v/>
      </c>
      <c r="J114" s="13">
        <f>IF(J113&lt;=0,0,MAX(0,J113+BI114-BJ114))</f>
        <v/>
      </c>
      <c r="K114" s="13">
        <f>IF(K113&lt;=0,0,MAX(0,K113+BL114-BM114))</f>
        <v/>
      </c>
      <c r="L114" s="13">
        <f>IF(L113&lt;=0,0,MAX(0,L113+BO114-BP114))</f>
        <v/>
      </c>
      <c r="M114" s="13">
        <f>IF(M113&lt;=0,0,MAX(0,M113+BR114-BS114))</f>
        <v/>
      </c>
      <c r="N114" s="13">
        <f>IF(N113&lt;=0,0,MAX(0,N113+BU114-BV114))</f>
        <v/>
      </c>
      <c r="O114" s="13">
        <f>IF(O113&lt;=0,0,MAX(0,O113+BX114-BY114))</f>
        <v/>
      </c>
      <c r="P114" s="13">
        <f>IF(P113&lt;=0,0,MAX(0,P113+CA114-CB114))</f>
        <v/>
      </c>
      <c r="Q114" s="13">
        <f>IF(Q113&lt;=0,0,MAX(0,Q113+CD114-CE114))</f>
        <v/>
      </c>
      <c r="R114" s="13">
        <f>IF(R113&lt;=0,0,MAX(0,R113+CG114-CH114))</f>
        <v/>
      </c>
      <c r="S114" s="13">
        <f>IF(S113&lt;=0,0,MAX(0,S113+CJ114-CK114))</f>
        <v/>
      </c>
      <c r="T114" s="13">
        <f>IF(T113&lt;=0,0,MAX(0,T113+CM114-CN114))</f>
        <v/>
      </c>
      <c r="U114" s="13">
        <f>IF(U113&lt;=0,0,MAX(0,U113+CP114-CQ114))</f>
        <v/>
      </c>
      <c r="V114" s="13">
        <f>IF(V113&lt;=0,0,MAX(0,V113+CS114-CT114))</f>
        <v/>
      </c>
      <c r="W114" s="13">
        <f>AO114+AR114+AU114+AX114+BA114+BD114+BG114+BJ114+BM114+BP114+BS114+BV114+BY114+CB114+CE114+CH114+CK114+CN114+CQ114+CT114</f>
        <v/>
      </c>
      <c r="X114" s="13">
        <f>AN114+AQ114+AT114+AW114+AZ114+BC114+BF114+BI114+BL114+BO114+BR114+BU114+BX114+CA114+CD114+CG114+CJ114+CM114+CP114+CS114</f>
        <v/>
      </c>
      <c r="Y114" s="27">
        <f>C114+D114+E114+F114+G114+H114+I114+J114+K114+L114+M114+N114+O114+P114+Q114+R114+S114+T114+U114+V114</f>
        <v/>
      </c>
      <c r="AN114">
        <f>IF(C113&lt;=0,0,C113*$E$5/12)</f>
        <v/>
      </c>
      <c r="AO114">
        <f>IF(C113&lt;=0,0,MIN(C113+AN114,$F$5+(Dashboard!$C$11+IF(C113&lt;=0,$F$5,0)+IF(D113&lt;=0,$F$6,0)+IF(E113&lt;=0,$F$7,0)+IF(F113&lt;=0,$F$8,0)+IF(G113&lt;=0,$F$9,0)+IF(H113&lt;=0,$F$10,0)+IF(I113&lt;=0,$F$11,0)+IF(J113&lt;=0,$F$12,0)+IF(K113&lt;=0,$F$13,0)+IF(L113&lt;=0,$F$14,0)+IF(M113&lt;=0,$F$15,0)+IF(N113&lt;=0,$F$16,0)+IF(O113&lt;=0,$F$17,0)+IF(P113&lt;=0,$F$18,0)+IF(Q113&lt;=0,$F$19,0)+IF(R113&lt;=0,$F$20,0)+IF(S113&lt;=0,$F$21,0)+IF(T113&lt;=0,$F$22,0)+IF(U113&lt;=0,$F$23,0)+IF(V113&lt;=0,$F$24,0))))</f>
        <v/>
      </c>
      <c r="AP114">
        <f>IF(C113&lt;=0,(Dashboard!$C$11+IF(C113&lt;=0,$F$5,0)+IF(D113&lt;=0,$F$6,0)+IF(E113&lt;=0,$F$7,0)+IF(F113&lt;=0,$F$8,0)+IF(G113&lt;=0,$F$9,0)+IF(H113&lt;=0,$F$10,0)+IF(I113&lt;=0,$F$11,0)+IF(J113&lt;=0,$F$12,0)+IF(K113&lt;=0,$F$13,0)+IF(L113&lt;=0,$F$14,0)+IF(M113&lt;=0,$F$15,0)+IF(N113&lt;=0,$F$16,0)+IF(O113&lt;=0,$F$17,0)+IF(P113&lt;=0,$F$18,0)+IF(Q113&lt;=0,$F$19,0)+IF(R113&lt;=0,$F$20,0)+IF(S113&lt;=0,$F$21,0)+IF(T113&lt;=0,$F$22,0)+IF(U113&lt;=0,$F$23,0)+IF(V113&lt;=0,$F$24,0)),MAX(0,$F$5+(Dashboard!$C$11+IF(C113&lt;=0,$F$5,0)+IF(D113&lt;=0,$F$6,0)+IF(E113&lt;=0,$F$7,0)+IF(F113&lt;=0,$F$8,0)+IF(G113&lt;=0,$F$9,0)+IF(H113&lt;=0,$F$10,0)+IF(I113&lt;=0,$F$11,0)+IF(J113&lt;=0,$F$12,0)+IF(K113&lt;=0,$F$13,0)+IF(L113&lt;=0,$F$14,0)+IF(M113&lt;=0,$F$15,0)+IF(N113&lt;=0,$F$16,0)+IF(O113&lt;=0,$F$17,0)+IF(P113&lt;=0,$F$18,0)+IF(Q113&lt;=0,$F$19,0)+IF(R113&lt;=0,$F$20,0)+IF(S113&lt;=0,$F$21,0)+IF(T113&lt;=0,$F$22,0)+IF(U113&lt;=0,$F$23,0)+IF(V113&lt;=0,$F$24,0))-C113-AN114))</f>
        <v/>
      </c>
      <c r="AQ114">
        <f>IF(D113&lt;=0,0,D113*$E$6/12)</f>
        <v/>
      </c>
      <c r="AR114">
        <f>IF(D113&lt;=0,0,MIN(D113+AQ114,$F$6+AP114))</f>
        <v/>
      </c>
      <c r="AS114">
        <f>IF(D113&lt;=0,AP114,MAX(0,$F$6+AP114-D113-AQ114))</f>
        <v/>
      </c>
      <c r="AT114">
        <f>IF(E113&lt;=0,0,E113*$E$7/12)</f>
        <v/>
      </c>
      <c r="AU114">
        <f>IF(E113&lt;=0,0,MIN(E113+AT114,$F$7+AS114))</f>
        <v/>
      </c>
      <c r="AV114">
        <f>IF(E113&lt;=0,AS114,MAX(0,$F$7+AS114-E113-AT114))</f>
        <v/>
      </c>
      <c r="AW114">
        <f>IF(F113&lt;=0,0,F113*$E$8/12)</f>
        <v/>
      </c>
      <c r="AX114">
        <f>IF(F113&lt;=0,0,MIN(F113+AW114,$F$8+AV114))</f>
        <v/>
      </c>
      <c r="AY114">
        <f>IF(F113&lt;=0,AV114,MAX(0,$F$8+AV114-F113-AW114))</f>
        <v/>
      </c>
      <c r="AZ114">
        <f>IF(G113&lt;=0,0,G113*$E$9/12)</f>
        <v/>
      </c>
      <c r="BA114">
        <f>IF(G113&lt;=0,0,MIN(G113+AZ114,$F$9+AY114))</f>
        <v/>
      </c>
      <c r="BB114">
        <f>IF(G113&lt;=0,AY114,MAX(0,$F$9+AY114-G113-AZ114))</f>
        <v/>
      </c>
      <c r="BC114">
        <f>IF(H113&lt;=0,0,H113*$E$10/12)</f>
        <v/>
      </c>
      <c r="BD114">
        <f>IF(H113&lt;=0,0,MIN(H113+BC114,$F$10+BB114))</f>
        <v/>
      </c>
      <c r="BE114">
        <f>IF(H113&lt;=0,BB114,MAX(0,$F$10+BB114-H113-BC114))</f>
        <v/>
      </c>
      <c r="BF114">
        <f>IF(I113&lt;=0,0,I113*$E$11/12)</f>
        <v/>
      </c>
      <c r="BG114">
        <f>IF(I113&lt;=0,0,MIN(I113+BF114,$F$11+BE114))</f>
        <v/>
      </c>
      <c r="BH114">
        <f>IF(I113&lt;=0,BE114,MAX(0,$F$11+BE114-I113-BF114))</f>
        <v/>
      </c>
      <c r="BI114">
        <f>IF(J113&lt;=0,0,J113*$E$12/12)</f>
        <v/>
      </c>
      <c r="BJ114">
        <f>IF(J113&lt;=0,0,MIN(J113+BI114,$F$12+BH114))</f>
        <v/>
      </c>
      <c r="BK114">
        <f>IF(J113&lt;=0,BH114,MAX(0,$F$12+BH114-J113-BI114))</f>
        <v/>
      </c>
      <c r="BL114">
        <f>IF(K113&lt;=0,0,K113*$E$13/12)</f>
        <v/>
      </c>
      <c r="BM114">
        <f>IF(K113&lt;=0,0,MIN(K113+BL114,$F$13+BK114))</f>
        <v/>
      </c>
      <c r="BN114">
        <f>IF(K113&lt;=0,BK114,MAX(0,$F$13+BK114-K113-BL114))</f>
        <v/>
      </c>
      <c r="BO114">
        <f>IF(L113&lt;=0,0,L113*$E$14/12)</f>
        <v/>
      </c>
      <c r="BP114">
        <f>IF(L113&lt;=0,0,MIN(L113+BO114,$F$14+BN114))</f>
        <v/>
      </c>
      <c r="BQ114">
        <f>IF(L113&lt;=0,BN114,MAX(0,$F$14+BN114-L113-BO114))</f>
        <v/>
      </c>
      <c r="BR114">
        <f>IF(M113&lt;=0,0,M113*$E$15/12)</f>
        <v/>
      </c>
      <c r="BS114">
        <f>IF(M113&lt;=0,0,MIN(M113+BR114,$F$15+BQ114))</f>
        <v/>
      </c>
      <c r="BT114">
        <f>IF(M113&lt;=0,BQ114,MAX(0,$F$15+BQ114-M113-BR114))</f>
        <v/>
      </c>
      <c r="BU114">
        <f>IF(N113&lt;=0,0,N113*$E$16/12)</f>
        <v/>
      </c>
      <c r="BV114">
        <f>IF(N113&lt;=0,0,MIN(N113+BU114,$F$16+BT114))</f>
        <v/>
      </c>
      <c r="BW114">
        <f>IF(N113&lt;=0,BT114,MAX(0,$F$16+BT114-N113-BU114))</f>
        <v/>
      </c>
      <c r="BX114">
        <f>IF(O113&lt;=0,0,O113*$E$17/12)</f>
        <v/>
      </c>
      <c r="BY114">
        <f>IF(O113&lt;=0,0,MIN(O113+BX114,$F$17+BW114))</f>
        <v/>
      </c>
      <c r="BZ114">
        <f>IF(O113&lt;=0,BW114,MAX(0,$F$17+BW114-O113-BX114))</f>
        <v/>
      </c>
      <c r="CA114">
        <f>IF(P113&lt;=0,0,P113*$E$18/12)</f>
        <v/>
      </c>
      <c r="CB114">
        <f>IF(P113&lt;=0,0,MIN(P113+CA114,$F$18+BZ114))</f>
        <v/>
      </c>
      <c r="CC114">
        <f>IF(P113&lt;=0,BZ114,MAX(0,$F$18+BZ114-P113-CA114))</f>
        <v/>
      </c>
      <c r="CD114">
        <f>IF(Q113&lt;=0,0,Q113*$E$19/12)</f>
        <v/>
      </c>
      <c r="CE114">
        <f>IF(Q113&lt;=0,0,MIN(Q113+CD114,$F$19+CC114))</f>
        <v/>
      </c>
      <c r="CF114">
        <f>IF(Q113&lt;=0,CC114,MAX(0,$F$19+CC114-Q113-CD114))</f>
        <v/>
      </c>
      <c r="CG114">
        <f>IF(R113&lt;=0,0,R113*$E$20/12)</f>
        <v/>
      </c>
      <c r="CH114">
        <f>IF(R113&lt;=0,0,MIN(R113+CG114,$F$20+CF114))</f>
        <v/>
      </c>
      <c r="CI114">
        <f>IF(R113&lt;=0,CF114,MAX(0,$F$20+CF114-R113-CG114))</f>
        <v/>
      </c>
      <c r="CJ114">
        <f>IF(S113&lt;=0,0,S113*$E$21/12)</f>
        <v/>
      </c>
      <c r="CK114">
        <f>IF(S113&lt;=0,0,MIN(S113+CJ114,$F$21+CI114))</f>
        <v/>
      </c>
      <c r="CL114">
        <f>IF(S113&lt;=0,CI114,MAX(0,$F$21+CI114-S113-CJ114))</f>
        <v/>
      </c>
      <c r="CM114">
        <f>IF(T113&lt;=0,0,T113*$E$22/12)</f>
        <v/>
      </c>
      <c r="CN114">
        <f>IF(T113&lt;=0,0,MIN(T113+CM114,$F$22+CL114))</f>
        <v/>
      </c>
      <c r="CO114">
        <f>IF(T113&lt;=0,CL114,MAX(0,$F$22+CL114-T113-CM114))</f>
        <v/>
      </c>
      <c r="CP114">
        <f>IF(U113&lt;=0,0,U113*$E$23/12)</f>
        <v/>
      </c>
      <c r="CQ114">
        <f>IF(U113&lt;=0,0,MIN(U113+CP114,$F$23+CO114))</f>
        <v/>
      </c>
      <c r="CR114">
        <f>IF(U113&lt;=0,CO114,MAX(0,$F$23+CO114-U113-CP114))</f>
        <v/>
      </c>
      <c r="CS114">
        <f>IF(V113&lt;=0,0,V113*$E$24/12)</f>
        <v/>
      </c>
      <c r="CT114">
        <f>IF(V113&lt;=0,0,MIN(V113+CS114,$F$24+CR114))</f>
        <v/>
      </c>
      <c r="CU114">
        <f>IF(V113&lt;=0,CR114,MAX(0,$F$24+CR114-V113-CS114))</f>
        <v/>
      </c>
    </row>
    <row r="115">
      <c r="B115" s="39" t="n">
        <v>89</v>
      </c>
      <c r="C115" s="13">
        <f>IF(C114&lt;=0,0,MAX(0,C114+AN115-AO115))</f>
        <v/>
      </c>
      <c r="D115" s="13">
        <f>IF(D114&lt;=0,0,MAX(0,D114+AQ115-AR115))</f>
        <v/>
      </c>
      <c r="E115" s="13">
        <f>IF(E114&lt;=0,0,MAX(0,E114+AT115-AU115))</f>
        <v/>
      </c>
      <c r="F115" s="13">
        <f>IF(F114&lt;=0,0,MAX(0,F114+AW115-AX115))</f>
        <v/>
      </c>
      <c r="G115" s="13">
        <f>IF(G114&lt;=0,0,MAX(0,G114+AZ115-BA115))</f>
        <v/>
      </c>
      <c r="H115" s="13">
        <f>IF(H114&lt;=0,0,MAX(0,H114+BC115-BD115))</f>
        <v/>
      </c>
      <c r="I115" s="13">
        <f>IF(I114&lt;=0,0,MAX(0,I114+BF115-BG115))</f>
        <v/>
      </c>
      <c r="J115" s="13">
        <f>IF(J114&lt;=0,0,MAX(0,J114+BI115-BJ115))</f>
        <v/>
      </c>
      <c r="K115" s="13">
        <f>IF(K114&lt;=0,0,MAX(0,K114+BL115-BM115))</f>
        <v/>
      </c>
      <c r="L115" s="13">
        <f>IF(L114&lt;=0,0,MAX(0,L114+BO115-BP115))</f>
        <v/>
      </c>
      <c r="M115" s="13">
        <f>IF(M114&lt;=0,0,MAX(0,M114+BR115-BS115))</f>
        <v/>
      </c>
      <c r="N115" s="13">
        <f>IF(N114&lt;=0,0,MAX(0,N114+BU115-BV115))</f>
        <v/>
      </c>
      <c r="O115" s="13">
        <f>IF(O114&lt;=0,0,MAX(0,O114+BX115-BY115))</f>
        <v/>
      </c>
      <c r="P115" s="13">
        <f>IF(P114&lt;=0,0,MAX(0,P114+CA115-CB115))</f>
        <v/>
      </c>
      <c r="Q115" s="13">
        <f>IF(Q114&lt;=0,0,MAX(0,Q114+CD115-CE115))</f>
        <v/>
      </c>
      <c r="R115" s="13">
        <f>IF(R114&lt;=0,0,MAX(0,R114+CG115-CH115))</f>
        <v/>
      </c>
      <c r="S115" s="13">
        <f>IF(S114&lt;=0,0,MAX(0,S114+CJ115-CK115))</f>
        <v/>
      </c>
      <c r="T115" s="13">
        <f>IF(T114&lt;=0,0,MAX(0,T114+CM115-CN115))</f>
        <v/>
      </c>
      <c r="U115" s="13">
        <f>IF(U114&lt;=0,0,MAX(0,U114+CP115-CQ115))</f>
        <v/>
      </c>
      <c r="V115" s="13">
        <f>IF(V114&lt;=0,0,MAX(0,V114+CS115-CT115))</f>
        <v/>
      </c>
      <c r="W115" s="13">
        <f>AO115+AR115+AU115+AX115+BA115+BD115+BG115+BJ115+BM115+BP115+BS115+BV115+BY115+CB115+CE115+CH115+CK115+CN115+CQ115+CT115</f>
        <v/>
      </c>
      <c r="X115" s="13">
        <f>AN115+AQ115+AT115+AW115+AZ115+BC115+BF115+BI115+BL115+BO115+BR115+BU115+BX115+CA115+CD115+CG115+CJ115+CM115+CP115+CS115</f>
        <v/>
      </c>
      <c r="Y115" s="27">
        <f>C115+D115+E115+F115+G115+H115+I115+J115+K115+L115+M115+N115+O115+P115+Q115+R115+S115+T115+U115+V115</f>
        <v/>
      </c>
      <c r="AN115">
        <f>IF(C114&lt;=0,0,C114*$E$5/12)</f>
        <v/>
      </c>
      <c r="AO115">
        <f>IF(C114&lt;=0,0,MIN(C114+AN115,$F$5+(Dashboard!$C$11+IF(C114&lt;=0,$F$5,0)+IF(D114&lt;=0,$F$6,0)+IF(E114&lt;=0,$F$7,0)+IF(F114&lt;=0,$F$8,0)+IF(G114&lt;=0,$F$9,0)+IF(H114&lt;=0,$F$10,0)+IF(I114&lt;=0,$F$11,0)+IF(J114&lt;=0,$F$12,0)+IF(K114&lt;=0,$F$13,0)+IF(L114&lt;=0,$F$14,0)+IF(M114&lt;=0,$F$15,0)+IF(N114&lt;=0,$F$16,0)+IF(O114&lt;=0,$F$17,0)+IF(P114&lt;=0,$F$18,0)+IF(Q114&lt;=0,$F$19,0)+IF(R114&lt;=0,$F$20,0)+IF(S114&lt;=0,$F$21,0)+IF(T114&lt;=0,$F$22,0)+IF(U114&lt;=0,$F$23,0)+IF(V114&lt;=0,$F$24,0))))</f>
        <v/>
      </c>
      <c r="AP115">
        <f>IF(C114&lt;=0,(Dashboard!$C$11+IF(C114&lt;=0,$F$5,0)+IF(D114&lt;=0,$F$6,0)+IF(E114&lt;=0,$F$7,0)+IF(F114&lt;=0,$F$8,0)+IF(G114&lt;=0,$F$9,0)+IF(H114&lt;=0,$F$10,0)+IF(I114&lt;=0,$F$11,0)+IF(J114&lt;=0,$F$12,0)+IF(K114&lt;=0,$F$13,0)+IF(L114&lt;=0,$F$14,0)+IF(M114&lt;=0,$F$15,0)+IF(N114&lt;=0,$F$16,0)+IF(O114&lt;=0,$F$17,0)+IF(P114&lt;=0,$F$18,0)+IF(Q114&lt;=0,$F$19,0)+IF(R114&lt;=0,$F$20,0)+IF(S114&lt;=0,$F$21,0)+IF(T114&lt;=0,$F$22,0)+IF(U114&lt;=0,$F$23,0)+IF(V114&lt;=0,$F$24,0)),MAX(0,$F$5+(Dashboard!$C$11+IF(C114&lt;=0,$F$5,0)+IF(D114&lt;=0,$F$6,0)+IF(E114&lt;=0,$F$7,0)+IF(F114&lt;=0,$F$8,0)+IF(G114&lt;=0,$F$9,0)+IF(H114&lt;=0,$F$10,0)+IF(I114&lt;=0,$F$11,0)+IF(J114&lt;=0,$F$12,0)+IF(K114&lt;=0,$F$13,0)+IF(L114&lt;=0,$F$14,0)+IF(M114&lt;=0,$F$15,0)+IF(N114&lt;=0,$F$16,0)+IF(O114&lt;=0,$F$17,0)+IF(P114&lt;=0,$F$18,0)+IF(Q114&lt;=0,$F$19,0)+IF(R114&lt;=0,$F$20,0)+IF(S114&lt;=0,$F$21,0)+IF(T114&lt;=0,$F$22,0)+IF(U114&lt;=0,$F$23,0)+IF(V114&lt;=0,$F$24,0))-C114-AN115))</f>
        <v/>
      </c>
      <c r="AQ115">
        <f>IF(D114&lt;=0,0,D114*$E$6/12)</f>
        <v/>
      </c>
      <c r="AR115">
        <f>IF(D114&lt;=0,0,MIN(D114+AQ115,$F$6+AP115))</f>
        <v/>
      </c>
      <c r="AS115">
        <f>IF(D114&lt;=0,AP115,MAX(0,$F$6+AP115-D114-AQ115))</f>
        <v/>
      </c>
      <c r="AT115">
        <f>IF(E114&lt;=0,0,E114*$E$7/12)</f>
        <v/>
      </c>
      <c r="AU115">
        <f>IF(E114&lt;=0,0,MIN(E114+AT115,$F$7+AS115))</f>
        <v/>
      </c>
      <c r="AV115">
        <f>IF(E114&lt;=0,AS115,MAX(0,$F$7+AS115-E114-AT115))</f>
        <v/>
      </c>
      <c r="AW115">
        <f>IF(F114&lt;=0,0,F114*$E$8/12)</f>
        <v/>
      </c>
      <c r="AX115">
        <f>IF(F114&lt;=0,0,MIN(F114+AW115,$F$8+AV115))</f>
        <v/>
      </c>
      <c r="AY115">
        <f>IF(F114&lt;=0,AV115,MAX(0,$F$8+AV115-F114-AW115))</f>
        <v/>
      </c>
      <c r="AZ115">
        <f>IF(G114&lt;=0,0,G114*$E$9/12)</f>
        <v/>
      </c>
      <c r="BA115">
        <f>IF(G114&lt;=0,0,MIN(G114+AZ115,$F$9+AY115))</f>
        <v/>
      </c>
      <c r="BB115">
        <f>IF(G114&lt;=0,AY115,MAX(0,$F$9+AY115-G114-AZ115))</f>
        <v/>
      </c>
      <c r="BC115">
        <f>IF(H114&lt;=0,0,H114*$E$10/12)</f>
        <v/>
      </c>
      <c r="BD115">
        <f>IF(H114&lt;=0,0,MIN(H114+BC115,$F$10+BB115))</f>
        <v/>
      </c>
      <c r="BE115">
        <f>IF(H114&lt;=0,BB115,MAX(0,$F$10+BB115-H114-BC115))</f>
        <v/>
      </c>
      <c r="BF115">
        <f>IF(I114&lt;=0,0,I114*$E$11/12)</f>
        <v/>
      </c>
      <c r="BG115">
        <f>IF(I114&lt;=0,0,MIN(I114+BF115,$F$11+BE115))</f>
        <v/>
      </c>
      <c r="BH115">
        <f>IF(I114&lt;=0,BE115,MAX(0,$F$11+BE115-I114-BF115))</f>
        <v/>
      </c>
      <c r="BI115">
        <f>IF(J114&lt;=0,0,J114*$E$12/12)</f>
        <v/>
      </c>
      <c r="BJ115">
        <f>IF(J114&lt;=0,0,MIN(J114+BI115,$F$12+BH115))</f>
        <v/>
      </c>
      <c r="BK115">
        <f>IF(J114&lt;=0,BH115,MAX(0,$F$12+BH115-J114-BI115))</f>
        <v/>
      </c>
      <c r="BL115">
        <f>IF(K114&lt;=0,0,K114*$E$13/12)</f>
        <v/>
      </c>
      <c r="BM115">
        <f>IF(K114&lt;=0,0,MIN(K114+BL115,$F$13+BK115))</f>
        <v/>
      </c>
      <c r="BN115">
        <f>IF(K114&lt;=0,BK115,MAX(0,$F$13+BK115-K114-BL115))</f>
        <v/>
      </c>
      <c r="BO115">
        <f>IF(L114&lt;=0,0,L114*$E$14/12)</f>
        <v/>
      </c>
      <c r="BP115">
        <f>IF(L114&lt;=0,0,MIN(L114+BO115,$F$14+BN115))</f>
        <v/>
      </c>
      <c r="BQ115">
        <f>IF(L114&lt;=0,BN115,MAX(0,$F$14+BN115-L114-BO115))</f>
        <v/>
      </c>
      <c r="BR115">
        <f>IF(M114&lt;=0,0,M114*$E$15/12)</f>
        <v/>
      </c>
      <c r="BS115">
        <f>IF(M114&lt;=0,0,MIN(M114+BR115,$F$15+BQ115))</f>
        <v/>
      </c>
      <c r="BT115">
        <f>IF(M114&lt;=0,BQ115,MAX(0,$F$15+BQ115-M114-BR115))</f>
        <v/>
      </c>
      <c r="BU115">
        <f>IF(N114&lt;=0,0,N114*$E$16/12)</f>
        <v/>
      </c>
      <c r="BV115">
        <f>IF(N114&lt;=0,0,MIN(N114+BU115,$F$16+BT115))</f>
        <v/>
      </c>
      <c r="BW115">
        <f>IF(N114&lt;=0,BT115,MAX(0,$F$16+BT115-N114-BU115))</f>
        <v/>
      </c>
      <c r="BX115">
        <f>IF(O114&lt;=0,0,O114*$E$17/12)</f>
        <v/>
      </c>
      <c r="BY115">
        <f>IF(O114&lt;=0,0,MIN(O114+BX115,$F$17+BW115))</f>
        <v/>
      </c>
      <c r="BZ115">
        <f>IF(O114&lt;=0,BW115,MAX(0,$F$17+BW115-O114-BX115))</f>
        <v/>
      </c>
      <c r="CA115">
        <f>IF(P114&lt;=0,0,P114*$E$18/12)</f>
        <v/>
      </c>
      <c r="CB115">
        <f>IF(P114&lt;=0,0,MIN(P114+CA115,$F$18+BZ115))</f>
        <v/>
      </c>
      <c r="CC115">
        <f>IF(P114&lt;=0,BZ115,MAX(0,$F$18+BZ115-P114-CA115))</f>
        <v/>
      </c>
      <c r="CD115">
        <f>IF(Q114&lt;=0,0,Q114*$E$19/12)</f>
        <v/>
      </c>
      <c r="CE115">
        <f>IF(Q114&lt;=0,0,MIN(Q114+CD115,$F$19+CC115))</f>
        <v/>
      </c>
      <c r="CF115">
        <f>IF(Q114&lt;=0,CC115,MAX(0,$F$19+CC115-Q114-CD115))</f>
        <v/>
      </c>
      <c r="CG115">
        <f>IF(R114&lt;=0,0,R114*$E$20/12)</f>
        <v/>
      </c>
      <c r="CH115">
        <f>IF(R114&lt;=0,0,MIN(R114+CG115,$F$20+CF115))</f>
        <v/>
      </c>
      <c r="CI115">
        <f>IF(R114&lt;=0,CF115,MAX(0,$F$20+CF115-R114-CG115))</f>
        <v/>
      </c>
      <c r="CJ115">
        <f>IF(S114&lt;=0,0,S114*$E$21/12)</f>
        <v/>
      </c>
      <c r="CK115">
        <f>IF(S114&lt;=0,0,MIN(S114+CJ115,$F$21+CI115))</f>
        <v/>
      </c>
      <c r="CL115">
        <f>IF(S114&lt;=0,CI115,MAX(0,$F$21+CI115-S114-CJ115))</f>
        <v/>
      </c>
      <c r="CM115">
        <f>IF(T114&lt;=0,0,T114*$E$22/12)</f>
        <v/>
      </c>
      <c r="CN115">
        <f>IF(T114&lt;=0,0,MIN(T114+CM115,$F$22+CL115))</f>
        <v/>
      </c>
      <c r="CO115">
        <f>IF(T114&lt;=0,CL115,MAX(0,$F$22+CL115-T114-CM115))</f>
        <v/>
      </c>
      <c r="CP115">
        <f>IF(U114&lt;=0,0,U114*$E$23/12)</f>
        <v/>
      </c>
      <c r="CQ115">
        <f>IF(U114&lt;=0,0,MIN(U114+CP115,$F$23+CO115))</f>
        <v/>
      </c>
      <c r="CR115">
        <f>IF(U114&lt;=0,CO115,MAX(0,$F$23+CO115-U114-CP115))</f>
        <v/>
      </c>
      <c r="CS115">
        <f>IF(V114&lt;=0,0,V114*$E$24/12)</f>
        <v/>
      </c>
      <c r="CT115">
        <f>IF(V114&lt;=0,0,MIN(V114+CS115,$F$24+CR115))</f>
        <v/>
      </c>
      <c r="CU115">
        <f>IF(V114&lt;=0,CR115,MAX(0,$F$24+CR115-V114-CS115))</f>
        <v/>
      </c>
    </row>
    <row r="116">
      <c r="B116" s="39" t="n">
        <v>90</v>
      </c>
      <c r="C116" s="13">
        <f>IF(C115&lt;=0,0,MAX(0,C115+AN116-AO116))</f>
        <v/>
      </c>
      <c r="D116" s="13">
        <f>IF(D115&lt;=0,0,MAX(0,D115+AQ116-AR116))</f>
        <v/>
      </c>
      <c r="E116" s="13">
        <f>IF(E115&lt;=0,0,MAX(0,E115+AT116-AU116))</f>
        <v/>
      </c>
      <c r="F116" s="13">
        <f>IF(F115&lt;=0,0,MAX(0,F115+AW116-AX116))</f>
        <v/>
      </c>
      <c r="G116" s="13">
        <f>IF(G115&lt;=0,0,MAX(0,G115+AZ116-BA116))</f>
        <v/>
      </c>
      <c r="H116" s="13">
        <f>IF(H115&lt;=0,0,MAX(0,H115+BC116-BD116))</f>
        <v/>
      </c>
      <c r="I116" s="13">
        <f>IF(I115&lt;=0,0,MAX(0,I115+BF116-BG116))</f>
        <v/>
      </c>
      <c r="J116" s="13">
        <f>IF(J115&lt;=0,0,MAX(0,J115+BI116-BJ116))</f>
        <v/>
      </c>
      <c r="K116" s="13">
        <f>IF(K115&lt;=0,0,MAX(0,K115+BL116-BM116))</f>
        <v/>
      </c>
      <c r="L116" s="13">
        <f>IF(L115&lt;=0,0,MAX(0,L115+BO116-BP116))</f>
        <v/>
      </c>
      <c r="M116" s="13">
        <f>IF(M115&lt;=0,0,MAX(0,M115+BR116-BS116))</f>
        <v/>
      </c>
      <c r="N116" s="13">
        <f>IF(N115&lt;=0,0,MAX(0,N115+BU116-BV116))</f>
        <v/>
      </c>
      <c r="O116" s="13">
        <f>IF(O115&lt;=0,0,MAX(0,O115+BX116-BY116))</f>
        <v/>
      </c>
      <c r="P116" s="13">
        <f>IF(P115&lt;=0,0,MAX(0,P115+CA116-CB116))</f>
        <v/>
      </c>
      <c r="Q116" s="13">
        <f>IF(Q115&lt;=0,0,MAX(0,Q115+CD116-CE116))</f>
        <v/>
      </c>
      <c r="R116" s="13">
        <f>IF(R115&lt;=0,0,MAX(0,R115+CG116-CH116))</f>
        <v/>
      </c>
      <c r="S116" s="13">
        <f>IF(S115&lt;=0,0,MAX(0,S115+CJ116-CK116))</f>
        <v/>
      </c>
      <c r="T116" s="13">
        <f>IF(T115&lt;=0,0,MAX(0,T115+CM116-CN116))</f>
        <v/>
      </c>
      <c r="U116" s="13">
        <f>IF(U115&lt;=0,0,MAX(0,U115+CP116-CQ116))</f>
        <v/>
      </c>
      <c r="V116" s="13">
        <f>IF(V115&lt;=0,0,MAX(0,V115+CS116-CT116))</f>
        <v/>
      </c>
      <c r="W116" s="13">
        <f>AO116+AR116+AU116+AX116+BA116+BD116+BG116+BJ116+BM116+BP116+BS116+BV116+BY116+CB116+CE116+CH116+CK116+CN116+CQ116+CT116</f>
        <v/>
      </c>
      <c r="X116" s="13">
        <f>AN116+AQ116+AT116+AW116+AZ116+BC116+BF116+BI116+BL116+BO116+BR116+BU116+BX116+CA116+CD116+CG116+CJ116+CM116+CP116+CS116</f>
        <v/>
      </c>
      <c r="Y116" s="27">
        <f>C116+D116+E116+F116+G116+H116+I116+J116+K116+L116+M116+N116+O116+P116+Q116+R116+S116+T116+U116+V116</f>
        <v/>
      </c>
      <c r="AN116">
        <f>IF(C115&lt;=0,0,C115*$E$5/12)</f>
        <v/>
      </c>
      <c r="AO116">
        <f>IF(C115&lt;=0,0,MIN(C115+AN116,$F$5+(Dashboard!$C$11+IF(C115&lt;=0,$F$5,0)+IF(D115&lt;=0,$F$6,0)+IF(E115&lt;=0,$F$7,0)+IF(F115&lt;=0,$F$8,0)+IF(G115&lt;=0,$F$9,0)+IF(H115&lt;=0,$F$10,0)+IF(I115&lt;=0,$F$11,0)+IF(J115&lt;=0,$F$12,0)+IF(K115&lt;=0,$F$13,0)+IF(L115&lt;=0,$F$14,0)+IF(M115&lt;=0,$F$15,0)+IF(N115&lt;=0,$F$16,0)+IF(O115&lt;=0,$F$17,0)+IF(P115&lt;=0,$F$18,0)+IF(Q115&lt;=0,$F$19,0)+IF(R115&lt;=0,$F$20,0)+IF(S115&lt;=0,$F$21,0)+IF(T115&lt;=0,$F$22,0)+IF(U115&lt;=0,$F$23,0)+IF(V115&lt;=0,$F$24,0))))</f>
        <v/>
      </c>
      <c r="AP116">
        <f>IF(C115&lt;=0,(Dashboard!$C$11+IF(C115&lt;=0,$F$5,0)+IF(D115&lt;=0,$F$6,0)+IF(E115&lt;=0,$F$7,0)+IF(F115&lt;=0,$F$8,0)+IF(G115&lt;=0,$F$9,0)+IF(H115&lt;=0,$F$10,0)+IF(I115&lt;=0,$F$11,0)+IF(J115&lt;=0,$F$12,0)+IF(K115&lt;=0,$F$13,0)+IF(L115&lt;=0,$F$14,0)+IF(M115&lt;=0,$F$15,0)+IF(N115&lt;=0,$F$16,0)+IF(O115&lt;=0,$F$17,0)+IF(P115&lt;=0,$F$18,0)+IF(Q115&lt;=0,$F$19,0)+IF(R115&lt;=0,$F$20,0)+IF(S115&lt;=0,$F$21,0)+IF(T115&lt;=0,$F$22,0)+IF(U115&lt;=0,$F$23,0)+IF(V115&lt;=0,$F$24,0)),MAX(0,$F$5+(Dashboard!$C$11+IF(C115&lt;=0,$F$5,0)+IF(D115&lt;=0,$F$6,0)+IF(E115&lt;=0,$F$7,0)+IF(F115&lt;=0,$F$8,0)+IF(G115&lt;=0,$F$9,0)+IF(H115&lt;=0,$F$10,0)+IF(I115&lt;=0,$F$11,0)+IF(J115&lt;=0,$F$12,0)+IF(K115&lt;=0,$F$13,0)+IF(L115&lt;=0,$F$14,0)+IF(M115&lt;=0,$F$15,0)+IF(N115&lt;=0,$F$16,0)+IF(O115&lt;=0,$F$17,0)+IF(P115&lt;=0,$F$18,0)+IF(Q115&lt;=0,$F$19,0)+IF(R115&lt;=0,$F$20,0)+IF(S115&lt;=0,$F$21,0)+IF(T115&lt;=0,$F$22,0)+IF(U115&lt;=0,$F$23,0)+IF(V115&lt;=0,$F$24,0))-C115-AN116))</f>
        <v/>
      </c>
      <c r="AQ116">
        <f>IF(D115&lt;=0,0,D115*$E$6/12)</f>
        <v/>
      </c>
      <c r="AR116">
        <f>IF(D115&lt;=0,0,MIN(D115+AQ116,$F$6+AP116))</f>
        <v/>
      </c>
      <c r="AS116">
        <f>IF(D115&lt;=0,AP116,MAX(0,$F$6+AP116-D115-AQ116))</f>
        <v/>
      </c>
      <c r="AT116">
        <f>IF(E115&lt;=0,0,E115*$E$7/12)</f>
        <v/>
      </c>
      <c r="AU116">
        <f>IF(E115&lt;=0,0,MIN(E115+AT116,$F$7+AS116))</f>
        <v/>
      </c>
      <c r="AV116">
        <f>IF(E115&lt;=0,AS116,MAX(0,$F$7+AS116-E115-AT116))</f>
        <v/>
      </c>
      <c r="AW116">
        <f>IF(F115&lt;=0,0,F115*$E$8/12)</f>
        <v/>
      </c>
      <c r="AX116">
        <f>IF(F115&lt;=0,0,MIN(F115+AW116,$F$8+AV116))</f>
        <v/>
      </c>
      <c r="AY116">
        <f>IF(F115&lt;=0,AV116,MAX(0,$F$8+AV116-F115-AW116))</f>
        <v/>
      </c>
      <c r="AZ116">
        <f>IF(G115&lt;=0,0,G115*$E$9/12)</f>
        <v/>
      </c>
      <c r="BA116">
        <f>IF(G115&lt;=0,0,MIN(G115+AZ116,$F$9+AY116))</f>
        <v/>
      </c>
      <c r="BB116">
        <f>IF(G115&lt;=0,AY116,MAX(0,$F$9+AY116-G115-AZ116))</f>
        <v/>
      </c>
      <c r="BC116">
        <f>IF(H115&lt;=0,0,H115*$E$10/12)</f>
        <v/>
      </c>
      <c r="BD116">
        <f>IF(H115&lt;=0,0,MIN(H115+BC116,$F$10+BB116))</f>
        <v/>
      </c>
      <c r="BE116">
        <f>IF(H115&lt;=0,BB116,MAX(0,$F$10+BB116-H115-BC116))</f>
        <v/>
      </c>
      <c r="BF116">
        <f>IF(I115&lt;=0,0,I115*$E$11/12)</f>
        <v/>
      </c>
      <c r="BG116">
        <f>IF(I115&lt;=0,0,MIN(I115+BF116,$F$11+BE116))</f>
        <v/>
      </c>
      <c r="BH116">
        <f>IF(I115&lt;=0,BE116,MAX(0,$F$11+BE116-I115-BF116))</f>
        <v/>
      </c>
      <c r="BI116">
        <f>IF(J115&lt;=0,0,J115*$E$12/12)</f>
        <v/>
      </c>
      <c r="BJ116">
        <f>IF(J115&lt;=0,0,MIN(J115+BI116,$F$12+BH116))</f>
        <v/>
      </c>
      <c r="BK116">
        <f>IF(J115&lt;=0,BH116,MAX(0,$F$12+BH116-J115-BI116))</f>
        <v/>
      </c>
      <c r="BL116">
        <f>IF(K115&lt;=0,0,K115*$E$13/12)</f>
        <v/>
      </c>
      <c r="BM116">
        <f>IF(K115&lt;=0,0,MIN(K115+BL116,$F$13+BK116))</f>
        <v/>
      </c>
      <c r="BN116">
        <f>IF(K115&lt;=0,BK116,MAX(0,$F$13+BK116-K115-BL116))</f>
        <v/>
      </c>
      <c r="BO116">
        <f>IF(L115&lt;=0,0,L115*$E$14/12)</f>
        <v/>
      </c>
      <c r="BP116">
        <f>IF(L115&lt;=0,0,MIN(L115+BO116,$F$14+BN116))</f>
        <v/>
      </c>
      <c r="BQ116">
        <f>IF(L115&lt;=0,BN116,MAX(0,$F$14+BN116-L115-BO116))</f>
        <v/>
      </c>
      <c r="BR116">
        <f>IF(M115&lt;=0,0,M115*$E$15/12)</f>
        <v/>
      </c>
      <c r="BS116">
        <f>IF(M115&lt;=0,0,MIN(M115+BR116,$F$15+BQ116))</f>
        <v/>
      </c>
      <c r="BT116">
        <f>IF(M115&lt;=0,BQ116,MAX(0,$F$15+BQ116-M115-BR116))</f>
        <v/>
      </c>
      <c r="BU116">
        <f>IF(N115&lt;=0,0,N115*$E$16/12)</f>
        <v/>
      </c>
      <c r="BV116">
        <f>IF(N115&lt;=0,0,MIN(N115+BU116,$F$16+BT116))</f>
        <v/>
      </c>
      <c r="BW116">
        <f>IF(N115&lt;=0,BT116,MAX(0,$F$16+BT116-N115-BU116))</f>
        <v/>
      </c>
      <c r="BX116">
        <f>IF(O115&lt;=0,0,O115*$E$17/12)</f>
        <v/>
      </c>
      <c r="BY116">
        <f>IF(O115&lt;=0,0,MIN(O115+BX116,$F$17+BW116))</f>
        <v/>
      </c>
      <c r="BZ116">
        <f>IF(O115&lt;=0,BW116,MAX(0,$F$17+BW116-O115-BX116))</f>
        <v/>
      </c>
      <c r="CA116">
        <f>IF(P115&lt;=0,0,P115*$E$18/12)</f>
        <v/>
      </c>
      <c r="CB116">
        <f>IF(P115&lt;=0,0,MIN(P115+CA116,$F$18+BZ116))</f>
        <v/>
      </c>
      <c r="CC116">
        <f>IF(P115&lt;=0,BZ116,MAX(0,$F$18+BZ116-P115-CA116))</f>
        <v/>
      </c>
      <c r="CD116">
        <f>IF(Q115&lt;=0,0,Q115*$E$19/12)</f>
        <v/>
      </c>
      <c r="CE116">
        <f>IF(Q115&lt;=0,0,MIN(Q115+CD116,$F$19+CC116))</f>
        <v/>
      </c>
      <c r="CF116">
        <f>IF(Q115&lt;=0,CC116,MAX(0,$F$19+CC116-Q115-CD116))</f>
        <v/>
      </c>
      <c r="CG116">
        <f>IF(R115&lt;=0,0,R115*$E$20/12)</f>
        <v/>
      </c>
      <c r="CH116">
        <f>IF(R115&lt;=0,0,MIN(R115+CG116,$F$20+CF116))</f>
        <v/>
      </c>
      <c r="CI116">
        <f>IF(R115&lt;=0,CF116,MAX(0,$F$20+CF116-R115-CG116))</f>
        <v/>
      </c>
      <c r="CJ116">
        <f>IF(S115&lt;=0,0,S115*$E$21/12)</f>
        <v/>
      </c>
      <c r="CK116">
        <f>IF(S115&lt;=0,0,MIN(S115+CJ116,$F$21+CI116))</f>
        <v/>
      </c>
      <c r="CL116">
        <f>IF(S115&lt;=0,CI116,MAX(0,$F$21+CI116-S115-CJ116))</f>
        <v/>
      </c>
      <c r="CM116">
        <f>IF(T115&lt;=0,0,T115*$E$22/12)</f>
        <v/>
      </c>
      <c r="CN116">
        <f>IF(T115&lt;=0,0,MIN(T115+CM116,$F$22+CL116))</f>
        <v/>
      </c>
      <c r="CO116">
        <f>IF(T115&lt;=0,CL116,MAX(0,$F$22+CL116-T115-CM116))</f>
        <v/>
      </c>
      <c r="CP116">
        <f>IF(U115&lt;=0,0,U115*$E$23/12)</f>
        <v/>
      </c>
      <c r="CQ116">
        <f>IF(U115&lt;=0,0,MIN(U115+CP116,$F$23+CO116))</f>
        <v/>
      </c>
      <c r="CR116">
        <f>IF(U115&lt;=0,CO116,MAX(0,$F$23+CO116-U115-CP116))</f>
        <v/>
      </c>
      <c r="CS116">
        <f>IF(V115&lt;=0,0,V115*$E$24/12)</f>
        <v/>
      </c>
      <c r="CT116">
        <f>IF(V115&lt;=0,0,MIN(V115+CS116,$F$24+CR116))</f>
        <v/>
      </c>
      <c r="CU116">
        <f>IF(V115&lt;=0,CR116,MAX(0,$F$24+CR116-V115-CS116))</f>
        <v/>
      </c>
    </row>
    <row r="117">
      <c r="B117" s="39" t="n">
        <v>91</v>
      </c>
      <c r="C117" s="13">
        <f>IF(C116&lt;=0,0,MAX(0,C116+AN117-AO117))</f>
        <v/>
      </c>
      <c r="D117" s="13">
        <f>IF(D116&lt;=0,0,MAX(0,D116+AQ117-AR117))</f>
        <v/>
      </c>
      <c r="E117" s="13">
        <f>IF(E116&lt;=0,0,MAX(0,E116+AT117-AU117))</f>
        <v/>
      </c>
      <c r="F117" s="13">
        <f>IF(F116&lt;=0,0,MAX(0,F116+AW117-AX117))</f>
        <v/>
      </c>
      <c r="G117" s="13">
        <f>IF(G116&lt;=0,0,MAX(0,G116+AZ117-BA117))</f>
        <v/>
      </c>
      <c r="H117" s="13">
        <f>IF(H116&lt;=0,0,MAX(0,H116+BC117-BD117))</f>
        <v/>
      </c>
      <c r="I117" s="13">
        <f>IF(I116&lt;=0,0,MAX(0,I116+BF117-BG117))</f>
        <v/>
      </c>
      <c r="J117" s="13">
        <f>IF(J116&lt;=0,0,MAX(0,J116+BI117-BJ117))</f>
        <v/>
      </c>
      <c r="K117" s="13">
        <f>IF(K116&lt;=0,0,MAX(0,K116+BL117-BM117))</f>
        <v/>
      </c>
      <c r="L117" s="13">
        <f>IF(L116&lt;=0,0,MAX(0,L116+BO117-BP117))</f>
        <v/>
      </c>
      <c r="M117" s="13">
        <f>IF(M116&lt;=0,0,MAX(0,M116+BR117-BS117))</f>
        <v/>
      </c>
      <c r="N117" s="13">
        <f>IF(N116&lt;=0,0,MAX(0,N116+BU117-BV117))</f>
        <v/>
      </c>
      <c r="O117" s="13">
        <f>IF(O116&lt;=0,0,MAX(0,O116+BX117-BY117))</f>
        <v/>
      </c>
      <c r="P117" s="13">
        <f>IF(P116&lt;=0,0,MAX(0,P116+CA117-CB117))</f>
        <v/>
      </c>
      <c r="Q117" s="13">
        <f>IF(Q116&lt;=0,0,MAX(0,Q116+CD117-CE117))</f>
        <v/>
      </c>
      <c r="R117" s="13">
        <f>IF(R116&lt;=0,0,MAX(0,R116+CG117-CH117))</f>
        <v/>
      </c>
      <c r="S117" s="13">
        <f>IF(S116&lt;=0,0,MAX(0,S116+CJ117-CK117))</f>
        <v/>
      </c>
      <c r="T117" s="13">
        <f>IF(T116&lt;=0,0,MAX(0,T116+CM117-CN117))</f>
        <v/>
      </c>
      <c r="U117" s="13">
        <f>IF(U116&lt;=0,0,MAX(0,U116+CP117-CQ117))</f>
        <v/>
      </c>
      <c r="V117" s="13">
        <f>IF(V116&lt;=0,0,MAX(0,V116+CS117-CT117))</f>
        <v/>
      </c>
      <c r="W117" s="13">
        <f>AO117+AR117+AU117+AX117+BA117+BD117+BG117+BJ117+BM117+BP117+BS117+BV117+BY117+CB117+CE117+CH117+CK117+CN117+CQ117+CT117</f>
        <v/>
      </c>
      <c r="X117" s="13">
        <f>AN117+AQ117+AT117+AW117+AZ117+BC117+BF117+BI117+BL117+BO117+BR117+BU117+BX117+CA117+CD117+CG117+CJ117+CM117+CP117+CS117</f>
        <v/>
      </c>
      <c r="Y117" s="27">
        <f>C117+D117+E117+F117+G117+H117+I117+J117+K117+L117+M117+N117+O117+P117+Q117+R117+S117+T117+U117+V117</f>
        <v/>
      </c>
      <c r="AN117">
        <f>IF(C116&lt;=0,0,C116*$E$5/12)</f>
        <v/>
      </c>
      <c r="AO117">
        <f>IF(C116&lt;=0,0,MIN(C116+AN117,$F$5+(Dashboard!$C$11+IF(C116&lt;=0,$F$5,0)+IF(D116&lt;=0,$F$6,0)+IF(E116&lt;=0,$F$7,0)+IF(F116&lt;=0,$F$8,0)+IF(G116&lt;=0,$F$9,0)+IF(H116&lt;=0,$F$10,0)+IF(I116&lt;=0,$F$11,0)+IF(J116&lt;=0,$F$12,0)+IF(K116&lt;=0,$F$13,0)+IF(L116&lt;=0,$F$14,0)+IF(M116&lt;=0,$F$15,0)+IF(N116&lt;=0,$F$16,0)+IF(O116&lt;=0,$F$17,0)+IF(P116&lt;=0,$F$18,0)+IF(Q116&lt;=0,$F$19,0)+IF(R116&lt;=0,$F$20,0)+IF(S116&lt;=0,$F$21,0)+IF(T116&lt;=0,$F$22,0)+IF(U116&lt;=0,$F$23,0)+IF(V116&lt;=0,$F$24,0))))</f>
        <v/>
      </c>
      <c r="AP117">
        <f>IF(C116&lt;=0,(Dashboard!$C$11+IF(C116&lt;=0,$F$5,0)+IF(D116&lt;=0,$F$6,0)+IF(E116&lt;=0,$F$7,0)+IF(F116&lt;=0,$F$8,0)+IF(G116&lt;=0,$F$9,0)+IF(H116&lt;=0,$F$10,0)+IF(I116&lt;=0,$F$11,0)+IF(J116&lt;=0,$F$12,0)+IF(K116&lt;=0,$F$13,0)+IF(L116&lt;=0,$F$14,0)+IF(M116&lt;=0,$F$15,0)+IF(N116&lt;=0,$F$16,0)+IF(O116&lt;=0,$F$17,0)+IF(P116&lt;=0,$F$18,0)+IF(Q116&lt;=0,$F$19,0)+IF(R116&lt;=0,$F$20,0)+IF(S116&lt;=0,$F$21,0)+IF(T116&lt;=0,$F$22,0)+IF(U116&lt;=0,$F$23,0)+IF(V116&lt;=0,$F$24,0)),MAX(0,$F$5+(Dashboard!$C$11+IF(C116&lt;=0,$F$5,0)+IF(D116&lt;=0,$F$6,0)+IF(E116&lt;=0,$F$7,0)+IF(F116&lt;=0,$F$8,0)+IF(G116&lt;=0,$F$9,0)+IF(H116&lt;=0,$F$10,0)+IF(I116&lt;=0,$F$11,0)+IF(J116&lt;=0,$F$12,0)+IF(K116&lt;=0,$F$13,0)+IF(L116&lt;=0,$F$14,0)+IF(M116&lt;=0,$F$15,0)+IF(N116&lt;=0,$F$16,0)+IF(O116&lt;=0,$F$17,0)+IF(P116&lt;=0,$F$18,0)+IF(Q116&lt;=0,$F$19,0)+IF(R116&lt;=0,$F$20,0)+IF(S116&lt;=0,$F$21,0)+IF(T116&lt;=0,$F$22,0)+IF(U116&lt;=0,$F$23,0)+IF(V116&lt;=0,$F$24,0))-C116-AN117))</f>
        <v/>
      </c>
      <c r="AQ117">
        <f>IF(D116&lt;=0,0,D116*$E$6/12)</f>
        <v/>
      </c>
      <c r="AR117">
        <f>IF(D116&lt;=0,0,MIN(D116+AQ117,$F$6+AP117))</f>
        <v/>
      </c>
      <c r="AS117">
        <f>IF(D116&lt;=0,AP117,MAX(0,$F$6+AP117-D116-AQ117))</f>
        <v/>
      </c>
      <c r="AT117">
        <f>IF(E116&lt;=0,0,E116*$E$7/12)</f>
        <v/>
      </c>
      <c r="AU117">
        <f>IF(E116&lt;=0,0,MIN(E116+AT117,$F$7+AS117))</f>
        <v/>
      </c>
      <c r="AV117">
        <f>IF(E116&lt;=0,AS117,MAX(0,$F$7+AS117-E116-AT117))</f>
        <v/>
      </c>
      <c r="AW117">
        <f>IF(F116&lt;=0,0,F116*$E$8/12)</f>
        <v/>
      </c>
      <c r="AX117">
        <f>IF(F116&lt;=0,0,MIN(F116+AW117,$F$8+AV117))</f>
        <v/>
      </c>
      <c r="AY117">
        <f>IF(F116&lt;=0,AV117,MAX(0,$F$8+AV117-F116-AW117))</f>
        <v/>
      </c>
      <c r="AZ117">
        <f>IF(G116&lt;=0,0,G116*$E$9/12)</f>
        <v/>
      </c>
      <c r="BA117">
        <f>IF(G116&lt;=0,0,MIN(G116+AZ117,$F$9+AY117))</f>
        <v/>
      </c>
      <c r="BB117">
        <f>IF(G116&lt;=0,AY117,MAX(0,$F$9+AY117-G116-AZ117))</f>
        <v/>
      </c>
      <c r="BC117">
        <f>IF(H116&lt;=0,0,H116*$E$10/12)</f>
        <v/>
      </c>
      <c r="BD117">
        <f>IF(H116&lt;=0,0,MIN(H116+BC117,$F$10+BB117))</f>
        <v/>
      </c>
      <c r="BE117">
        <f>IF(H116&lt;=0,BB117,MAX(0,$F$10+BB117-H116-BC117))</f>
        <v/>
      </c>
      <c r="BF117">
        <f>IF(I116&lt;=0,0,I116*$E$11/12)</f>
        <v/>
      </c>
      <c r="BG117">
        <f>IF(I116&lt;=0,0,MIN(I116+BF117,$F$11+BE117))</f>
        <v/>
      </c>
      <c r="BH117">
        <f>IF(I116&lt;=0,BE117,MAX(0,$F$11+BE117-I116-BF117))</f>
        <v/>
      </c>
      <c r="BI117">
        <f>IF(J116&lt;=0,0,J116*$E$12/12)</f>
        <v/>
      </c>
      <c r="BJ117">
        <f>IF(J116&lt;=0,0,MIN(J116+BI117,$F$12+BH117))</f>
        <v/>
      </c>
      <c r="BK117">
        <f>IF(J116&lt;=0,BH117,MAX(0,$F$12+BH117-J116-BI117))</f>
        <v/>
      </c>
      <c r="BL117">
        <f>IF(K116&lt;=0,0,K116*$E$13/12)</f>
        <v/>
      </c>
      <c r="BM117">
        <f>IF(K116&lt;=0,0,MIN(K116+BL117,$F$13+BK117))</f>
        <v/>
      </c>
      <c r="BN117">
        <f>IF(K116&lt;=0,BK117,MAX(0,$F$13+BK117-K116-BL117))</f>
        <v/>
      </c>
      <c r="BO117">
        <f>IF(L116&lt;=0,0,L116*$E$14/12)</f>
        <v/>
      </c>
      <c r="BP117">
        <f>IF(L116&lt;=0,0,MIN(L116+BO117,$F$14+BN117))</f>
        <v/>
      </c>
      <c r="BQ117">
        <f>IF(L116&lt;=0,BN117,MAX(0,$F$14+BN117-L116-BO117))</f>
        <v/>
      </c>
      <c r="BR117">
        <f>IF(M116&lt;=0,0,M116*$E$15/12)</f>
        <v/>
      </c>
      <c r="BS117">
        <f>IF(M116&lt;=0,0,MIN(M116+BR117,$F$15+BQ117))</f>
        <v/>
      </c>
      <c r="BT117">
        <f>IF(M116&lt;=0,BQ117,MAX(0,$F$15+BQ117-M116-BR117))</f>
        <v/>
      </c>
      <c r="BU117">
        <f>IF(N116&lt;=0,0,N116*$E$16/12)</f>
        <v/>
      </c>
      <c r="BV117">
        <f>IF(N116&lt;=0,0,MIN(N116+BU117,$F$16+BT117))</f>
        <v/>
      </c>
      <c r="BW117">
        <f>IF(N116&lt;=0,BT117,MAX(0,$F$16+BT117-N116-BU117))</f>
        <v/>
      </c>
      <c r="BX117">
        <f>IF(O116&lt;=0,0,O116*$E$17/12)</f>
        <v/>
      </c>
      <c r="BY117">
        <f>IF(O116&lt;=0,0,MIN(O116+BX117,$F$17+BW117))</f>
        <v/>
      </c>
      <c r="BZ117">
        <f>IF(O116&lt;=0,BW117,MAX(0,$F$17+BW117-O116-BX117))</f>
        <v/>
      </c>
      <c r="CA117">
        <f>IF(P116&lt;=0,0,P116*$E$18/12)</f>
        <v/>
      </c>
      <c r="CB117">
        <f>IF(P116&lt;=0,0,MIN(P116+CA117,$F$18+BZ117))</f>
        <v/>
      </c>
      <c r="CC117">
        <f>IF(P116&lt;=0,BZ117,MAX(0,$F$18+BZ117-P116-CA117))</f>
        <v/>
      </c>
      <c r="CD117">
        <f>IF(Q116&lt;=0,0,Q116*$E$19/12)</f>
        <v/>
      </c>
      <c r="CE117">
        <f>IF(Q116&lt;=0,0,MIN(Q116+CD117,$F$19+CC117))</f>
        <v/>
      </c>
      <c r="CF117">
        <f>IF(Q116&lt;=0,CC117,MAX(0,$F$19+CC117-Q116-CD117))</f>
        <v/>
      </c>
      <c r="CG117">
        <f>IF(R116&lt;=0,0,R116*$E$20/12)</f>
        <v/>
      </c>
      <c r="CH117">
        <f>IF(R116&lt;=0,0,MIN(R116+CG117,$F$20+CF117))</f>
        <v/>
      </c>
      <c r="CI117">
        <f>IF(R116&lt;=0,CF117,MAX(0,$F$20+CF117-R116-CG117))</f>
        <v/>
      </c>
      <c r="CJ117">
        <f>IF(S116&lt;=0,0,S116*$E$21/12)</f>
        <v/>
      </c>
      <c r="CK117">
        <f>IF(S116&lt;=0,0,MIN(S116+CJ117,$F$21+CI117))</f>
        <v/>
      </c>
      <c r="CL117">
        <f>IF(S116&lt;=0,CI117,MAX(0,$F$21+CI117-S116-CJ117))</f>
        <v/>
      </c>
      <c r="CM117">
        <f>IF(T116&lt;=0,0,T116*$E$22/12)</f>
        <v/>
      </c>
      <c r="CN117">
        <f>IF(T116&lt;=0,0,MIN(T116+CM117,$F$22+CL117))</f>
        <v/>
      </c>
      <c r="CO117">
        <f>IF(T116&lt;=0,CL117,MAX(0,$F$22+CL117-T116-CM117))</f>
        <v/>
      </c>
      <c r="CP117">
        <f>IF(U116&lt;=0,0,U116*$E$23/12)</f>
        <v/>
      </c>
      <c r="CQ117">
        <f>IF(U116&lt;=0,0,MIN(U116+CP117,$F$23+CO117))</f>
        <v/>
      </c>
      <c r="CR117">
        <f>IF(U116&lt;=0,CO117,MAX(0,$F$23+CO117-U116-CP117))</f>
        <v/>
      </c>
      <c r="CS117">
        <f>IF(V116&lt;=0,0,V116*$E$24/12)</f>
        <v/>
      </c>
      <c r="CT117">
        <f>IF(V116&lt;=0,0,MIN(V116+CS117,$F$24+CR117))</f>
        <v/>
      </c>
      <c r="CU117">
        <f>IF(V116&lt;=0,CR117,MAX(0,$F$24+CR117-V116-CS117))</f>
        <v/>
      </c>
    </row>
    <row r="118">
      <c r="B118" s="39" t="n">
        <v>92</v>
      </c>
      <c r="C118" s="13">
        <f>IF(C117&lt;=0,0,MAX(0,C117+AN118-AO118))</f>
        <v/>
      </c>
      <c r="D118" s="13">
        <f>IF(D117&lt;=0,0,MAX(0,D117+AQ118-AR118))</f>
        <v/>
      </c>
      <c r="E118" s="13">
        <f>IF(E117&lt;=0,0,MAX(0,E117+AT118-AU118))</f>
        <v/>
      </c>
      <c r="F118" s="13">
        <f>IF(F117&lt;=0,0,MAX(0,F117+AW118-AX118))</f>
        <v/>
      </c>
      <c r="G118" s="13">
        <f>IF(G117&lt;=0,0,MAX(0,G117+AZ118-BA118))</f>
        <v/>
      </c>
      <c r="H118" s="13">
        <f>IF(H117&lt;=0,0,MAX(0,H117+BC118-BD118))</f>
        <v/>
      </c>
      <c r="I118" s="13">
        <f>IF(I117&lt;=0,0,MAX(0,I117+BF118-BG118))</f>
        <v/>
      </c>
      <c r="J118" s="13">
        <f>IF(J117&lt;=0,0,MAX(0,J117+BI118-BJ118))</f>
        <v/>
      </c>
      <c r="K118" s="13">
        <f>IF(K117&lt;=0,0,MAX(0,K117+BL118-BM118))</f>
        <v/>
      </c>
      <c r="L118" s="13">
        <f>IF(L117&lt;=0,0,MAX(0,L117+BO118-BP118))</f>
        <v/>
      </c>
      <c r="M118" s="13">
        <f>IF(M117&lt;=0,0,MAX(0,M117+BR118-BS118))</f>
        <v/>
      </c>
      <c r="N118" s="13">
        <f>IF(N117&lt;=0,0,MAX(0,N117+BU118-BV118))</f>
        <v/>
      </c>
      <c r="O118" s="13">
        <f>IF(O117&lt;=0,0,MAX(0,O117+BX118-BY118))</f>
        <v/>
      </c>
      <c r="P118" s="13">
        <f>IF(P117&lt;=0,0,MAX(0,P117+CA118-CB118))</f>
        <v/>
      </c>
      <c r="Q118" s="13">
        <f>IF(Q117&lt;=0,0,MAX(0,Q117+CD118-CE118))</f>
        <v/>
      </c>
      <c r="R118" s="13">
        <f>IF(R117&lt;=0,0,MAX(0,R117+CG118-CH118))</f>
        <v/>
      </c>
      <c r="S118" s="13">
        <f>IF(S117&lt;=0,0,MAX(0,S117+CJ118-CK118))</f>
        <v/>
      </c>
      <c r="T118" s="13">
        <f>IF(T117&lt;=0,0,MAX(0,T117+CM118-CN118))</f>
        <v/>
      </c>
      <c r="U118" s="13">
        <f>IF(U117&lt;=0,0,MAX(0,U117+CP118-CQ118))</f>
        <v/>
      </c>
      <c r="V118" s="13">
        <f>IF(V117&lt;=0,0,MAX(0,V117+CS118-CT118))</f>
        <v/>
      </c>
      <c r="W118" s="13">
        <f>AO118+AR118+AU118+AX118+BA118+BD118+BG118+BJ118+BM118+BP118+BS118+BV118+BY118+CB118+CE118+CH118+CK118+CN118+CQ118+CT118</f>
        <v/>
      </c>
      <c r="X118" s="13">
        <f>AN118+AQ118+AT118+AW118+AZ118+BC118+BF118+BI118+BL118+BO118+BR118+BU118+BX118+CA118+CD118+CG118+CJ118+CM118+CP118+CS118</f>
        <v/>
      </c>
      <c r="Y118" s="27">
        <f>C118+D118+E118+F118+G118+H118+I118+J118+K118+L118+M118+N118+O118+P118+Q118+R118+S118+T118+U118+V118</f>
        <v/>
      </c>
      <c r="AN118">
        <f>IF(C117&lt;=0,0,C117*$E$5/12)</f>
        <v/>
      </c>
      <c r="AO118">
        <f>IF(C117&lt;=0,0,MIN(C117+AN118,$F$5+(Dashboard!$C$11+IF(C117&lt;=0,$F$5,0)+IF(D117&lt;=0,$F$6,0)+IF(E117&lt;=0,$F$7,0)+IF(F117&lt;=0,$F$8,0)+IF(G117&lt;=0,$F$9,0)+IF(H117&lt;=0,$F$10,0)+IF(I117&lt;=0,$F$11,0)+IF(J117&lt;=0,$F$12,0)+IF(K117&lt;=0,$F$13,0)+IF(L117&lt;=0,$F$14,0)+IF(M117&lt;=0,$F$15,0)+IF(N117&lt;=0,$F$16,0)+IF(O117&lt;=0,$F$17,0)+IF(P117&lt;=0,$F$18,0)+IF(Q117&lt;=0,$F$19,0)+IF(R117&lt;=0,$F$20,0)+IF(S117&lt;=0,$F$21,0)+IF(T117&lt;=0,$F$22,0)+IF(U117&lt;=0,$F$23,0)+IF(V117&lt;=0,$F$24,0))))</f>
        <v/>
      </c>
      <c r="AP118">
        <f>IF(C117&lt;=0,(Dashboard!$C$11+IF(C117&lt;=0,$F$5,0)+IF(D117&lt;=0,$F$6,0)+IF(E117&lt;=0,$F$7,0)+IF(F117&lt;=0,$F$8,0)+IF(G117&lt;=0,$F$9,0)+IF(H117&lt;=0,$F$10,0)+IF(I117&lt;=0,$F$11,0)+IF(J117&lt;=0,$F$12,0)+IF(K117&lt;=0,$F$13,0)+IF(L117&lt;=0,$F$14,0)+IF(M117&lt;=0,$F$15,0)+IF(N117&lt;=0,$F$16,0)+IF(O117&lt;=0,$F$17,0)+IF(P117&lt;=0,$F$18,0)+IF(Q117&lt;=0,$F$19,0)+IF(R117&lt;=0,$F$20,0)+IF(S117&lt;=0,$F$21,0)+IF(T117&lt;=0,$F$22,0)+IF(U117&lt;=0,$F$23,0)+IF(V117&lt;=0,$F$24,0)),MAX(0,$F$5+(Dashboard!$C$11+IF(C117&lt;=0,$F$5,0)+IF(D117&lt;=0,$F$6,0)+IF(E117&lt;=0,$F$7,0)+IF(F117&lt;=0,$F$8,0)+IF(G117&lt;=0,$F$9,0)+IF(H117&lt;=0,$F$10,0)+IF(I117&lt;=0,$F$11,0)+IF(J117&lt;=0,$F$12,0)+IF(K117&lt;=0,$F$13,0)+IF(L117&lt;=0,$F$14,0)+IF(M117&lt;=0,$F$15,0)+IF(N117&lt;=0,$F$16,0)+IF(O117&lt;=0,$F$17,0)+IF(P117&lt;=0,$F$18,0)+IF(Q117&lt;=0,$F$19,0)+IF(R117&lt;=0,$F$20,0)+IF(S117&lt;=0,$F$21,0)+IF(T117&lt;=0,$F$22,0)+IF(U117&lt;=0,$F$23,0)+IF(V117&lt;=0,$F$24,0))-C117-AN118))</f>
        <v/>
      </c>
      <c r="AQ118">
        <f>IF(D117&lt;=0,0,D117*$E$6/12)</f>
        <v/>
      </c>
      <c r="AR118">
        <f>IF(D117&lt;=0,0,MIN(D117+AQ118,$F$6+AP118))</f>
        <v/>
      </c>
      <c r="AS118">
        <f>IF(D117&lt;=0,AP118,MAX(0,$F$6+AP118-D117-AQ118))</f>
        <v/>
      </c>
      <c r="AT118">
        <f>IF(E117&lt;=0,0,E117*$E$7/12)</f>
        <v/>
      </c>
      <c r="AU118">
        <f>IF(E117&lt;=0,0,MIN(E117+AT118,$F$7+AS118))</f>
        <v/>
      </c>
      <c r="AV118">
        <f>IF(E117&lt;=0,AS118,MAX(0,$F$7+AS118-E117-AT118))</f>
        <v/>
      </c>
      <c r="AW118">
        <f>IF(F117&lt;=0,0,F117*$E$8/12)</f>
        <v/>
      </c>
      <c r="AX118">
        <f>IF(F117&lt;=0,0,MIN(F117+AW118,$F$8+AV118))</f>
        <v/>
      </c>
      <c r="AY118">
        <f>IF(F117&lt;=0,AV118,MAX(0,$F$8+AV118-F117-AW118))</f>
        <v/>
      </c>
      <c r="AZ118">
        <f>IF(G117&lt;=0,0,G117*$E$9/12)</f>
        <v/>
      </c>
      <c r="BA118">
        <f>IF(G117&lt;=0,0,MIN(G117+AZ118,$F$9+AY118))</f>
        <v/>
      </c>
      <c r="BB118">
        <f>IF(G117&lt;=0,AY118,MAX(0,$F$9+AY118-G117-AZ118))</f>
        <v/>
      </c>
      <c r="BC118">
        <f>IF(H117&lt;=0,0,H117*$E$10/12)</f>
        <v/>
      </c>
      <c r="BD118">
        <f>IF(H117&lt;=0,0,MIN(H117+BC118,$F$10+BB118))</f>
        <v/>
      </c>
      <c r="BE118">
        <f>IF(H117&lt;=0,BB118,MAX(0,$F$10+BB118-H117-BC118))</f>
        <v/>
      </c>
      <c r="BF118">
        <f>IF(I117&lt;=0,0,I117*$E$11/12)</f>
        <v/>
      </c>
      <c r="BG118">
        <f>IF(I117&lt;=0,0,MIN(I117+BF118,$F$11+BE118))</f>
        <v/>
      </c>
      <c r="BH118">
        <f>IF(I117&lt;=0,BE118,MAX(0,$F$11+BE118-I117-BF118))</f>
        <v/>
      </c>
      <c r="BI118">
        <f>IF(J117&lt;=0,0,J117*$E$12/12)</f>
        <v/>
      </c>
      <c r="BJ118">
        <f>IF(J117&lt;=0,0,MIN(J117+BI118,$F$12+BH118))</f>
        <v/>
      </c>
      <c r="BK118">
        <f>IF(J117&lt;=0,BH118,MAX(0,$F$12+BH118-J117-BI118))</f>
        <v/>
      </c>
      <c r="BL118">
        <f>IF(K117&lt;=0,0,K117*$E$13/12)</f>
        <v/>
      </c>
      <c r="BM118">
        <f>IF(K117&lt;=0,0,MIN(K117+BL118,$F$13+BK118))</f>
        <v/>
      </c>
      <c r="BN118">
        <f>IF(K117&lt;=0,BK118,MAX(0,$F$13+BK118-K117-BL118))</f>
        <v/>
      </c>
      <c r="BO118">
        <f>IF(L117&lt;=0,0,L117*$E$14/12)</f>
        <v/>
      </c>
      <c r="BP118">
        <f>IF(L117&lt;=0,0,MIN(L117+BO118,$F$14+BN118))</f>
        <v/>
      </c>
      <c r="BQ118">
        <f>IF(L117&lt;=0,BN118,MAX(0,$F$14+BN118-L117-BO118))</f>
        <v/>
      </c>
      <c r="BR118">
        <f>IF(M117&lt;=0,0,M117*$E$15/12)</f>
        <v/>
      </c>
      <c r="BS118">
        <f>IF(M117&lt;=0,0,MIN(M117+BR118,$F$15+BQ118))</f>
        <v/>
      </c>
      <c r="BT118">
        <f>IF(M117&lt;=0,BQ118,MAX(0,$F$15+BQ118-M117-BR118))</f>
        <v/>
      </c>
      <c r="BU118">
        <f>IF(N117&lt;=0,0,N117*$E$16/12)</f>
        <v/>
      </c>
      <c r="BV118">
        <f>IF(N117&lt;=0,0,MIN(N117+BU118,$F$16+BT118))</f>
        <v/>
      </c>
      <c r="BW118">
        <f>IF(N117&lt;=0,BT118,MAX(0,$F$16+BT118-N117-BU118))</f>
        <v/>
      </c>
      <c r="BX118">
        <f>IF(O117&lt;=0,0,O117*$E$17/12)</f>
        <v/>
      </c>
      <c r="BY118">
        <f>IF(O117&lt;=0,0,MIN(O117+BX118,$F$17+BW118))</f>
        <v/>
      </c>
      <c r="BZ118">
        <f>IF(O117&lt;=0,BW118,MAX(0,$F$17+BW118-O117-BX118))</f>
        <v/>
      </c>
      <c r="CA118">
        <f>IF(P117&lt;=0,0,P117*$E$18/12)</f>
        <v/>
      </c>
      <c r="CB118">
        <f>IF(P117&lt;=0,0,MIN(P117+CA118,$F$18+BZ118))</f>
        <v/>
      </c>
      <c r="CC118">
        <f>IF(P117&lt;=0,BZ118,MAX(0,$F$18+BZ118-P117-CA118))</f>
        <v/>
      </c>
      <c r="CD118">
        <f>IF(Q117&lt;=0,0,Q117*$E$19/12)</f>
        <v/>
      </c>
      <c r="CE118">
        <f>IF(Q117&lt;=0,0,MIN(Q117+CD118,$F$19+CC118))</f>
        <v/>
      </c>
      <c r="CF118">
        <f>IF(Q117&lt;=0,CC118,MAX(0,$F$19+CC118-Q117-CD118))</f>
        <v/>
      </c>
      <c r="CG118">
        <f>IF(R117&lt;=0,0,R117*$E$20/12)</f>
        <v/>
      </c>
      <c r="CH118">
        <f>IF(R117&lt;=0,0,MIN(R117+CG118,$F$20+CF118))</f>
        <v/>
      </c>
      <c r="CI118">
        <f>IF(R117&lt;=0,CF118,MAX(0,$F$20+CF118-R117-CG118))</f>
        <v/>
      </c>
      <c r="CJ118">
        <f>IF(S117&lt;=0,0,S117*$E$21/12)</f>
        <v/>
      </c>
      <c r="CK118">
        <f>IF(S117&lt;=0,0,MIN(S117+CJ118,$F$21+CI118))</f>
        <v/>
      </c>
      <c r="CL118">
        <f>IF(S117&lt;=0,CI118,MAX(0,$F$21+CI118-S117-CJ118))</f>
        <v/>
      </c>
      <c r="CM118">
        <f>IF(T117&lt;=0,0,T117*$E$22/12)</f>
        <v/>
      </c>
      <c r="CN118">
        <f>IF(T117&lt;=0,0,MIN(T117+CM118,$F$22+CL118))</f>
        <v/>
      </c>
      <c r="CO118">
        <f>IF(T117&lt;=0,CL118,MAX(0,$F$22+CL118-T117-CM118))</f>
        <v/>
      </c>
      <c r="CP118">
        <f>IF(U117&lt;=0,0,U117*$E$23/12)</f>
        <v/>
      </c>
      <c r="CQ118">
        <f>IF(U117&lt;=0,0,MIN(U117+CP118,$F$23+CO118))</f>
        <v/>
      </c>
      <c r="CR118">
        <f>IF(U117&lt;=0,CO118,MAX(0,$F$23+CO118-U117-CP118))</f>
        <v/>
      </c>
      <c r="CS118">
        <f>IF(V117&lt;=0,0,V117*$E$24/12)</f>
        <v/>
      </c>
      <c r="CT118">
        <f>IF(V117&lt;=0,0,MIN(V117+CS118,$F$24+CR118))</f>
        <v/>
      </c>
      <c r="CU118">
        <f>IF(V117&lt;=0,CR118,MAX(0,$F$24+CR118-V117-CS118))</f>
        <v/>
      </c>
    </row>
    <row r="119">
      <c r="B119" s="39" t="n">
        <v>93</v>
      </c>
      <c r="C119" s="13">
        <f>IF(C118&lt;=0,0,MAX(0,C118+AN119-AO119))</f>
        <v/>
      </c>
      <c r="D119" s="13">
        <f>IF(D118&lt;=0,0,MAX(0,D118+AQ119-AR119))</f>
        <v/>
      </c>
      <c r="E119" s="13">
        <f>IF(E118&lt;=0,0,MAX(0,E118+AT119-AU119))</f>
        <v/>
      </c>
      <c r="F119" s="13">
        <f>IF(F118&lt;=0,0,MAX(0,F118+AW119-AX119))</f>
        <v/>
      </c>
      <c r="G119" s="13">
        <f>IF(G118&lt;=0,0,MAX(0,G118+AZ119-BA119))</f>
        <v/>
      </c>
      <c r="H119" s="13">
        <f>IF(H118&lt;=0,0,MAX(0,H118+BC119-BD119))</f>
        <v/>
      </c>
      <c r="I119" s="13">
        <f>IF(I118&lt;=0,0,MAX(0,I118+BF119-BG119))</f>
        <v/>
      </c>
      <c r="J119" s="13">
        <f>IF(J118&lt;=0,0,MAX(0,J118+BI119-BJ119))</f>
        <v/>
      </c>
      <c r="K119" s="13">
        <f>IF(K118&lt;=0,0,MAX(0,K118+BL119-BM119))</f>
        <v/>
      </c>
      <c r="L119" s="13">
        <f>IF(L118&lt;=0,0,MAX(0,L118+BO119-BP119))</f>
        <v/>
      </c>
      <c r="M119" s="13">
        <f>IF(M118&lt;=0,0,MAX(0,M118+BR119-BS119))</f>
        <v/>
      </c>
      <c r="N119" s="13">
        <f>IF(N118&lt;=0,0,MAX(0,N118+BU119-BV119))</f>
        <v/>
      </c>
      <c r="O119" s="13">
        <f>IF(O118&lt;=0,0,MAX(0,O118+BX119-BY119))</f>
        <v/>
      </c>
      <c r="P119" s="13">
        <f>IF(P118&lt;=0,0,MAX(0,P118+CA119-CB119))</f>
        <v/>
      </c>
      <c r="Q119" s="13">
        <f>IF(Q118&lt;=0,0,MAX(0,Q118+CD119-CE119))</f>
        <v/>
      </c>
      <c r="R119" s="13">
        <f>IF(R118&lt;=0,0,MAX(0,R118+CG119-CH119))</f>
        <v/>
      </c>
      <c r="S119" s="13">
        <f>IF(S118&lt;=0,0,MAX(0,S118+CJ119-CK119))</f>
        <v/>
      </c>
      <c r="T119" s="13">
        <f>IF(T118&lt;=0,0,MAX(0,T118+CM119-CN119))</f>
        <v/>
      </c>
      <c r="U119" s="13">
        <f>IF(U118&lt;=0,0,MAX(0,U118+CP119-CQ119))</f>
        <v/>
      </c>
      <c r="V119" s="13">
        <f>IF(V118&lt;=0,0,MAX(0,V118+CS119-CT119))</f>
        <v/>
      </c>
      <c r="W119" s="13">
        <f>AO119+AR119+AU119+AX119+BA119+BD119+BG119+BJ119+BM119+BP119+BS119+BV119+BY119+CB119+CE119+CH119+CK119+CN119+CQ119+CT119</f>
        <v/>
      </c>
      <c r="X119" s="13">
        <f>AN119+AQ119+AT119+AW119+AZ119+BC119+BF119+BI119+BL119+BO119+BR119+BU119+BX119+CA119+CD119+CG119+CJ119+CM119+CP119+CS119</f>
        <v/>
      </c>
      <c r="Y119" s="27">
        <f>C119+D119+E119+F119+G119+H119+I119+J119+K119+L119+M119+N119+O119+P119+Q119+R119+S119+T119+U119+V119</f>
        <v/>
      </c>
      <c r="AN119">
        <f>IF(C118&lt;=0,0,C118*$E$5/12)</f>
        <v/>
      </c>
      <c r="AO119">
        <f>IF(C118&lt;=0,0,MIN(C118+AN119,$F$5+(Dashboard!$C$11+IF(C118&lt;=0,$F$5,0)+IF(D118&lt;=0,$F$6,0)+IF(E118&lt;=0,$F$7,0)+IF(F118&lt;=0,$F$8,0)+IF(G118&lt;=0,$F$9,0)+IF(H118&lt;=0,$F$10,0)+IF(I118&lt;=0,$F$11,0)+IF(J118&lt;=0,$F$12,0)+IF(K118&lt;=0,$F$13,0)+IF(L118&lt;=0,$F$14,0)+IF(M118&lt;=0,$F$15,0)+IF(N118&lt;=0,$F$16,0)+IF(O118&lt;=0,$F$17,0)+IF(P118&lt;=0,$F$18,0)+IF(Q118&lt;=0,$F$19,0)+IF(R118&lt;=0,$F$20,0)+IF(S118&lt;=0,$F$21,0)+IF(T118&lt;=0,$F$22,0)+IF(U118&lt;=0,$F$23,0)+IF(V118&lt;=0,$F$24,0))))</f>
        <v/>
      </c>
      <c r="AP119">
        <f>IF(C118&lt;=0,(Dashboard!$C$11+IF(C118&lt;=0,$F$5,0)+IF(D118&lt;=0,$F$6,0)+IF(E118&lt;=0,$F$7,0)+IF(F118&lt;=0,$F$8,0)+IF(G118&lt;=0,$F$9,0)+IF(H118&lt;=0,$F$10,0)+IF(I118&lt;=0,$F$11,0)+IF(J118&lt;=0,$F$12,0)+IF(K118&lt;=0,$F$13,0)+IF(L118&lt;=0,$F$14,0)+IF(M118&lt;=0,$F$15,0)+IF(N118&lt;=0,$F$16,0)+IF(O118&lt;=0,$F$17,0)+IF(P118&lt;=0,$F$18,0)+IF(Q118&lt;=0,$F$19,0)+IF(R118&lt;=0,$F$20,0)+IF(S118&lt;=0,$F$21,0)+IF(T118&lt;=0,$F$22,0)+IF(U118&lt;=0,$F$23,0)+IF(V118&lt;=0,$F$24,0)),MAX(0,$F$5+(Dashboard!$C$11+IF(C118&lt;=0,$F$5,0)+IF(D118&lt;=0,$F$6,0)+IF(E118&lt;=0,$F$7,0)+IF(F118&lt;=0,$F$8,0)+IF(G118&lt;=0,$F$9,0)+IF(H118&lt;=0,$F$10,0)+IF(I118&lt;=0,$F$11,0)+IF(J118&lt;=0,$F$12,0)+IF(K118&lt;=0,$F$13,0)+IF(L118&lt;=0,$F$14,0)+IF(M118&lt;=0,$F$15,0)+IF(N118&lt;=0,$F$16,0)+IF(O118&lt;=0,$F$17,0)+IF(P118&lt;=0,$F$18,0)+IF(Q118&lt;=0,$F$19,0)+IF(R118&lt;=0,$F$20,0)+IF(S118&lt;=0,$F$21,0)+IF(T118&lt;=0,$F$22,0)+IF(U118&lt;=0,$F$23,0)+IF(V118&lt;=0,$F$24,0))-C118-AN119))</f>
        <v/>
      </c>
      <c r="AQ119">
        <f>IF(D118&lt;=0,0,D118*$E$6/12)</f>
        <v/>
      </c>
      <c r="AR119">
        <f>IF(D118&lt;=0,0,MIN(D118+AQ119,$F$6+AP119))</f>
        <v/>
      </c>
      <c r="AS119">
        <f>IF(D118&lt;=0,AP119,MAX(0,$F$6+AP119-D118-AQ119))</f>
        <v/>
      </c>
      <c r="AT119">
        <f>IF(E118&lt;=0,0,E118*$E$7/12)</f>
        <v/>
      </c>
      <c r="AU119">
        <f>IF(E118&lt;=0,0,MIN(E118+AT119,$F$7+AS119))</f>
        <v/>
      </c>
      <c r="AV119">
        <f>IF(E118&lt;=0,AS119,MAX(0,$F$7+AS119-E118-AT119))</f>
        <v/>
      </c>
      <c r="AW119">
        <f>IF(F118&lt;=0,0,F118*$E$8/12)</f>
        <v/>
      </c>
      <c r="AX119">
        <f>IF(F118&lt;=0,0,MIN(F118+AW119,$F$8+AV119))</f>
        <v/>
      </c>
      <c r="AY119">
        <f>IF(F118&lt;=0,AV119,MAX(0,$F$8+AV119-F118-AW119))</f>
        <v/>
      </c>
      <c r="AZ119">
        <f>IF(G118&lt;=0,0,G118*$E$9/12)</f>
        <v/>
      </c>
      <c r="BA119">
        <f>IF(G118&lt;=0,0,MIN(G118+AZ119,$F$9+AY119))</f>
        <v/>
      </c>
      <c r="BB119">
        <f>IF(G118&lt;=0,AY119,MAX(0,$F$9+AY119-G118-AZ119))</f>
        <v/>
      </c>
      <c r="BC119">
        <f>IF(H118&lt;=0,0,H118*$E$10/12)</f>
        <v/>
      </c>
      <c r="BD119">
        <f>IF(H118&lt;=0,0,MIN(H118+BC119,$F$10+BB119))</f>
        <v/>
      </c>
      <c r="BE119">
        <f>IF(H118&lt;=0,BB119,MAX(0,$F$10+BB119-H118-BC119))</f>
        <v/>
      </c>
      <c r="BF119">
        <f>IF(I118&lt;=0,0,I118*$E$11/12)</f>
        <v/>
      </c>
      <c r="BG119">
        <f>IF(I118&lt;=0,0,MIN(I118+BF119,$F$11+BE119))</f>
        <v/>
      </c>
      <c r="BH119">
        <f>IF(I118&lt;=0,BE119,MAX(0,$F$11+BE119-I118-BF119))</f>
        <v/>
      </c>
      <c r="BI119">
        <f>IF(J118&lt;=0,0,J118*$E$12/12)</f>
        <v/>
      </c>
      <c r="BJ119">
        <f>IF(J118&lt;=0,0,MIN(J118+BI119,$F$12+BH119))</f>
        <v/>
      </c>
      <c r="BK119">
        <f>IF(J118&lt;=0,BH119,MAX(0,$F$12+BH119-J118-BI119))</f>
        <v/>
      </c>
      <c r="BL119">
        <f>IF(K118&lt;=0,0,K118*$E$13/12)</f>
        <v/>
      </c>
      <c r="BM119">
        <f>IF(K118&lt;=0,0,MIN(K118+BL119,$F$13+BK119))</f>
        <v/>
      </c>
      <c r="BN119">
        <f>IF(K118&lt;=0,BK119,MAX(0,$F$13+BK119-K118-BL119))</f>
        <v/>
      </c>
      <c r="BO119">
        <f>IF(L118&lt;=0,0,L118*$E$14/12)</f>
        <v/>
      </c>
      <c r="BP119">
        <f>IF(L118&lt;=0,0,MIN(L118+BO119,$F$14+BN119))</f>
        <v/>
      </c>
      <c r="BQ119">
        <f>IF(L118&lt;=0,BN119,MAX(0,$F$14+BN119-L118-BO119))</f>
        <v/>
      </c>
      <c r="BR119">
        <f>IF(M118&lt;=0,0,M118*$E$15/12)</f>
        <v/>
      </c>
      <c r="BS119">
        <f>IF(M118&lt;=0,0,MIN(M118+BR119,$F$15+BQ119))</f>
        <v/>
      </c>
      <c r="BT119">
        <f>IF(M118&lt;=0,BQ119,MAX(0,$F$15+BQ119-M118-BR119))</f>
        <v/>
      </c>
      <c r="BU119">
        <f>IF(N118&lt;=0,0,N118*$E$16/12)</f>
        <v/>
      </c>
      <c r="BV119">
        <f>IF(N118&lt;=0,0,MIN(N118+BU119,$F$16+BT119))</f>
        <v/>
      </c>
      <c r="BW119">
        <f>IF(N118&lt;=0,BT119,MAX(0,$F$16+BT119-N118-BU119))</f>
        <v/>
      </c>
      <c r="BX119">
        <f>IF(O118&lt;=0,0,O118*$E$17/12)</f>
        <v/>
      </c>
      <c r="BY119">
        <f>IF(O118&lt;=0,0,MIN(O118+BX119,$F$17+BW119))</f>
        <v/>
      </c>
      <c r="BZ119">
        <f>IF(O118&lt;=0,BW119,MAX(0,$F$17+BW119-O118-BX119))</f>
        <v/>
      </c>
      <c r="CA119">
        <f>IF(P118&lt;=0,0,P118*$E$18/12)</f>
        <v/>
      </c>
      <c r="CB119">
        <f>IF(P118&lt;=0,0,MIN(P118+CA119,$F$18+BZ119))</f>
        <v/>
      </c>
      <c r="CC119">
        <f>IF(P118&lt;=0,BZ119,MAX(0,$F$18+BZ119-P118-CA119))</f>
        <v/>
      </c>
      <c r="CD119">
        <f>IF(Q118&lt;=0,0,Q118*$E$19/12)</f>
        <v/>
      </c>
      <c r="CE119">
        <f>IF(Q118&lt;=0,0,MIN(Q118+CD119,$F$19+CC119))</f>
        <v/>
      </c>
      <c r="CF119">
        <f>IF(Q118&lt;=0,CC119,MAX(0,$F$19+CC119-Q118-CD119))</f>
        <v/>
      </c>
      <c r="CG119">
        <f>IF(R118&lt;=0,0,R118*$E$20/12)</f>
        <v/>
      </c>
      <c r="CH119">
        <f>IF(R118&lt;=0,0,MIN(R118+CG119,$F$20+CF119))</f>
        <v/>
      </c>
      <c r="CI119">
        <f>IF(R118&lt;=0,CF119,MAX(0,$F$20+CF119-R118-CG119))</f>
        <v/>
      </c>
      <c r="CJ119">
        <f>IF(S118&lt;=0,0,S118*$E$21/12)</f>
        <v/>
      </c>
      <c r="CK119">
        <f>IF(S118&lt;=0,0,MIN(S118+CJ119,$F$21+CI119))</f>
        <v/>
      </c>
      <c r="CL119">
        <f>IF(S118&lt;=0,CI119,MAX(0,$F$21+CI119-S118-CJ119))</f>
        <v/>
      </c>
      <c r="CM119">
        <f>IF(T118&lt;=0,0,T118*$E$22/12)</f>
        <v/>
      </c>
      <c r="CN119">
        <f>IF(T118&lt;=0,0,MIN(T118+CM119,$F$22+CL119))</f>
        <v/>
      </c>
      <c r="CO119">
        <f>IF(T118&lt;=0,CL119,MAX(0,$F$22+CL119-T118-CM119))</f>
        <v/>
      </c>
      <c r="CP119">
        <f>IF(U118&lt;=0,0,U118*$E$23/12)</f>
        <v/>
      </c>
      <c r="CQ119">
        <f>IF(U118&lt;=0,0,MIN(U118+CP119,$F$23+CO119))</f>
        <v/>
      </c>
      <c r="CR119">
        <f>IF(U118&lt;=0,CO119,MAX(0,$F$23+CO119-U118-CP119))</f>
        <v/>
      </c>
      <c r="CS119">
        <f>IF(V118&lt;=0,0,V118*$E$24/12)</f>
        <v/>
      </c>
      <c r="CT119">
        <f>IF(V118&lt;=0,0,MIN(V118+CS119,$F$24+CR119))</f>
        <v/>
      </c>
      <c r="CU119">
        <f>IF(V118&lt;=0,CR119,MAX(0,$F$24+CR119-V118-CS119))</f>
        <v/>
      </c>
    </row>
    <row r="120">
      <c r="B120" s="39" t="n">
        <v>94</v>
      </c>
      <c r="C120" s="13">
        <f>IF(C119&lt;=0,0,MAX(0,C119+AN120-AO120))</f>
        <v/>
      </c>
      <c r="D120" s="13">
        <f>IF(D119&lt;=0,0,MAX(0,D119+AQ120-AR120))</f>
        <v/>
      </c>
      <c r="E120" s="13">
        <f>IF(E119&lt;=0,0,MAX(0,E119+AT120-AU120))</f>
        <v/>
      </c>
      <c r="F120" s="13">
        <f>IF(F119&lt;=0,0,MAX(0,F119+AW120-AX120))</f>
        <v/>
      </c>
      <c r="G120" s="13">
        <f>IF(G119&lt;=0,0,MAX(0,G119+AZ120-BA120))</f>
        <v/>
      </c>
      <c r="H120" s="13">
        <f>IF(H119&lt;=0,0,MAX(0,H119+BC120-BD120))</f>
        <v/>
      </c>
      <c r="I120" s="13">
        <f>IF(I119&lt;=0,0,MAX(0,I119+BF120-BG120))</f>
        <v/>
      </c>
      <c r="J120" s="13">
        <f>IF(J119&lt;=0,0,MAX(0,J119+BI120-BJ120))</f>
        <v/>
      </c>
      <c r="K120" s="13">
        <f>IF(K119&lt;=0,0,MAX(0,K119+BL120-BM120))</f>
        <v/>
      </c>
      <c r="L120" s="13">
        <f>IF(L119&lt;=0,0,MAX(0,L119+BO120-BP120))</f>
        <v/>
      </c>
      <c r="M120" s="13">
        <f>IF(M119&lt;=0,0,MAX(0,M119+BR120-BS120))</f>
        <v/>
      </c>
      <c r="N120" s="13">
        <f>IF(N119&lt;=0,0,MAX(0,N119+BU120-BV120))</f>
        <v/>
      </c>
      <c r="O120" s="13">
        <f>IF(O119&lt;=0,0,MAX(0,O119+BX120-BY120))</f>
        <v/>
      </c>
      <c r="P120" s="13">
        <f>IF(P119&lt;=0,0,MAX(0,P119+CA120-CB120))</f>
        <v/>
      </c>
      <c r="Q120" s="13">
        <f>IF(Q119&lt;=0,0,MAX(0,Q119+CD120-CE120))</f>
        <v/>
      </c>
      <c r="R120" s="13">
        <f>IF(R119&lt;=0,0,MAX(0,R119+CG120-CH120))</f>
        <v/>
      </c>
      <c r="S120" s="13">
        <f>IF(S119&lt;=0,0,MAX(0,S119+CJ120-CK120))</f>
        <v/>
      </c>
      <c r="T120" s="13">
        <f>IF(T119&lt;=0,0,MAX(0,T119+CM120-CN120))</f>
        <v/>
      </c>
      <c r="U120" s="13">
        <f>IF(U119&lt;=0,0,MAX(0,U119+CP120-CQ120))</f>
        <v/>
      </c>
      <c r="V120" s="13">
        <f>IF(V119&lt;=0,0,MAX(0,V119+CS120-CT120))</f>
        <v/>
      </c>
      <c r="W120" s="13">
        <f>AO120+AR120+AU120+AX120+BA120+BD120+BG120+BJ120+BM120+BP120+BS120+BV120+BY120+CB120+CE120+CH120+CK120+CN120+CQ120+CT120</f>
        <v/>
      </c>
      <c r="X120" s="13">
        <f>AN120+AQ120+AT120+AW120+AZ120+BC120+BF120+BI120+BL120+BO120+BR120+BU120+BX120+CA120+CD120+CG120+CJ120+CM120+CP120+CS120</f>
        <v/>
      </c>
      <c r="Y120" s="27">
        <f>C120+D120+E120+F120+G120+H120+I120+J120+K120+L120+M120+N120+O120+P120+Q120+R120+S120+T120+U120+V120</f>
        <v/>
      </c>
      <c r="AN120">
        <f>IF(C119&lt;=0,0,C119*$E$5/12)</f>
        <v/>
      </c>
      <c r="AO120">
        <f>IF(C119&lt;=0,0,MIN(C119+AN120,$F$5+(Dashboard!$C$11+IF(C119&lt;=0,$F$5,0)+IF(D119&lt;=0,$F$6,0)+IF(E119&lt;=0,$F$7,0)+IF(F119&lt;=0,$F$8,0)+IF(G119&lt;=0,$F$9,0)+IF(H119&lt;=0,$F$10,0)+IF(I119&lt;=0,$F$11,0)+IF(J119&lt;=0,$F$12,0)+IF(K119&lt;=0,$F$13,0)+IF(L119&lt;=0,$F$14,0)+IF(M119&lt;=0,$F$15,0)+IF(N119&lt;=0,$F$16,0)+IF(O119&lt;=0,$F$17,0)+IF(P119&lt;=0,$F$18,0)+IF(Q119&lt;=0,$F$19,0)+IF(R119&lt;=0,$F$20,0)+IF(S119&lt;=0,$F$21,0)+IF(T119&lt;=0,$F$22,0)+IF(U119&lt;=0,$F$23,0)+IF(V119&lt;=0,$F$24,0))))</f>
        <v/>
      </c>
      <c r="AP120">
        <f>IF(C119&lt;=0,(Dashboard!$C$11+IF(C119&lt;=0,$F$5,0)+IF(D119&lt;=0,$F$6,0)+IF(E119&lt;=0,$F$7,0)+IF(F119&lt;=0,$F$8,0)+IF(G119&lt;=0,$F$9,0)+IF(H119&lt;=0,$F$10,0)+IF(I119&lt;=0,$F$11,0)+IF(J119&lt;=0,$F$12,0)+IF(K119&lt;=0,$F$13,0)+IF(L119&lt;=0,$F$14,0)+IF(M119&lt;=0,$F$15,0)+IF(N119&lt;=0,$F$16,0)+IF(O119&lt;=0,$F$17,0)+IF(P119&lt;=0,$F$18,0)+IF(Q119&lt;=0,$F$19,0)+IF(R119&lt;=0,$F$20,0)+IF(S119&lt;=0,$F$21,0)+IF(T119&lt;=0,$F$22,0)+IF(U119&lt;=0,$F$23,0)+IF(V119&lt;=0,$F$24,0)),MAX(0,$F$5+(Dashboard!$C$11+IF(C119&lt;=0,$F$5,0)+IF(D119&lt;=0,$F$6,0)+IF(E119&lt;=0,$F$7,0)+IF(F119&lt;=0,$F$8,0)+IF(G119&lt;=0,$F$9,0)+IF(H119&lt;=0,$F$10,0)+IF(I119&lt;=0,$F$11,0)+IF(J119&lt;=0,$F$12,0)+IF(K119&lt;=0,$F$13,0)+IF(L119&lt;=0,$F$14,0)+IF(M119&lt;=0,$F$15,0)+IF(N119&lt;=0,$F$16,0)+IF(O119&lt;=0,$F$17,0)+IF(P119&lt;=0,$F$18,0)+IF(Q119&lt;=0,$F$19,0)+IF(R119&lt;=0,$F$20,0)+IF(S119&lt;=0,$F$21,0)+IF(T119&lt;=0,$F$22,0)+IF(U119&lt;=0,$F$23,0)+IF(V119&lt;=0,$F$24,0))-C119-AN120))</f>
        <v/>
      </c>
      <c r="AQ120">
        <f>IF(D119&lt;=0,0,D119*$E$6/12)</f>
        <v/>
      </c>
      <c r="AR120">
        <f>IF(D119&lt;=0,0,MIN(D119+AQ120,$F$6+AP120))</f>
        <v/>
      </c>
      <c r="AS120">
        <f>IF(D119&lt;=0,AP120,MAX(0,$F$6+AP120-D119-AQ120))</f>
        <v/>
      </c>
      <c r="AT120">
        <f>IF(E119&lt;=0,0,E119*$E$7/12)</f>
        <v/>
      </c>
      <c r="AU120">
        <f>IF(E119&lt;=0,0,MIN(E119+AT120,$F$7+AS120))</f>
        <v/>
      </c>
      <c r="AV120">
        <f>IF(E119&lt;=0,AS120,MAX(0,$F$7+AS120-E119-AT120))</f>
        <v/>
      </c>
      <c r="AW120">
        <f>IF(F119&lt;=0,0,F119*$E$8/12)</f>
        <v/>
      </c>
      <c r="AX120">
        <f>IF(F119&lt;=0,0,MIN(F119+AW120,$F$8+AV120))</f>
        <v/>
      </c>
      <c r="AY120">
        <f>IF(F119&lt;=0,AV120,MAX(0,$F$8+AV120-F119-AW120))</f>
        <v/>
      </c>
      <c r="AZ120">
        <f>IF(G119&lt;=0,0,G119*$E$9/12)</f>
        <v/>
      </c>
      <c r="BA120">
        <f>IF(G119&lt;=0,0,MIN(G119+AZ120,$F$9+AY120))</f>
        <v/>
      </c>
      <c r="BB120">
        <f>IF(G119&lt;=0,AY120,MAX(0,$F$9+AY120-G119-AZ120))</f>
        <v/>
      </c>
      <c r="BC120">
        <f>IF(H119&lt;=0,0,H119*$E$10/12)</f>
        <v/>
      </c>
      <c r="BD120">
        <f>IF(H119&lt;=0,0,MIN(H119+BC120,$F$10+BB120))</f>
        <v/>
      </c>
      <c r="BE120">
        <f>IF(H119&lt;=0,BB120,MAX(0,$F$10+BB120-H119-BC120))</f>
        <v/>
      </c>
      <c r="BF120">
        <f>IF(I119&lt;=0,0,I119*$E$11/12)</f>
        <v/>
      </c>
      <c r="BG120">
        <f>IF(I119&lt;=0,0,MIN(I119+BF120,$F$11+BE120))</f>
        <v/>
      </c>
      <c r="BH120">
        <f>IF(I119&lt;=0,BE120,MAX(0,$F$11+BE120-I119-BF120))</f>
        <v/>
      </c>
      <c r="BI120">
        <f>IF(J119&lt;=0,0,J119*$E$12/12)</f>
        <v/>
      </c>
      <c r="BJ120">
        <f>IF(J119&lt;=0,0,MIN(J119+BI120,$F$12+BH120))</f>
        <v/>
      </c>
      <c r="BK120">
        <f>IF(J119&lt;=0,BH120,MAX(0,$F$12+BH120-J119-BI120))</f>
        <v/>
      </c>
      <c r="BL120">
        <f>IF(K119&lt;=0,0,K119*$E$13/12)</f>
        <v/>
      </c>
      <c r="BM120">
        <f>IF(K119&lt;=0,0,MIN(K119+BL120,$F$13+BK120))</f>
        <v/>
      </c>
      <c r="BN120">
        <f>IF(K119&lt;=0,BK120,MAX(0,$F$13+BK120-K119-BL120))</f>
        <v/>
      </c>
      <c r="BO120">
        <f>IF(L119&lt;=0,0,L119*$E$14/12)</f>
        <v/>
      </c>
      <c r="BP120">
        <f>IF(L119&lt;=0,0,MIN(L119+BO120,$F$14+BN120))</f>
        <v/>
      </c>
      <c r="BQ120">
        <f>IF(L119&lt;=0,BN120,MAX(0,$F$14+BN120-L119-BO120))</f>
        <v/>
      </c>
      <c r="BR120">
        <f>IF(M119&lt;=0,0,M119*$E$15/12)</f>
        <v/>
      </c>
      <c r="BS120">
        <f>IF(M119&lt;=0,0,MIN(M119+BR120,$F$15+BQ120))</f>
        <v/>
      </c>
      <c r="BT120">
        <f>IF(M119&lt;=0,BQ120,MAX(0,$F$15+BQ120-M119-BR120))</f>
        <v/>
      </c>
      <c r="BU120">
        <f>IF(N119&lt;=0,0,N119*$E$16/12)</f>
        <v/>
      </c>
      <c r="BV120">
        <f>IF(N119&lt;=0,0,MIN(N119+BU120,$F$16+BT120))</f>
        <v/>
      </c>
      <c r="BW120">
        <f>IF(N119&lt;=0,BT120,MAX(0,$F$16+BT120-N119-BU120))</f>
        <v/>
      </c>
      <c r="BX120">
        <f>IF(O119&lt;=0,0,O119*$E$17/12)</f>
        <v/>
      </c>
      <c r="BY120">
        <f>IF(O119&lt;=0,0,MIN(O119+BX120,$F$17+BW120))</f>
        <v/>
      </c>
      <c r="BZ120">
        <f>IF(O119&lt;=0,BW120,MAX(0,$F$17+BW120-O119-BX120))</f>
        <v/>
      </c>
      <c r="CA120">
        <f>IF(P119&lt;=0,0,P119*$E$18/12)</f>
        <v/>
      </c>
      <c r="CB120">
        <f>IF(P119&lt;=0,0,MIN(P119+CA120,$F$18+BZ120))</f>
        <v/>
      </c>
      <c r="CC120">
        <f>IF(P119&lt;=0,BZ120,MAX(0,$F$18+BZ120-P119-CA120))</f>
        <v/>
      </c>
      <c r="CD120">
        <f>IF(Q119&lt;=0,0,Q119*$E$19/12)</f>
        <v/>
      </c>
      <c r="CE120">
        <f>IF(Q119&lt;=0,0,MIN(Q119+CD120,$F$19+CC120))</f>
        <v/>
      </c>
      <c r="CF120">
        <f>IF(Q119&lt;=0,CC120,MAX(0,$F$19+CC120-Q119-CD120))</f>
        <v/>
      </c>
      <c r="CG120">
        <f>IF(R119&lt;=0,0,R119*$E$20/12)</f>
        <v/>
      </c>
      <c r="CH120">
        <f>IF(R119&lt;=0,0,MIN(R119+CG120,$F$20+CF120))</f>
        <v/>
      </c>
      <c r="CI120">
        <f>IF(R119&lt;=0,CF120,MAX(0,$F$20+CF120-R119-CG120))</f>
        <v/>
      </c>
      <c r="CJ120">
        <f>IF(S119&lt;=0,0,S119*$E$21/12)</f>
        <v/>
      </c>
      <c r="CK120">
        <f>IF(S119&lt;=0,0,MIN(S119+CJ120,$F$21+CI120))</f>
        <v/>
      </c>
      <c r="CL120">
        <f>IF(S119&lt;=0,CI120,MAX(0,$F$21+CI120-S119-CJ120))</f>
        <v/>
      </c>
      <c r="CM120">
        <f>IF(T119&lt;=0,0,T119*$E$22/12)</f>
        <v/>
      </c>
      <c r="CN120">
        <f>IF(T119&lt;=0,0,MIN(T119+CM120,$F$22+CL120))</f>
        <v/>
      </c>
      <c r="CO120">
        <f>IF(T119&lt;=0,CL120,MAX(0,$F$22+CL120-T119-CM120))</f>
        <v/>
      </c>
      <c r="CP120">
        <f>IF(U119&lt;=0,0,U119*$E$23/12)</f>
        <v/>
      </c>
      <c r="CQ120">
        <f>IF(U119&lt;=0,0,MIN(U119+CP120,$F$23+CO120))</f>
        <v/>
      </c>
      <c r="CR120">
        <f>IF(U119&lt;=0,CO120,MAX(0,$F$23+CO120-U119-CP120))</f>
        <v/>
      </c>
      <c r="CS120">
        <f>IF(V119&lt;=0,0,V119*$E$24/12)</f>
        <v/>
      </c>
      <c r="CT120">
        <f>IF(V119&lt;=0,0,MIN(V119+CS120,$F$24+CR120))</f>
        <v/>
      </c>
      <c r="CU120">
        <f>IF(V119&lt;=0,CR120,MAX(0,$F$24+CR120-V119-CS120))</f>
        <v/>
      </c>
    </row>
    <row r="121">
      <c r="B121" s="39" t="n">
        <v>95</v>
      </c>
      <c r="C121" s="13">
        <f>IF(C120&lt;=0,0,MAX(0,C120+AN121-AO121))</f>
        <v/>
      </c>
      <c r="D121" s="13">
        <f>IF(D120&lt;=0,0,MAX(0,D120+AQ121-AR121))</f>
        <v/>
      </c>
      <c r="E121" s="13">
        <f>IF(E120&lt;=0,0,MAX(0,E120+AT121-AU121))</f>
        <v/>
      </c>
      <c r="F121" s="13">
        <f>IF(F120&lt;=0,0,MAX(0,F120+AW121-AX121))</f>
        <v/>
      </c>
      <c r="G121" s="13">
        <f>IF(G120&lt;=0,0,MAX(0,G120+AZ121-BA121))</f>
        <v/>
      </c>
      <c r="H121" s="13">
        <f>IF(H120&lt;=0,0,MAX(0,H120+BC121-BD121))</f>
        <v/>
      </c>
      <c r="I121" s="13">
        <f>IF(I120&lt;=0,0,MAX(0,I120+BF121-BG121))</f>
        <v/>
      </c>
      <c r="J121" s="13">
        <f>IF(J120&lt;=0,0,MAX(0,J120+BI121-BJ121))</f>
        <v/>
      </c>
      <c r="K121" s="13">
        <f>IF(K120&lt;=0,0,MAX(0,K120+BL121-BM121))</f>
        <v/>
      </c>
      <c r="L121" s="13">
        <f>IF(L120&lt;=0,0,MAX(0,L120+BO121-BP121))</f>
        <v/>
      </c>
      <c r="M121" s="13">
        <f>IF(M120&lt;=0,0,MAX(0,M120+BR121-BS121))</f>
        <v/>
      </c>
      <c r="N121" s="13">
        <f>IF(N120&lt;=0,0,MAX(0,N120+BU121-BV121))</f>
        <v/>
      </c>
      <c r="O121" s="13">
        <f>IF(O120&lt;=0,0,MAX(0,O120+BX121-BY121))</f>
        <v/>
      </c>
      <c r="P121" s="13">
        <f>IF(P120&lt;=0,0,MAX(0,P120+CA121-CB121))</f>
        <v/>
      </c>
      <c r="Q121" s="13">
        <f>IF(Q120&lt;=0,0,MAX(0,Q120+CD121-CE121))</f>
        <v/>
      </c>
      <c r="R121" s="13">
        <f>IF(R120&lt;=0,0,MAX(0,R120+CG121-CH121))</f>
        <v/>
      </c>
      <c r="S121" s="13">
        <f>IF(S120&lt;=0,0,MAX(0,S120+CJ121-CK121))</f>
        <v/>
      </c>
      <c r="T121" s="13">
        <f>IF(T120&lt;=0,0,MAX(0,T120+CM121-CN121))</f>
        <v/>
      </c>
      <c r="U121" s="13">
        <f>IF(U120&lt;=0,0,MAX(0,U120+CP121-CQ121))</f>
        <v/>
      </c>
      <c r="V121" s="13">
        <f>IF(V120&lt;=0,0,MAX(0,V120+CS121-CT121))</f>
        <v/>
      </c>
      <c r="W121" s="13">
        <f>AO121+AR121+AU121+AX121+BA121+BD121+BG121+BJ121+BM121+BP121+BS121+BV121+BY121+CB121+CE121+CH121+CK121+CN121+CQ121+CT121</f>
        <v/>
      </c>
      <c r="X121" s="13">
        <f>AN121+AQ121+AT121+AW121+AZ121+BC121+BF121+BI121+BL121+BO121+BR121+BU121+BX121+CA121+CD121+CG121+CJ121+CM121+CP121+CS121</f>
        <v/>
      </c>
      <c r="Y121" s="27">
        <f>C121+D121+E121+F121+G121+H121+I121+J121+K121+L121+M121+N121+O121+P121+Q121+R121+S121+T121+U121+V121</f>
        <v/>
      </c>
      <c r="AN121">
        <f>IF(C120&lt;=0,0,C120*$E$5/12)</f>
        <v/>
      </c>
      <c r="AO121">
        <f>IF(C120&lt;=0,0,MIN(C120+AN121,$F$5+(Dashboard!$C$11+IF(C120&lt;=0,$F$5,0)+IF(D120&lt;=0,$F$6,0)+IF(E120&lt;=0,$F$7,0)+IF(F120&lt;=0,$F$8,0)+IF(G120&lt;=0,$F$9,0)+IF(H120&lt;=0,$F$10,0)+IF(I120&lt;=0,$F$11,0)+IF(J120&lt;=0,$F$12,0)+IF(K120&lt;=0,$F$13,0)+IF(L120&lt;=0,$F$14,0)+IF(M120&lt;=0,$F$15,0)+IF(N120&lt;=0,$F$16,0)+IF(O120&lt;=0,$F$17,0)+IF(P120&lt;=0,$F$18,0)+IF(Q120&lt;=0,$F$19,0)+IF(R120&lt;=0,$F$20,0)+IF(S120&lt;=0,$F$21,0)+IF(T120&lt;=0,$F$22,0)+IF(U120&lt;=0,$F$23,0)+IF(V120&lt;=0,$F$24,0))))</f>
        <v/>
      </c>
      <c r="AP121">
        <f>IF(C120&lt;=0,(Dashboard!$C$11+IF(C120&lt;=0,$F$5,0)+IF(D120&lt;=0,$F$6,0)+IF(E120&lt;=0,$F$7,0)+IF(F120&lt;=0,$F$8,0)+IF(G120&lt;=0,$F$9,0)+IF(H120&lt;=0,$F$10,0)+IF(I120&lt;=0,$F$11,0)+IF(J120&lt;=0,$F$12,0)+IF(K120&lt;=0,$F$13,0)+IF(L120&lt;=0,$F$14,0)+IF(M120&lt;=0,$F$15,0)+IF(N120&lt;=0,$F$16,0)+IF(O120&lt;=0,$F$17,0)+IF(P120&lt;=0,$F$18,0)+IF(Q120&lt;=0,$F$19,0)+IF(R120&lt;=0,$F$20,0)+IF(S120&lt;=0,$F$21,0)+IF(T120&lt;=0,$F$22,0)+IF(U120&lt;=0,$F$23,0)+IF(V120&lt;=0,$F$24,0)),MAX(0,$F$5+(Dashboard!$C$11+IF(C120&lt;=0,$F$5,0)+IF(D120&lt;=0,$F$6,0)+IF(E120&lt;=0,$F$7,0)+IF(F120&lt;=0,$F$8,0)+IF(G120&lt;=0,$F$9,0)+IF(H120&lt;=0,$F$10,0)+IF(I120&lt;=0,$F$11,0)+IF(J120&lt;=0,$F$12,0)+IF(K120&lt;=0,$F$13,0)+IF(L120&lt;=0,$F$14,0)+IF(M120&lt;=0,$F$15,0)+IF(N120&lt;=0,$F$16,0)+IF(O120&lt;=0,$F$17,0)+IF(P120&lt;=0,$F$18,0)+IF(Q120&lt;=0,$F$19,0)+IF(R120&lt;=0,$F$20,0)+IF(S120&lt;=0,$F$21,0)+IF(T120&lt;=0,$F$22,0)+IF(U120&lt;=0,$F$23,0)+IF(V120&lt;=0,$F$24,0))-C120-AN121))</f>
        <v/>
      </c>
      <c r="AQ121">
        <f>IF(D120&lt;=0,0,D120*$E$6/12)</f>
        <v/>
      </c>
      <c r="AR121">
        <f>IF(D120&lt;=0,0,MIN(D120+AQ121,$F$6+AP121))</f>
        <v/>
      </c>
      <c r="AS121">
        <f>IF(D120&lt;=0,AP121,MAX(0,$F$6+AP121-D120-AQ121))</f>
        <v/>
      </c>
      <c r="AT121">
        <f>IF(E120&lt;=0,0,E120*$E$7/12)</f>
        <v/>
      </c>
      <c r="AU121">
        <f>IF(E120&lt;=0,0,MIN(E120+AT121,$F$7+AS121))</f>
        <v/>
      </c>
      <c r="AV121">
        <f>IF(E120&lt;=0,AS121,MAX(0,$F$7+AS121-E120-AT121))</f>
        <v/>
      </c>
      <c r="AW121">
        <f>IF(F120&lt;=0,0,F120*$E$8/12)</f>
        <v/>
      </c>
      <c r="AX121">
        <f>IF(F120&lt;=0,0,MIN(F120+AW121,$F$8+AV121))</f>
        <v/>
      </c>
      <c r="AY121">
        <f>IF(F120&lt;=0,AV121,MAX(0,$F$8+AV121-F120-AW121))</f>
        <v/>
      </c>
      <c r="AZ121">
        <f>IF(G120&lt;=0,0,G120*$E$9/12)</f>
        <v/>
      </c>
      <c r="BA121">
        <f>IF(G120&lt;=0,0,MIN(G120+AZ121,$F$9+AY121))</f>
        <v/>
      </c>
      <c r="BB121">
        <f>IF(G120&lt;=0,AY121,MAX(0,$F$9+AY121-G120-AZ121))</f>
        <v/>
      </c>
      <c r="BC121">
        <f>IF(H120&lt;=0,0,H120*$E$10/12)</f>
        <v/>
      </c>
      <c r="BD121">
        <f>IF(H120&lt;=0,0,MIN(H120+BC121,$F$10+BB121))</f>
        <v/>
      </c>
      <c r="BE121">
        <f>IF(H120&lt;=0,BB121,MAX(0,$F$10+BB121-H120-BC121))</f>
        <v/>
      </c>
      <c r="BF121">
        <f>IF(I120&lt;=0,0,I120*$E$11/12)</f>
        <v/>
      </c>
      <c r="BG121">
        <f>IF(I120&lt;=0,0,MIN(I120+BF121,$F$11+BE121))</f>
        <v/>
      </c>
      <c r="BH121">
        <f>IF(I120&lt;=0,BE121,MAX(0,$F$11+BE121-I120-BF121))</f>
        <v/>
      </c>
      <c r="BI121">
        <f>IF(J120&lt;=0,0,J120*$E$12/12)</f>
        <v/>
      </c>
      <c r="BJ121">
        <f>IF(J120&lt;=0,0,MIN(J120+BI121,$F$12+BH121))</f>
        <v/>
      </c>
      <c r="BK121">
        <f>IF(J120&lt;=0,BH121,MAX(0,$F$12+BH121-J120-BI121))</f>
        <v/>
      </c>
      <c r="BL121">
        <f>IF(K120&lt;=0,0,K120*$E$13/12)</f>
        <v/>
      </c>
      <c r="BM121">
        <f>IF(K120&lt;=0,0,MIN(K120+BL121,$F$13+BK121))</f>
        <v/>
      </c>
      <c r="BN121">
        <f>IF(K120&lt;=0,BK121,MAX(0,$F$13+BK121-K120-BL121))</f>
        <v/>
      </c>
      <c r="BO121">
        <f>IF(L120&lt;=0,0,L120*$E$14/12)</f>
        <v/>
      </c>
      <c r="BP121">
        <f>IF(L120&lt;=0,0,MIN(L120+BO121,$F$14+BN121))</f>
        <v/>
      </c>
      <c r="BQ121">
        <f>IF(L120&lt;=0,BN121,MAX(0,$F$14+BN121-L120-BO121))</f>
        <v/>
      </c>
      <c r="BR121">
        <f>IF(M120&lt;=0,0,M120*$E$15/12)</f>
        <v/>
      </c>
      <c r="BS121">
        <f>IF(M120&lt;=0,0,MIN(M120+BR121,$F$15+BQ121))</f>
        <v/>
      </c>
      <c r="BT121">
        <f>IF(M120&lt;=0,BQ121,MAX(0,$F$15+BQ121-M120-BR121))</f>
        <v/>
      </c>
      <c r="BU121">
        <f>IF(N120&lt;=0,0,N120*$E$16/12)</f>
        <v/>
      </c>
      <c r="BV121">
        <f>IF(N120&lt;=0,0,MIN(N120+BU121,$F$16+BT121))</f>
        <v/>
      </c>
      <c r="BW121">
        <f>IF(N120&lt;=0,BT121,MAX(0,$F$16+BT121-N120-BU121))</f>
        <v/>
      </c>
      <c r="BX121">
        <f>IF(O120&lt;=0,0,O120*$E$17/12)</f>
        <v/>
      </c>
      <c r="BY121">
        <f>IF(O120&lt;=0,0,MIN(O120+BX121,$F$17+BW121))</f>
        <v/>
      </c>
      <c r="BZ121">
        <f>IF(O120&lt;=0,BW121,MAX(0,$F$17+BW121-O120-BX121))</f>
        <v/>
      </c>
      <c r="CA121">
        <f>IF(P120&lt;=0,0,P120*$E$18/12)</f>
        <v/>
      </c>
      <c r="CB121">
        <f>IF(P120&lt;=0,0,MIN(P120+CA121,$F$18+BZ121))</f>
        <v/>
      </c>
      <c r="CC121">
        <f>IF(P120&lt;=0,BZ121,MAX(0,$F$18+BZ121-P120-CA121))</f>
        <v/>
      </c>
      <c r="CD121">
        <f>IF(Q120&lt;=0,0,Q120*$E$19/12)</f>
        <v/>
      </c>
      <c r="CE121">
        <f>IF(Q120&lt;=0,0,MIN(Q120+CD121,$F$19+CC121))</f>
        <v/>
      </c>
      <c r="CF121">
        <f>IF(Q120&lt;=0,CC121,MAX(0,$F$19+CC121-Q120-CD121))</f>
        <v/>
      </c>
      <c r="CG121">
        <f>IF(R120&lt;=0,0,R120*$E$20/12)</f>
        <v/>
      </c>
      <c r="CH121">
        <f>IF(R120&lt;=0,0,MIN(R120+CG121,$F$20+CF121))</f>
        <v/>
      </c>
      <c r="CI121">
        <f>IF(R120&lt;=0,CF121,MAX(0,$F$20+CF121-R120-CG121))</f>
        <v/>
      </c>
      <c r="CJ121">
        <f>IF(S120&lt;=0,0,S120*$E$21/12)</f>
        <v/>
      </c>
      <c r="CK121">
        <f>IF(S120&lt;=0,0,MIN(S120+CJ121,$F$21+CI121))</f>
        <v/>
      </c>
      <c r="CL121">
        <f>IF(S120&lt;=0,CI121,MAX(0,$F$21+CI121-S120-CJ121))</f>
        <v/>
      </c>
      <c r="CM121">
        <f>IF(T120&lt;=0,0,T120*$E$22/12)</f>
        <v/>
      </c>
      <c r="CN121">
        <f>IF(T120&lt;=0,0,MIN(T120+CM121,$F$22+CL121))</f>
        <v/>
      </c>
      <c r="CO121">
        <f>IF(T120&lt;=0,CL121,MAX(0,$F$22+CL121-T120-CM121))</f>
        <v/>
      </c>
      <c r="CP121">
        <f>IF(U120&lt;=0,0,U120*$E$23/12)</f>
        <v/>
      </c>
      <c r="CQ121">
        <f>IF(U120&lt;=0,0,MIN(U120+CP121,$F$23+CO121))</f>
        <v/>
      </c>
      <c r="CR121">
        <f>IF(U120&lt;=0,CO121,MAX(0,$F$23+CO121-U120-CP121))</f>
        <v/>
      </c>
      <c r="CS121">
        <f>IF(V120&lt;=0,0,V120*$E$24/12)</f>
        <v/>
      </c>
      <c r="CT121">
        <f>IF(V120&lt;=0,0,MIN(V120+CS121,$F$24+CR121))</f>
        <v/>
      </c>
      <c r="CU121">
        <f>IF(V120&lt;=0,CR121,MAX(0,$F$24+CR121-V120-CS121))</f>
        <v/>
      </c>
    </row>
    <row r="122">
      <c r="B122" s="39" t="n">
        <v>96</v>
      </c>
      <c r="C122" s="13">
        <f>IF(C121&lt;=0,0,MAX(0,C121+AN122-AO122))</f>
        <v/>
      </c>
      <c r="D122" s="13">
        <f>IF(D121&lt;=0,0,MAX(0,D121+AQ122-AR122))</f>
        <v/>
      </c>
      <c r="E122" s="13">
        <f>IF(E121&lt;=0,0,MAX(0,E121+AT122-AU122))</f>
        <v/>
      </c>
      <c r="F122" s="13">
        <f>IF(F121&lt;=0,0,MAX(0,F121+AW122-AX122))</f>
        <v/>
      </c>
      <c r="G122" s="13">
        <f>IF(G121&lt;=0,0,MAX(0,G121+AZ122-BA122))</f>
        <v/>
      </c>
      <c r="H122" s="13">
        <f>IF(H121&lt;=0,0,MAX(0,H121+BC122-BD122))</f>
        <v/>
      </c>
      <c r="I122" s="13">
        <f>IF(I121&lt;=0,0,MAX(0,I121+BF122-BG122))</f>
        <v/>
      </c>
      <c r="J122" s="13">
        <f>IF(J121&lt;=0,0,MAX(0,J121+BI122-BJ122))</f>
        <v/>
      </c>
      <c r="K122" s="13">
        <f>IF(K121&lt;=0,0,MAX(0,K121+BL122-BM122))</f>
        <v/>
      </c>
      <c r="L122" s="13">
        <f>IF(L121&lt;=0,0,MAX(0,L121+BO122-BP122))</f>
        <v/>
      </c>
      <c r="M122" s="13">
        <f>IF(M121&lt;=0,0,MAX(0,M121+BR122-BS122))</f>
        <v/>
      </c>
      <c r="N122" s="13">
        <f>IF(N121&lt;=0,0,MAX(0,N121+BU122-BV122))</f>
        <v/>
      </c>
      <c r="O122" s="13">
        <f>IF(O121&lt;=0,0,MAX(0,O121+BX122-BY122))</f>
        <v/>
      </c>
      <c r="P122" s="13">
        <f>IF(P121&lt;=0,0,MAX(0,P121+CA122-CB122))</f>
        <v/>
      </c>
      <c r="Q122" s="13">
        <f>IF(Q121&lt;=0,0,MAX(0,Q121+CD122-CE122))</f>
        <v/>
      </c>
      <c r="R122" s="13">
        <f>IF(R121&lt;=0,0,MAX(0,R121+CG122-CH122))</f>
        <v/>
      </c>
      <c r="S122" s="13">
        <f>IF(S121&lt;=0,0,MAX(0,S121+CJ122-CK122))</f>
        <v/>
      </c>
      <c r="T122" s="13">
        <f>IF(T121&lt;=0,0,MAX(0,T121+CM122-CN122))</f>
        <v/>
      </c>
      <c r="U122" s="13">
        <f>IF(U121&lt;=0,0,MAX(0,U121+CP122-CQ122))</f>
        <v/>
      </c>
      <c r="V122" s="13">
        <f>IF(V121&lt;=0,0,MAX(0,V121+CS122-CT122))</f>
        <v/>
      </c>
      <c r="W122" s="13">
        <f>AO122+AR122+AU122+AX122+BA122+BD122+BG122+BJ122+BM122+BP122+BS122+BV122+BY122+CB122+CE122+CH122+CK122+CN122+CQ122+CT122</f>
        <v/>
      </c>
      <c r="X122" s="13">
        <f>AN122+AQ122+AT122+AW122+AZ122+BC122+BF122+BI122+BL122+BO122+BR122+BU122+BX122+CA122+CD122+CG122+CJ122+CM122+CP122+CS122</f>
        <v/>
      </c>
      <c r="Y122" s="27">
        <f>C122+D122+E122+F122+G122+H122+I122+J122+K122+L122+M122+N122+O122+P122+Q122+R122+S122+T122+U122+V122</f>
        <v/>
      </c>
      <c r="AN122">
        <f>IF(C121&lt;=0,0,C121*$E$5/12)</f>
        <v/>
      </c>
      <c r="AO122">
        <f>IF(C121&lt;=0,0,MIN(C121+AN122,$F$5+(Dashboard!$C$11+IF(C121&lt;=0,$F$5,0)+IF(D121&lt;=0,$F$6,0)+IF(E121&lt;=0,$F$7,0)+IF(F121&lt;=0,$F$8,0)+IF(G121&lt;=0,$F$9,0)+IF(H121&lt;=0,$F$10,0)+IF(I121&lt;=0,$F$11,0)+IF(J121&lt;=0,$F$12,0)+IF(K121&lt;=0,$F$13,0)+IF(L121&lt;=0,$F$14,0)+IF(M121&lt;=0,$F$15,0)+IF(N121&lt;=0,$F$16,0)+IF(O121&lt;=0,$F$17,0)+IF(P121&lt;=0,$F$18,0)+IF(Q121&lt;=0,$F$19,0)+IF(R121&lt;=0,$F$20,0)+IF(S121&lt;=0,$F$21,0)+IF(T121&lt;=0,$F$22,0)+IF(U121&lt;=0,$F$23,0)+IF(V121&lt;=0,$F$24,0))))</f>
        <v/>
      </c>
      <c r="AP122">
        <f>IF(C121&lt;=0,(Dashboard!$C$11+IF(C121&lt;=0,$F$5,0)+IF(D121&lt;=0,$F$6,0)+IF(E121&lt;=0,$F$7,0)+IF(F121&lt;=0,$F$8,0)+IF(G121&lt;=0,$F$9,0)+IF(H121&lt;=0,$F$10,0)+IF(I121&lt;=0,$F$11,0)+IF(J121&lt;=0,$F$12,0)+IF(K121&lt;=0,$F$13,0)+IF(L121&lt;=0,$F$14,0)+IF(M121&lt;=0,$F$15,0)+IF(N121&lt;=0,$F$16,0)+IF(O121&lt;=0,$F$17,0)+IF(P121&lt;=0,$F$18,0)+IF(Q121&lt;=0,$F$19,0)+IF(R121&lt;=0,$F$20,0)+IF(S121&lt;=0,$F$21,0)+IF(T121&lt;=0,$F$22,0)+IF(U121&lt;=0,$F$23,0)+IF(V121&lt;=0,$F$24,0)),MAX(0,$F$5+(Dashboard!$C$11+IF(C121&lt;=0,$F$5,0)+IF(D121&lt;=0,$F$6,0)+IF(E121&lt;=0,$F$7,0)+IF(F121&lt;=0,$F$8,0)+IF(G121&lt;=0,$F$9,0)+IF(H121&lt;=0,$F$10,0)+IF(I121&lt;=0,$F$11,0)+IF(J121&lt;=0,$F$12,0)+IF(K121&lt;=0,$F$13,0)+IF(L121&lt;=0,$F$14,0)+IF(M121&lt;=0,$F$15,0)+IF(N121&lt;=0,$F$16,0)+IF(O121&lt;=0,$F$17,0)+IF(P121&lt;=0,$F$18,0)+IF(Q121&lt;=0,$F$19,0)+IF(R121&lt;=0,$F$20,0)+IF(S121&lt;=0,$F$21,0)+IF(T121&lt;=0,$F$22,0)+IF(U121&lt;=0,$F$23,0)+IF(V121&lt;=0,$F$24,0))-C121-AN122))</f>
        <v/>
      </c>
      <c r="AQ122">
        <f>IF(D121&lt;=0,0,D121*$E$6/12)</f>
        <v/>
      </c>
      <c r="AR122">
        <f>IF(D121&lt;=0,0,MIN(D121+AQ122,$F$6+AP122))</f>
        <v/>
      </c>
      <c r="AS122">
        <f>IF(D121&lt;=0,AP122,MAX(0,$F$6+AP122-D121-AQ122))</f>
        <v/>
      </c>
      <c r="AT122">
        <f>IF(E121&lt;=0,0,E121*$E$7/12)</f>
        <v/>
      </c>
      <c r="AU122">
        <f>IF(E121&lt;=0,0,MIN(E121+AT122,$F$7+AS122))</f>
        <v/>
      </c>
      <c r="AV122">
        <f>IF(E121&lt;=0,AS122,MAX(0,$F$7+AS122-E121-AT122))</f>
        <v/>
      </c>
      <c r="AW122">
        <f>IF(F121&lt;=0,0,F121*$E$8/12)</f>
        <v/>
      </c>
      <c r="AX122">
        <f>IF(F121&lt;=0,0,MIN(F121+AW122,$F$8+AV122))</f>
        <v/>
      </c>
      <c r="AY122">
        <f>IF(F121&lt;=0,AV122,MAX(0,$F$8+AV122-F121-AW122))</f>
        <v/>
      </c>
      <c r="AZ122">
        <f>IF(G121&lt;=0,0,G121*$E$9/12)</f>
        <v/>
      </c>
      <c r="BA122">
        <f>IF(G121&lt;=0,0,MIN(G121+AZ122,$F$9+AY122))</f>
        <v/>
      </c>
      <c r="BB122">
        <f>IF(G121&lt;=0,AY122,MAX(0,$F$9+AY122-G121-AZ122))</f>
        <v/>
      </c>
      <c r="BC122">
        <f>IF(H121&lt;=0,0,H121*$E$10/12)</f>
        <v/>
      </c>
      <c r="BD122">
        <f>IF(H121&lt;=0,0,MIN(H121+BC122,$F$10+BB122))</f>
        <v/>
      </c>
      <c r="BE122">
        <f>IF(H121&lt;=0,BB122,MAX(0,$F$10+BB122-H121-BC122))</f>
        <v/>
      </c>
      <c r="BF122">
        <f>IF(I121&lt;=0,0,I121*$E$11/12)</f>
        <v/>
      </c>
      <c r="BG122">
        <f>IF(I121&lt;=0,0,MIN(I121+BF122,$F$11+BE122))</f>
        <v/>
      </c>
      <c r="BH122">
        <f>IF(I121&lt;=0,BE122,MAX(0,$F$11+BE122-I121-BF122))</f>
        <v/>
      </c>
      <c r="BI122">
        <f>IF(J121&lt;=0,0,J121*$E$12/12)</f>
        <v/>
      </c>
      <c r="BJ122">
        <f>IF(J121&lt;=0,0,MIN(J121+BI122,$F$12+BH122))</f>
        <v/>
      </c>
      <c r="BK122">
        <f>IF(J121&lt;=0,BH122,MAX(0,$F$12+BH122-J121-BI122))</f>
        <v/>
      </c>
      <c r="BL122">
        <f>IF(K121&lt;=0,0,K121*$E$13/12)</f>
        <v/>
      </c>
      <c r="BM122">
        <f>IF(K121&lt;=0,0,MIN(K121+BL122,$F$13+BK122))</f>
        <v/>
      </c>
      <c r="BN122">
        <f>IF(K121&lt;=0,BK122,MAX(0,$F$13+BK122-K121-BL122))</f>
        <v/>
      </c>
      <c r="BO122">
        <f>IF(L121&lt;=0,0,L121*$E$14/12)</f>
        <v/>
      </c>
      <c r="BP122">
        <f>IF(L121&lt;=0,0,MIN(L121+BO122,$F$14+BN122))</f>
        <v/>
      </c>
      <c r="BQ122">
        <f>IF(L121&lt;=0,BN122,MAX(0,$F$14+BN122-L121-BO122))</f>
        <v/>
      </c>
      <c r="BR122">
        <f>IF(M121&lt;=0,0,M121*$E$15/12)</f>
        <v/>
      </c>
      <c r="BS122">
        <f>IF(M121&lt;=0,0,MIN(M121+BR122,$F$15+BQ122))</f>
        <v/>
      </c>
      <c r="BT122">
        <f>IF(M121&lt;=0,BQ122,MAX(0,$F$15+BQ122-M121-BR122))</f>
        <v/>
      </c>
      <c r="BU122">
        <f>IF(N121&lt;=0,0,N121*$E$16/12)</f>
        <v/>
      </c>
      <c r="BV122">
        <f>IF(N121&lt;=0,0,MIN(N121+BU122,$F$16+BT122))</f>
        <v/>
      </c>
      <c r="BW122">
        <f>IF(N121&lt;=0,BT122,MAX(0,$F$16+BT122-N121-BU122))</f>
        <v/>
      </c>
      <c r="BX122">
        <f>IF(O121&lt;=0,0,O121*$E$17/12)</f>
        <v/>
      </c>
      <c r="BY122">
        <f>IF(O121&lt;=0,0,MIN(O121+BX122,$F$17+BW122))</f>
        <v/>
      </c>
      <c r="BZ122">
        <f>IF(O121&lt;=0,BW122,MAX(0,$F$17+BW122-O121-BX122))</f>
        <v/>
      </c>
      <c r="CA122">
        <f>IF(P121&lt;=0,0,P121*$E$18/12)</f>
        <v/>
      </c>
      <c r="CB122">
        <f>IF(P121&lt;=0,0,MIN(P121+CA122,$F$18+BZ122))</f>
        <v/>
      </c>
      <c r="CC122">
        <f>IF(P121&lt;=0,BZ122,MAX(0,$F$18+BZ122-P121-CA122))</f>
        <v/>
      </c>
      <c r="CD122">
        <f>IF(Q121&lt;=0,0,Q121*$E$19/12)</f>
        <v/>
      </c>
      <c r="CE122">
        <f>IF(Q121&lt;=0,0,MIN(Q121+CD122,$F$19+CC122))</f>
        <v/>
      </c>
      <c r="CF122">
        <f>IF(Q121&lt;=0,CC122,MAX(0,$F$19+CC122-Q121-CD122))</f>
        <v/>
      </c>
      <c r="CG122">
        <f>IF(R121&lt;=0,0,R121*$E$20/12)</f>
        <v/>
      </c>
      <c r="CH122">
        <f>IF(R121&lt;=0,0,MIN(R121+CG122,$F$20+CF122))</f>
        <v/>
      </c>
      <c r="CI122">
        <f>IF(R121&lt;=0,CF122,MAX(0,$F$20+CF122-R121-CG122))</f>
        <v/>
      </c>
      <c r="CJ122">
        <f>IF(S121&lt;=0,0,S121*$E$21/12)</f>
        <v/>
      </c>
      <c r="CK122">
        <f>IF(S121&lt;=0,0,MIN(S121+CJ122,$F$21+CI122))</f>
        <v/>
      </c>
      <c r="CL122">
        <f>IF(S121&lt;=0,CI122,MAX(0,$F$21+CI122-S121-CJ122))</f>
        <v/>
      </c>
      <c r="CM122">
        <f>IF(T121&lt;=0,0,T121*$E$22/12)</f>
        <v/>
      </c>
      <c r="CN122">
        <f>IF(T121&lt;=0,0,MIN(T121+CM122,$F$22+CL122))</f>
        <v/>
      </c>
      <c r="CO122">
        <f>IF(T121&lt;=0,CL122,MAX(0,$F$22+CL122-T121-CM122))</f>
        <v/>
      </c>
      <c r="CP122">
        <f>IF(U121&lt;=0,0,U121*$E$23/12)</f>
        <v/>
      </c>
      <c r="CQ122">
        <f>IF(U121&lt;=0,0,MIN(U121+CP122,$F$23+CO122))</f>
        <v/>
      </c>
      <c r="CR122">
        <f>IF(U121&lt;=0,CO122,MAX(0,$F$23+CO122-U121-CP122))</f>
        <v/>
      </c>
      <c r="CS122">
        <f>IF(V121&lt;=0,0,V121*$E$24/12)</f>
        <v/>
      </c>
      <c r="CT122">
        <f>IF(V121&lt;=0,0,MIN(V121+CS122,$F$24+CR122))</f>
        <v/>
      </c>
      <c r="CU122">
        <f>IF(V121&lt;=0,CR122,MAX(0,$F$24+CR122-V121-CS122))</f>
        <v/>
      </c>
    </row>
    <row r="123">
      <c r="B123" s="39" t="n">
        <v>97</v>
      </c>
      <c r="C123" s="13">
        <f>IF(C122&lt;=0,0,MAX(0,C122+AN123-AO123))</f>
        <v/>
      </c>
      <c r="D123" s="13">
        <f>IF(D122&lt;=0,0,MAX(0,D122+AQ123-AR123))</f>
        <v/>
      </c>
      <c r="E123" s="13">
        <f>IF(E122&lt;=0,0,MAX(0,E122+AT123-AU123))</f>
        <v/>
      </c>
      <c r="F123" s="13">
        <f>IF(F122&lt;=0,0,MAX(0,F122+AW123-AX123))</f>
        <v/>
      </c>
      <c r="G123" s="13">
        <f>IF(G122&lt;=0,0,MAX(0,G122+AZ123-BA123))</f>
        <v/>
      </c>
      <c r="H123" s="13">
        <f>IF(H122&lt;=0,0,MAX(0,H122+BC123-BD123))</f>
        <v/>
      </c>
      <c r="I123" s="13">
        <f>IF(I122&lt;=0,0,MAX(0,I122+BF123-BG123))</f>
        <v/>
      </c>
      <c r="J123" s="13">
        <f>IF(J122&lt;=0,0,MAX(0,J122+BI123-BJ123))</f>
        <v/>
      </c>
      <c r="K123" s="13">
        <f>IF(K122&lt;=0,0,MAX(0,K122+BL123-BM123))</f>
        <v/>
      </c>
      <c r="L123" s="13">
        <f>IF(L122&lt;=0,0,MAX(0,L122+BO123-BP123))</f>
        <v/>
      </c>
      <c r="M123" s="13">
        <f>IF(M122&lt;=0,0,MAX(0,M122+BR123-BS123))</f>
        <v/>
      </c>
      <c r="N123" s="13">
        <f>IF(N122&lt;=0,0,MAX(0,N122+BU123-BV123))</f>
        <v/>
      </c>
      <c r="O123" s="13">
        <f>IF(O122&lt;=0,0,MAX(0,O122+BX123-BY123))</f>
        <v/>
      </c>
      <c r="P123" s="13">
        <f>IF(P122&lt;=0,0,MAX(0,P122+CA123-CB123))</f>
        <v/>
      </c>
      <c r="Q123" s="13">
        <f>IF(Q122&lt;=0,0,MAX(0,Q122+CD123-CE123))</f>
        <v/>
      </c>
      <c r="R123" s="13">
        <f>IF(R122&lt;=0,0,MAX(0,R122+CG123-CH123))</f>
        <v/>
      </c>
      <c r="S123" s="13">
        <f>IF(S122&lt;=0,0,MAX(0,S122+CJ123-CK123))</f>
        <v/>
      </c>
      <c r="T123" s="13">
        <f>IF(T122&lt;=0,0,MAX(0,T122+CM123-CN123))</f>
        <v/>
      </c>
      <c r="U123" s="13">
        <f>IF(U122&lt;=0,0,MAX(0,U122+CP123-CQ123))</f>
        <v/>
      </c>
      <c r="V123" s="13">
        <f>IF(V122&lt;=0,0,MAX(0,V122+CS123-CT123))</f>
        <v/>
      </c>
      <c r="W123" s="13">
        <f>AO123+AR123+AU123+AX123+BA123+BD123+BG123+BJ123+BM123+BP123+BS123+BV123+BY123+CB123+CE123+CH123+CK123+CN123+CQ123+CT123</f>
        <v/>
      </c>
      <c r="X123" s="13">
        <f>AN123+AQ123+AT123+AW123+AZ123+BC123+BF123+BI123+BL123+BO123+BR123+BU123+BX123+CA123+CD123+CG123+CJ123+CM123+CP123+CS123</f>
        <v/>
      </c>
      <c r="Y123" s="27">
        <f>C123+D123+E123+F123+G123+H123+I123+J123+K123+L123+M123+N123+O123+P123+Q123+R123+S123+T123+U123+V123</f>
        <v/>
      </c>
      <c r="AN123">
        <f>IF(C122&lt;=0,0,C122*$E$5/12)</f>
        <v/>
      </c>
      <c r="AO123">
        <f>IF(C122&lt;=0,0,MIN(C122+AN123,$F$5+(Dashboard!$C$11+IF(C122&lt;=0,$F$5,0)+IF(D122&lt;=0,$F$6,0)+IF(E122&lt;=0,$F$7,0)+IF(F122&lt;=0,$F$8,0)+IF(G122&lt;=0,$F$9,0)+IF(H122&lt;=0,$F$10,0)+IF(I122&lt;=0,$F$11,0)+IF(J122&lt;=0,$F$12,0)+IF(K122&lt;=0,$F$13,0)+IF(L122&lt;=0,$F$14,0)+IF(M122&lt;=0,$F$15,0)+IF(N122&lt;=0,$F$16,0)+IF(O122&lt;=0,$F$17,0)+IF(P122&lt;=0,$F$18,0)+IF(Q122&lt;=0,$F$19,0)+IF(R122&lt;=0,$F$20,0)+IF(S122&lt;=0,$F$21,0)+IF(T122&lt;=0,$F$22,0)+IF(U122&lt;=0,$F$23,0)+IF(V122&lt;=0,$F$24,0))))</f>
        <v/>
      </c>
      <c r="AP123">
        <f>IF(C122&lt;=0,(Dashboard!$C$11+IF(C122&lt;=0,$F$5,0)+IF(D122&lt;=0,$F$6,0)+IF(E122&lt;=0,$F$7,0)+IF(F122&lt;=0,$F$8,0)+IF(G122&lt;=0,$F$9,0)+IF(H122&lt;=0,$F$10,0)+IF(I122&lt;=0,$F$11,0)+IF(J122&lt;=0,$F$12,0)+IF(K122&lt;=0,$F$13,0)+IF(L122&lt;=0,$F$14,0)+IF(M122&lt;=0,$F$15,0)+IF(N122&lt;=0,$F$16,0)+IF(O122&lt;=0,$F$17,0)+IF(P122&lt;=0,$F$18,0)+IF(Q122&lt;=0,$F$19,0)+IF(R122&lt;=0,$F$20,0)+IF(S122&lt;=0,$F$21,0)+IF(T122&lt;=0,$F$22,0)+IF(U122&lt;=0,$F$23,0)+IF(V122&lt;=0,$F$24,0)),MAX(0,$F$5+(Dashboard!$C$11+IF(C122&lt;=0,$F$5,0)+IF(D122&lt;=0,$F$6,0)+IF(E122&lt;=0,$F$7,0)+IF(F122&lt;=0,$F$8,0)+IF(G122&lt;=0,$F$9,0)+IF(H122&lt;=0,$F$10,0)+IF(I122&lt;=0,$F$11,0)+IF(J122&lt;=0,$F$12,0)+IF(K122&lt;=0,$F$13,0)+IF(L122&lt;=0,$F$14,0)+IF(M122&lt;=0,$F$15,0)+IF(N122&lt;=0,$F$16,0)+IF(O122&lt;=0,$F$17,0)+IF(P122&lt;=0,$F$18,0)+IF(Q122&lt;=0,$F$19,0)+IF(R122&lt;=0,$F$20,0)+IF(S122&lt;=0,$F$21,0)+IF(T122&lt;=0,$F$22,0)+IF(U122&lt;=0,$F$23,0)+IF(V122&lt;=0,$F$24,0))-C122-AN123))</f>
        <v/>
      </c>
      <c r="AQ123">
        <f>IF(D122&lt;=0,0,D122*$E$6/12)</f>
        <v/>
      </c>
      <c r="AR123">
        <f>IF(D122&lt;=0,0,MIN(D122+AQ123,$F$6+AP123))</f>
        <v/>
      </c>
      <c r="AS123">
        <f>IF(D122&lt;=0,AP123,MAX(0,$F$6+AP123-D122-AQ123))</f>
        <v/>
      </c>
      <c r="AT123">
        <f>IF(E122&lt;=0,0,E122*$E$7/12)</f>
        <v/>
      </c>
      <c r="AU123">
        <f>IF(E122&lt;=0,0,MIN(E122+AT123,$F$7+AS123))</f>
        <v/>
      </c>
      <c r="AV123">
        <f>IF(E122&lt;=0,AS123,MAX(0,$F$7+AS123-E122-AT123))</f>
        <v/>
      </c>
      <c r="AW123">
        <f>IF(F122&lt;=0,0,F122*$E$8/12)</f>
        <v/>
      </c>
      <c r="AX123">
        <f>IF(F122&lt;=0,0,MIN(F122+AW123,$F$8+AV123))</f>
        <v/>
      </c>
      <c r="AY123">
        <f>IF(F122&lt;=0,AV123,MAX(0,$F$8+AV123-F122-AW123))</f>
        <v/>
      </c>
      <c r="AZ123">
        <f>IF(G122&lt;=0,0,G122*$E$9/12)</f>
        <v/>
      </c>
      <c r="BA123">
        <f>IF(G122&lt;=0,0,MIN(G122+AZ123,$F$9+AY123))</f>
        <v/>
      </c>
      <c r="BB123">
        <f>IF(G122&lt;=0,AY123,MAX(0,$F$9+AY123-G122-AZ123))</f>
        <v/>
      </c>
      <c r="BC123">
        <f>IF(H122&lt;=0,0,H122*$E$10/12)</f>
        <v/>
      </c>
      <c r="BD123">
        <f>IF(H122&lt;=0,0,MIN(H122+BC123,$F$10+BB123))</f>
        <v/>
      </c>
      <c r="BE123">
        <f>IF(H122&lt;=0,BB123,MAX(0,$F$10+BB123-H122-BC123))</f>
        <v/>
      </c>
      <c r="BF123">
        <f>IF(I122&lt;=0,0,I122*$E$11/12)</f>
        <v/>
      </c>
      <c r="BG123">
        <f>IF(I122&lt;=0,0,MIN(I122+BF123,$F$11+BE123))</f>
        <v/>
      </c>
      <c r="BH123">
        <f>IF(I122&lt;=0,BE123,MAX(0,$F$11+BE123-I122-BF123))</f>
        <v/>
      </c>
      <c r="BI123">
        <f>IF(J122&lt;=0,0,J122*$E$12/12)</f>
        <v/>
      </c>
      <c r="BJ123">
        <f>IF(J122&lt;=0,0,MIN(J122+BI123,$F$12+BH123))</f>
        <v/>
      </c>
      <c r="BK123">
        <f>IF(J122&lt;=0,BH123,MAX(0,$F$12+BH123-J122-BI123))</f>
        <v/>
      </c>
      <c r="BL123">
        <f>IF(K122&lt;=0,0,K122*$E$13/12)</f>
        <v/>
      </c>
      <c r="BM123">
        <f>IF(K122&lt;=0,0,MIN(K122+BL123,$F$13+BK123))</f>
        <v/>
      </c>
      <c r="BN123">
        <f>IF(K122&lt;=0,BK123,MAX(0,$F$13+BK123-K122-BL123))</f>
        <v/>
      </c>
      <c r="BO123">
        <f>IF(L122&lt;=0,0,L122*$E$14/12)</f>
        <v/>
      </c>
      <c r="BP123">
        <f>IF(L122&lt;=0,0,MIN(L122+BO123,$F$14+BN123))</f>
        <v/>
      </c>
      <c r="BQ123">
        <f>IF(L122&lt;=0,BN123,MAX(0,$F$14+BN123-L122-BO123))</f>
        <v/>
      </c>
      <c r="BR123">
        <f>IF(M122&lt;=0,0,M122*$E$15/12)</f>
        <v/>
      </c>
      <c r="BS123">
        <f>IF(M122&lt;=0,0,MIN(M122+BR123,$F$15+BQ123))</f>
        <v/>
      </c>
      <c r="BT123">
        <f>IF(M122&lt;=0,BQ123,MAX(0,$F$15+BQ123-M122-BR123))</f>
        <v/>
      </c>
      <c r="BU123">
        <f>IF(N122&lt;=0,0,N122*$E$16/12)</f>
        <v/>
      </c>
      <c r="BV123">
        <f>IF(N122&lt;=0,0,MIN(N122+BU123,$F$16+BT123))</f>
        <v/>
      </c>
      <c r="BW123">
        <f>IF(N122&lt;=0,BT123,MAX(0,$F$16+BT123-N122-BU123))</f>
        <v/>
      </c>
      <c r="BX123">
        <f>IF(O122&lt;=0,0,O122*$E$17/12)</f>
        <v/>
      </c>
      <c r="BY123">
        <f>IF(O122&lt;=0,0,MIN(O122+BX123,$F$17+BW123))</f>
        <v/>
      </c>
      <c r="BZ123">
        <f>IF(O122&lt;=0,BW123,MAX(0,$F$17+BW123-O122-BX123))</f>
        <v/>
      </c>
      <c r="CA123">
        <f>IF(P122&lt;=0,0,P122*$E$18/12)</f>
        <v/>
      </c>
      <c r="CB123">
        <f>IF(P122&lt;=0,0,MIN(P122+CA123,$F$18+BZ123))</f>
        <v/>
      </c>
      <c r="CC123">
        <f>IF(P122&lt;=0,BZ123,MAX(0,$F$18+BZ123-P122-CA123))</f>
        <v/>
      </c>
      <c r="CD123">
        <f>IF(Q122&lt;=0,0,Q122*$E$19/12)</f>
        <v/>
      </c>
      <c r="CE123">
        <f>IF(Q122&lt;=0,0,MIN(Q122+CD123,$F$19+CC123))</f>
        <v/>
      </c>
      <c r="CF123">
        <f>IF(Q122&lt;=0,CC123,MAX(0,$F$19+CC123-Q122-CD123))</f>
        <v/>
      </c>
      <c r="CG123">
        <f>IF(R122&lt;=0,0,R122*$E$20/12)</f>
        <v/>
      </c>
      <c r="CH123">
        <f>IF(R122&lt;=0,0,MIN(R122+CG123,$F$20+CF123))</f>
        <v/>
      </c>
      <c r="CI123">
        <f>IF(R122&lt;=0,CF123,MAX(0,$F$20+CF123-R122-CG123))</f>
        <v/>
      </c>
      <c r="CJ123">
        <f>IF(S122&lt;=0,0,S122*$E$21/12)</f>
        <v/>
      </c>
      <c r="CK123">
        <f>IF(S122&lt;=0,0,MIN(S122+CJ123,$F$21+CI123))</f>
        <v/>
      </c>
      <c r="CL123">
        <f>IF(S122&lt;=0,CI123,MAX(0,$F$21+CI123-S122-CJ123))</f>
        <v/>
      </c>
      <c r="CM123">
        <f>IF(T122&lt;=0,0,T122*$E$22/12)</f>
        <v/>
      </c>
      <c r="CN123">
        <f>IF(T122&lt;=0,0,MIN(T122+CM123,$F$22+CL123))</f>
        <v/>
      </c>
      <c r="CO123">
        <f>IF(T122&lt;=0,CL123,MAX(0,$F$22+CL123-T122-CM123))</f>
        <v/>
      </c>
      <c r="CP123">
        <f>IF(U122&lt;=0,0,U122*$E$23/12)</f>
        <v/>
      </c>
      <c r="CQ123">
        <f>IF(U122&lt;=0,0,MIN(U122+CP123,$F$23+CO123))</f>
        <v/>
      </c>
      <c r="CR123">
        <f>IF(U122&lt;=0,CO123,MAX(0,$F$23+CO123-U122-CP123))</f>
        <v/>
      </c>
      <c r="CS123">
        <f>IF(V122&lt;=0,0,V122*$E$24/12)</f>
        <v/>
      </c>
      <c r="CT123">
        <f>IF(V122&lt;=0,0,MIN(V122+CS123,$F$24+CR123))</f>
        <v/>
      </c>
      <c r="CU123">
        <f>IF(V122&lt;=0,CR123,MAX(0,$F$24+CR123-V122-CS123))</f>
        <v/>
      </c>
    </row>
    <row r="124">
      <c r="B124" s="39" t="n">
        <v>98</v>
      </c>
      <c r="C124" s="13">
        <f>IF(C123&lt;=0,0,MAX(0,C123+AN124-AO124))</f>
        <v/>
      </c>
      <c r="D124" s="13">
        <f>IF(D123&lt;=0,0,MAX(0,D123+AQ124-AR124))</f>
        <v/>
      </c>
      <c r="E124" s="13">
        <f>IF(E123&lt;=0,0,MAX(0,E123+AT124-AU124))</f>
        <v/>
      </c>
      <c r="F124" s="13">
        <f>IF(F123&lt;=0,0,MAX(0,F123+AW124-AX124))</f>
        <v/>
      </c>
      <c r="G124" s="13">
        <f>IF(G123&lt;=0,0,MAX(0,G123+AZ124-BA124))</f>
        <v/>
      </c>
      <c r="H124" s="13">
        <f>IF(H123&lt;=0,0,MAX(0,H123+BC124-BD124))</f>
        <v/>
      </c>
      <c r="I124" s="13">
        <f>IF(I123&lt;=0,0,MAX(0,I123+BF124-BG124))</f>
        <v/>
      </c>
      <c r="J124" s="13">
        <f>IF(J123&lt;=0,0,MAX(0,J123+BI124-BJ124))</f>
        <v/>
      </c>
      <c r="K124" s="13">
        <f>IF(K123&lt;=0,0,MAX(0,K123+BL124-BM124))</f>
        <v/>
      </c>
      <c r="L124" s="13">
        <f>IF(L123&lt;=0,0,MAX(0,L123+BO124-BP124))</f>
        <v/>
      </c>
      <c r="M124" s="13">
        <f>IF(M123&lt;=0,0,MAX(0,M123+BR124-BS124))</f>
        <v/>
      </c>
      <c r="N124" s="13">
        <f>IF(N123&lt;=0,0,MAX(0,N123+BU124-BV124))</f>
        <v/>
      </c>
      <c r="O124" s="13">
        <f>IF(O123&lt;=0,0,MAX(0,O123+BX124-BY124))</f>
        <v/>
      </c>
      <c r="P124" s="13">
        <f>IF(P123&lt;=0,0,MAX(0,P123+CA124-CB124))</f>
        <v/>
      </c>
      <c r="Q124" s="13">
        <f>IF(Q123&lt;=0,0,MAX(0,Q123+CD124-CE124))</f>
        <v/>
      </c>
      <c r="R124" s="13">
        <f>IF(R123&lt;=0,0,MAX(0,R123+CG124-CH124))</f>
        <v/>
      </c>
      <c r="S124" s="13">
        <f>IF(S123&lt;=0,0,MAX(0,S123+CJ124-CK124))</f>
        <v/>
      </c>
      <c r="T124" s="13">
        <f>IF(T123&lt;=0,0,MAX(0,T123+CM124-CN124))</f>
        <v/>
      </c>
      <c r="U124" s="13">
        <f>IF(U123&lt;=0,0,MAX(0,U123+CP124-CQ124))</f>
        <v/>
      </c>
      <c r="V124" s="13">
        <f>IF(V123&lt;=0,0,MAX(0,V123+CS124-CT124))</f>
        <v/>
      </c>
      <c r="W124" s="13">
        <f>AO124+AR124+AU124+AX124+BA124+BD124+BG124+BJ124+BM124+BP124+BS124+BV124+BY124+CB124+CE124+CH124+CK124+CN124+CQ124+CT124</f>
        <v/>
      </c>
      <c r="X124" s="13">
        <f>AN124+AQ124+AT124+AW124+AZ124+BC124+BF124+BI124+BL124+BO124+BR124+BU124+BX124+CA124+CD124+CG124+CJ124+CM124+CP124+CS124</f>
        <v/>
      </c>
      <c r="Y124" s="27">
        <f>C124+D124+E124+F124+G124+H124+I124+J124+K124+L124+M124+N124+O124+P124+Q124+R124+S124+T124+U124+V124</f>
        <v/>
      </c>
      <c r="AN124">
        <f>IF(C123&lt;=0,0,C123*$E$5/12)</f>
        <v/>
      </c>
      <c r="AO124">
        <f>IF(C123&lt;=0,0,MIN(C123+AN124,$F$5+(Dashboard!$C$11+IF(C123&lt;=0,$F$5,0)+IF(D123&lt;=0,$F$6,0)+IF(E123&lt;=0,$F$7,0)+IF(F123&lt;=0,$F$8,0)+IF(G123&lt;=0,$F$9,0)+IF(H123&lt;=0,$F$10,0)+IF(I123&lt;=0,$F$11,0)+IF(J123&lt;=0,$F$12,0)+IF(K123&lt;=0,$F$13,0)+IF(L123&lt;=0,$F$14,0)+IF(M123&lt;=0,$F$15,0)+IF(N123&lt;=0,$F$16,0)+IF(O123&lt;=0,$F$17,0)+IF(P123&lt;=0,$F$18,0)+IF(Q123&lt;=0,$F$19,0)+IF(R123&lt;=0,$F$20,0)+IF(S123&lt;=0,$F$21,0)+IF(T123&lt;=0,$F$22,0)+IF(U123&lt;=0,$F$23,0)+IF(V123&lt;=0,$F$24,0))))</f>
        <v/>
      </c>
      <c r="AP124">
        <f>IF(C123&lt;=0,(Dashboard!$C$11+IF(C123&lt;=0,$F$5,0)+IF(D123&lt;=0,$F$6,0)+IF(E123&lt;=0,$F$7,0)+IF(F123&lt;=0,$F$8,0)+IF(G123&lt;=0,$F$9,0)+IF(H123&lt;=0,$F$10,0)+IF(I123&lt;=0,$F$11,0)+IF(J123&lt;=0,$F$12,0)+IF(K123&lt;=0,$F$13,0)+IF(L123&lt;=0,$F$14,0)+IF(M123&lt;=0,$F$15,0)+IF(N123&lt;=0,$F$16,0)+IF(O123&lt;=0,$F$17,0)+IF(P123&lt;=0,$F$18,0)+IF(Q123&lt;=0,$F$19,0)+IF(R123&lt;=0,$F$20,0)+IF(S123&lt;=0,$F$21,0)+IF(T123&lt;=0,$F$22,0)+IF(U123&lt;=0,$F$23,0)+IF(V123&lt;=0,$F$24,0)),MAX(0,$F$5+(Dashboard!$C$11+IF(C123&lt;=0,$F$5,0)+IF(D123&lt;=0,$F$6,0)+IF(E123&lt;=0,$F$7,0)+IF(F123&lt;=0,$F$8,0)+IF(G123&lt;=0,$F$9,0)+IF(H123&lt;=0,$F$10,0)+IF(I123&lt;=0,$F$11,0)+IF(J123&lt;=0,$F$12,0)+IF(K123&lt;=0,$F$13,0)+IF(L123&lt;=0,$F$14,0)+IF(M123&lt;=0,$F$15,0)+IF(N123&lt;=0,$F$16,0)+IF(O123&lt;=0,$F$17,0)+IF(P123&lt;=0,$F$18,0)+IF(Q123&lt;=0,$F$19,0)+IF(R123&lt;=0,$F$20,0)+IF(S123&lt;=0,$F$21,0)+IF(T123&lt;=0,$F$22,0)+IF(U123&lt;=0,$F$23,0)+IF(V123&lt;=0,$F$24,0))-C123-AN124))</f>
        <v/>
      </c>
      <c r="AQ124">
        <f>IF(D123&lt;=0,0,D123*$E$6/12)</f>
        <v/>
      </c>
      <c r="AR124">
        <f>IF(D123&lt;=0,0,MIN(D123+AQ124,$F$6+AP124))</f>
        <v/>
      </c>
      <c r="AS124">
        <f>IF(D123&lt;=0,AP124,MAX(0,$F$6+AP124-D123-AQ124))</f>
        <v/>
      </c>
      <c r="AT124">
        <f>IF(E123&lt;=0,0,E123*$E$7/12)</f>
        <v/>
      </c>
      <c r="AU124">
        <f>IF(E123&lt;=0,0,MIN(E123+AT124,$F$7+AS124))</f>
        <v/>
      </c>
      <c r="AV124">
        <f>IF(E123&lt;=0,AS124,MAX(0,$F$7+AS124-E123-AT124))</f>
        <v/>
      </c>
      <c r="AW124">
        <f>IF(F123&lt;=0,0,F123*$E$8/12)</f>
        <v/>
      </c>
      <c r="AX124">
        <f>IF(F123&lt;=0,0,MIN(F123+AW124,$F$8+AV124))</f>
        <v/>
      </c>
      <c r="AY124">
        <f>IF(F123&lt;=0,AV124,MAX(0,$F$8+AV124-F123-AW124))</f>
        <v/>
      </c>
      <c r="AZ124">
        <f>IF(G123&lt;=0,0,G123*$E$9/12)</f>
        <v/>
      </c>
      <c r="BA124">
        <f>IF(G123&lt;=0,0,MIN(G123+AZ124,$F$9+AY124))</f>
        <v/>
      </c>
      <c r="BB124">
        <f>IF(G123&lt;=0,AY124,MAX(0,$F$9+AY124-G123-AZ124))</f>
        <v/>
      </c>
      <c r="BC124">
        <f>IF(H123&lt;=0,0,H123*$E$10/12)</f>
        <v/>
      </c>
      <c r="BD124">
        <f>IF(H123&lt;=0,0,MIN(H123+BC124,$F$10+BB124))</f>
        <v/>
      </c>
      <c r="BE124">
        <f>IF(H123&lt;=0,BB124,MAX(0,$F$10+BB124-H123-BC124))</f>
        <v/>
      </c>
      <c r="BF124">
        <f>IF(I123&lt;=0,0,I123*$E$11/12)</f>
        <v/>
      </c>
      <c r="BG124">
        <f>IF(I123&lt;=0,0,MIN(I123+BF124,$F$11+BE124))</f>
        <v/>
      </c>
      <c r="BH124">
        <f>IF(I123&lt;=0,BE124,MAX(0,$F$11+BE124-I123-BF124))</f>
        <v/>
      </c>
      <c r="BI124">
        <f>IF(J123&lt;=0,0,J123*$E$12/12)</f>
        <v/>
      </c>
      <c r="BJ124">
        <f>IF(J123&lt;=0,0,MIN(J123+BI124,$F$12+BH124))</f>
        <v/>
      </c>
      <c r="BK124">
        <f>IF(J123&lt;=0,BH124,MAX(0,$F$12+BH124-J123-BI124))</f>
        <v/>
      </c>
      <c r="BL124">
        <f>IF(K123&lt;=0,0,K123*$E$13/12)</f>
        <v/>
      </c>
      <c r="BM124">
        <f>IF(K123&lt;=0,0,MIN(K123+BL124,$F$13+BK124))</f>
        <v/>
      </c>
      <c r="BN124">
        <f>IF(K123&lt;=0,BK124,MAX(0,$F$13+BK124-K123-BL124))</f>
        <v/>
      </c>
      <c r="BO124">
        <f>IF(L123&lt;=0,0,L123*$E$14/12)</f>
        <v/>
      </c>
      <c r="BP124">
        <f>IF(L123&lt;=0,0,MIN(L123+BO124,$F$14+BN124))</f>
        <v/>
      </c>
      <c r="BQ124">
        <f>IF(L123&lt;=0,BN124,MAX(0,$F$14+BN124-L123-BO124))</f>
        <v/>
      </c>
      <c r="BR124">
        <f>IF(M123&lt;=0,0,M123*$E$15/12)</f>
        <v/>
      </c>
      <c r="BS124">
        <f>IF(M123&lt;=0,0,MIN(M123+BR124,$F$15+BQ124))</f>
        <v/>
      </c>
      <c r="BT124">
        <f>IF(M123&lt;=0,BQ124,MAX(0,$F$15+BQ124-M123-BR124))</f>
        <v/>
      </c>
      <c r="BU124">
        <f>IF(N123&lt;=0,0,N123*$E$16/12)</f>
        <v/>
      </c>
      <c r="BV124">
        <f>IF(N123&lt;=0,0,MIN(N123+BU124,$F$16+BT124))</f>
        <v/>
      </c>
      <c r="BW124">
        <f>IF(N123&lt;=0,BT124,MAX(0,$F$16+BT124-N123-BU124))</f>
        <v/>
      </c>
      <c r="BX124">
        <f>IF(O123&lt;=0,0,O123*$E$17/12)</f>
        <v/>
      </c>
      <c r="BY124">
        <f>IF(O123&lt;=0,0,MIN(O123+BX124,$F$17+BW124))</f>
        <v/>
      </c>
      <c r="BZ124">
        <f>IF(O123&lt;=0,BW124,MAX(0,$F$17+BW124-O123-BX124))</f>
        <v/>
      </c>
      <c r="CA124">
        <f>IF(P123&lt;=0,0,P123*$E$18/12)</f>
        <v/>
      </c>
      <c r="CB124">
        <f>IF(P123&lt;=0,0,MIN(P123+CA124,$F$18+BZ124))</f>
        <v/>
      </c>
      <c r="CC124">
        <f>IF(P123&lt;=0,BZ124,MAX(0,$F$18+BZ124-P123-CA124))</f>
        <v/>
      </c>
      <c r="CD124">
        <f>IF(Q123&lt;=0,0,Q123*$E$19/12)</f>
        <v/>
      </c>
      <c r="CE124">
        <f>IF(Q123&lt;=0,0,MIN(Q123+CD124,$F$19+CC124))</f>
        <v/>
      </c>
      <c r="CF124">
        <f>IF(Q123&lt;=0,CC124,MAX(0,$F$19+CC124-Q123-CD124))</f>
        <v/>
      </c>
      <c r="CG124">
        <f>IF(R123&lt;=0,0,R123*$E$20/12)</f>
        <v/>
      </c>
      <c r="CH124">
        <f>IF(R123&lt;=0,0,MIN(R123+CG124,$F$20+CF124))</f>
        <v/>
      </c>
      <c r="CI124">
        <f>IF(R123&lt;=0,CF124,MAX(0,$F$20+CF124-R123-CG124))</f>
        <v/>
      </c>
      <c r="CJ124">
        <f>IF(S123&lt;=0,0,S123*$E$21/12)</f>
        <v/>
      </c>
      <c r="CK124">
        <f>IF(S123&lt;=0,0,MIN(S123+CJ124,$F$21+CI124))</f>
        <v/>
      </c>
      <c r="CL124">
        <f>IF(S123&lt;=0,CI124,MAX(0,$F$21+CI124-S123-CJ124))</f>
        <v/>
      </c>
      <c r="CM124">
        <f>IF(T123&lt;=0,0,T123*$E$22/12)</f>
        <v/>
      </c>
      <c r="CN124">
        <f>IF(T123&lt;=0,0,MIN(T123+CM124,$F$22+CL124))</f>
        <v/>
      </c>
      <c r="CO124">
        <f>IF(T123&lt;=0,CL124,MAX(0,$F$22+CL124-T123-CM124))</f>
        <v/>
      </c>
      <c r="CP124">
        <f>IF(U123&lt;=0,0,U123*$E$23/12)</f>
        <v/>
      </c>
      <c r="CQ124">
        <f>IF(U123&lt;=0,0,MIN(U123+CP124,$F$23+CO124))</f>
        <v/>
      </c>
      <c r="CR124">
        <f>IF(U123&lt;=0,CO124,MAX(0,$F$23+CO124-U123-CP124))</f>
        <v/>
      </c>
      <c r="CS124">
        <f>IF(V123&lt;=0,0,V123*$E$24/12)</f>
        <v/>
      </c>
      <c r="CT124">
        <f>IF(V123&lt;=0,0,MIN(V123+CS124,$F$24+CR124))</f>
        <v/>
      </c>
      <c r="CU124">
        <f>IF(V123&lt;=0,CR124,MAX(0,$F$24+CR124-V123-CS124))</f>
        <v/>
      </c>
    </row>
    <row r="125">
      <c r="B125" s="39" t="n">
        <v>99</v>
      </c>
      <c r="C125" s="13">
        <f>IF(C124&lt;=0,0,MAX(0,C124+AN125-AO125))</f>
        <v/>
      </c>
      <c r="D125" s="13">
        <f>IF(D124&lt;=0,0,MAX(0,D124+AQ125-AR125))</f>
        <v/>
      </c>
      <c r="E125" s="13">
        <f>IF(E124&lt;=0,0,MAX(0,E124+AT125-AU125))</f>
        <v/>
      </c>
      <c r="F125" s="13">
        <f>IF(F124&lt;=0,0,MAX(0,F124+AW125-AX125))</f>
        <v/>
      </c>
      <c r="G125" s="13">
        <f>IF(G124&lt;=0,0,MAX(0,G124+AZ125-BA125))</f>
        <v/>
      </c>
      <c r="H125" s="13">
        <f>IF(H124&lt;=0,0,MAX(0,H124+BC125-BD125))</f>
        <v/>
      </c>
      <c r="I125" s="13">
        <f>IF(I124&lt;=0,0,MAX(0,I124+BF125-BG125))</f>
        <v/>
      </c>
      <c r="J125" s="13">
        <f>IF(J124&lt;=0,0,MAX(0,J124+BI125-BJ125))</f>
        <v/>
      </c>
      <c r="K125" s="13">
        <f>IF(K124&lt;=0,0,MAX(0,K124+BL125-BM125))</f>
        <v/>
      </c>
      <c r="L125" s="13">
        <f>IF(L124&lt;=0,0,MAX(0,L124+BO125-BP125))</f>
        <v/>
      </c>
      <c r="M125" s="13">
        <f>IF(M124&lt;=0,0,MAX(0,M124+BR125-BS125))</f>
        <v/>
      </c>
      <c r="N125" s="13">
        <f>IF(N124&lt;=0,0,MAX(0,N124+BU125-BV125))</f>
        <v/>
      </c>
      <c r="O125" s="13">
        <f>IF(O124&lt;=0,0,MAX(0,O124+BX125-BY125))</f>
        <v/>
      </c>
      <c r="P125" s="13">
        <f>IF(P124&lt;=0,0,MAX(0,P124+CA125-CB125))</f>
        <v/>
      </c>
      <c r="Q125" s="13">
        <f>IF(Q124&lt;=0,0,MAX(0,Q124+CD125-CE125))</f>
        <v/>
      </c>
      <c r="R125" s="13">
        <f>IF(R124&lt;=0,0,MAX(0,R124+CG125-CH125))</f>
        <v/>
      </c>
      <c r="S125" s="13">
        <f>IF(S124&lt;=0,0,MAX(0,S124+CJ125-CK125))</f>
        <v/>
      </c>
      <c r="T125" s="13">
        <f>IF(T124&lt;=0,0,MAX(0,T124+CM125-CN125))</f>
        <v/>
      </c>
      <c r="U125" s="13">
        <f>IF(U124&lt;=0,0,MAX(0,U124+CP125-CQ125))</f>
        <v/>
      </c>
      <c r="V125" s="13">
        <f>IF(V124&lt;=0,0,MAX(0,V124+CS125-CT125))</f>
        <v/>
      </c>
      <c r="W125" s="13">
        <f>AO125+AR125+AU125+AX125+BA125+BD125+BG125+BJ125+BM125+BP125+BS125+BV125+BY125+CB125+CE125+CH125+CK125+CN125+CQ125+CT125</f>
        <v/>
      </c>
      <c r="X125" s="13">
        <f>AN125+AQ125+AT125+AW125+AZ125+BC125+BF125+BI125+BL125+BO125+BR125+BU125+BX125+CA125+CD125+CG125+CJ125+CM125+CP125+CS125</f>
        <v/>
      </c>
      <c r="Y125" s="27">
        <f>C125+D125+E125+F125+G125+H125+I125+J125+K125+L125+M125+N125+O125+P125+Q125+R125+S125+T125+U125+V125</f>
        <v/>
      </c>
      <c r="AN125">
        <f>IF(C124&lt;=0,0,C124*$E$5/12)</f>
        <v/>
      </c>
      <c r="AO125">
        <f>IF(C124&lt;=0,0,MIN(C124+AN125,$F$5+(Dashboard!$C$11+IF(C124&lt;=0,$F$5,0)+IF(D124&lt;=0,$F$6,0)+IF(E124&lt;=0,$F$7,0)+IF(F124&lt;=0,$F$8,0)+IF(G124&lt;=0,$F$9,0)+IF(H124&lt;=0,$F$10,0)+IF(I124&lt;=0,$F$11,0)+IF(J124&lt;=0,$F$12,0)+IF(K124&lt;=0,$F$13,0)+IF(L124&lt;=0,$F$14,0)+IF(M124&lt;=0,$F$15,0)+IF(N124&lt;=0,$F$16,0)+IF(O124&lt;=0,$F$17,0)+IF(P124&lt;=0,$F$18,0)+IF(Q124&lt;=0,$F$19,0)+IF(R124&lt;=0,$F$20,0)+IF(S124&lt;=0,$F$21,0)+IF(T124&lt;=0,$F$22,0)+IF(U124&lt;=0,$F$23,0)+IF(V124&lt;=0,$F$24,0))))</f>
        <v/>
      </c>
      <c r="AP125">
        <f>IF(C124&lt;=0,(Dashboard!$C$11+IF(C124&lt;=0,$F$5,0)+IF(D124&lt;=0,$F$6,0)+IF(E124&lt;=0,$F$7,0)+IF(F124&lt;=0,$F$8,0)+IF(G124&lt;=0,$F$9,0)+IF(H124&lt;=0,$F$10,0)+IF(I124&lt;=0,$F$11,0)+IF(J124&lt;=0,$F$12,0)+IF(K124&lt;=0,$F$13,0)+IF(L124&lt;=0,$F$14,0)+IF(M124&lt;=0,$F$15,0)+IF(N124&lt;=0,$F$16,0)+IF(O124&lt;=0,$F$17,0)+IF(P124&lt;=0,$F$18,0)+IF(Q124&lt;=0,$F$19,0)+IF(R124&lt;=0,$F$20,0)+IF(S124&lt;=0,$F$21,0)+IF(T124&lt;=0,$F$22,0)+IF(U124&lt;=0,$F$23,0)+IF(V124&lt;=0,$F$24,0)),MAX(0,$F$5+(Dashboard!$C$11+IF(C124&lt;=0,$F$5,0)+IF(D124&lt;=0,$F$6,0)+IF(E124&lt;=0,$F$7,0)+IF(F124&lt;=0,$F$8,0)+IF(G124&lt;=0,$F$9,0)+IF(H124&lt;=0,$F$10,0)+IF(I124&lt;=0,$F$11,0)+IF(J124&lt;=0,$F$12,0)+IF(K124&lt;=0,$F$13,0)+IF(L124&lt;=0,$F$14,0)+IF(M124&lt;=0,$F$15,0)+IF(N124&lt;=0,$F$16,0)+IF(O124&lt;=0,$F$17,0)+IF(P124&lt;=0,$F$18,0)+IF(Q124&lt;=0,$F$19,0)+IF(R124&lt;=0,$F$20,0)+IF(S124&lt;=0,$F$21,0)+IF(T124&lt;=0,$F$22,0)+IF(U124&lt;=0,$F$23,0)+IF(V124&lt;=0,$F$24,0))-C124-AN125))</f>
        <v/>
      </c>
      <c r="AQ125">
        <f>IF(D124&lt;=0,0,D124*$E$6/12)</f>
        <v/>
      </c>
      <c r="AR125">
        <f>IF(D124&lt;=0,0,MIN(D124+AQ125,$F$6+AP125))</f>
        <v/>
      </c>
      <c r="AS125">
        <f>IF(D124&lt;=0,AP125,MAX(0,$F$6+AP125-D124-AQ125))</f>
        <v/>
      </c>
      <c r="AT125">
        <f>IF(E124&lt;=0,0,E124*$E$7/12)</f>
        <v/>
      </c>
      <c r="AU125">
        <f>IF(E124&lt;=0,0,MIN(E124+AT125,$F$7+AS125))</f>
        <v/>
      </c>
      <c r="AV125">
        <f>IF(E124&lt;=0,AS125,MAX(0,$F$7+AS125-E124-AT125))</f>
        <v/>
      </c>
      <c r="AW125">
        <f>IF(F124&lt;=0,0,F124*$E$8/12)</f>
        <v/>
      </c>
      <c r="AX125">
        <f>IF(F124&lt;=0,0,MIN(F124+AW125,$F$8+AV125))</f>
        <v/>
      </c>
      <c r="AY125">
        <f>IF(F124&lt;=0,AV125,MAX(0,$F$8+AV125-F124-AW125))</f>
        <v/>
      </c>
      <c r="AZ125">
        <f>IF(G124&lt;=0,0,G124*$E$9/12)</f>
        <v/>
      </c>
      <c r="BA125">
        <f>IF(G124&lt;=0,0,MIN(G124+AZ125,$F$9+AY125))</f>
        <v/>
      </c>
      <c r="BB125">
        <f>IF(G124&lt;=0,AY125,MAX(0,$F$9+AY125-G124-AZ125))</f>
        <v/>
      </c>
      <c r="BC125">
        <f>IF(H124&lt;=0,0,H124*$E$10/12)</f>
        <v/>
      </c>
      <c r="BD125">
        <f>IF(H124&lt;=0,0,MIN(H124+BC125,$F$10+BB125))</f>
        <v/>
      </c>
      <c r="BE125">
        <f>IF(H124&lt;=0,BB125,MAX(0,$F$10+BB125-H124-BC125))</f>
        <v/>
      </c>
      <c r="BF125">
        <f>IF(I124&lt;=0,0,I124*$E$11/12)</f>
        <v/>
      </c>
      <c r="BG125">
        <f>IF(I124&lt;=0,0,MIN(I124+BF125,$F$11+BE125))</f>
        <v/>
      </c>
      <c r="BH125">
        <f>IF(I124&lt;=0,BE125,MAX(0,$F$11+BE125-I124-BF125))</f>
        <v/>
      </c>
      <c r="BI125">
        <f>IF(J124&lt;=0,0,J124*$E$12/12)</f>
        <v/>
      </c>
      <c r="BJ125">
        <f>IF(J124&lt;=0,0,MIN(J124+BI125,$F$12+BH125))</f>
        <v/>
      </c>
      <c r="BK125">
        <f>IF(J124&lt;=0,BH125,MAX(0,$F$12+BH125-J124-BI125))</f>
        <v/>
      </c>
      <c r="BL125">
        <f>IF(K124&lt;=0,0,K124*$E$13/12)</f>
        <v/>
      </c>
      <c r="BM125">
        <f>IF(K124&lt;=0,0,MIN(K124+BL125,$F$13+BK125))</f>
        <v/>
      </c>
      <c r="BN125">
        <f>IF(K124&lt;=0,BK125,MAX(0,$F$13+BK125-K124-BL125))</f>
        <v/>
      </c>
      <c r="BO125">
        <f>IF(L124&lt;=0,0,L124*$E$14/12)</f>
        <v/>
      </c>
      <c r="BP125">
        <f>IF(L124&lt;=0,0,MIN(L124+BO125,$F$14+BN125))</f>
        <v/>
      </c>
      <c r="BQ125">
        <f>IF(L124&lt;=0,BN125,MAX(0,$F$14+BN125-L124-BO125))</f>
        <v/>
      </c>
      <c r="BR125">
        <f>IF(M124&lt;=0,0,M124*$E$15/12)</f>
        <v/>
      </c>
      <c r="BS125">
        <f>IF(M124&lt;=0,0,MIN(M124+BR125,$F$15+BQ125))</f>
        <v/>
      </c>
      <c r="BT125">
        <f>IF(M124&lt;=0,BQ125,MAX(0,$F$15+BQ125-M124-BR125))</f>
        <v/>
      </c>
      <c r="BU125">
        <f>IF(N124&lt;=0,0,N124*$E$16/12)</f>
        <v/>
      </c>
      <c r="BV125">
        <f>IF(N124&lt;=0,0,MIN(N124+BU125,$F$16+BT125))</f>
        <v/>
      </c>
      <c r="BW125">
        <f>IF(N124&lt;=0,BT125,MAX(0,$F$16+BT125-N124-BU125))</f>
        <v/>
      </c>
      <c r="BX125">
        <f>IF(O124&lt;=0,0,O124*$E$17/12)</f>
        <v/>
      </c>
      <c r="BY125">
        <f>IF(O124&lt;=0,0,MIN(O124+BX125,$F$17+BW125))</f>
        <v/>
      </c>
      <c r="BZ125">
        <f>IF(O124&lt;=0,BW125,MAX(0,$F$17+BW125-O124-BX125))</f>
        <v/>
      </c>
      <c r="CA125">
        <f>IF(P124&lt;=0,0,P124*$E$18/12)</f>
        <v/>
      </c>
      <c r="CB125">
        <f>IF(P124&lt;=0,0,MIN(P124+CA125,$F$18+BZ125))</f>
        <v/>
      </c>
      <c r="CC125">
        <f>IF(P124&lt;=0,BZ125,MAX(0,$F$18+BZ125-P124-CA125))</f>
        <v/>
      </c>
      <c r="CD125">
        <f>IF(Q124&lt;=0,0,Q124*$E$19/12)</f>
        <v/>
      </c>
      <c r="CE125">
        <f>IF(Q124&lt;=0,0,MIN(Q124+CD125,$F$19+CC125))</f>
        <v/>
      </c>
      <c r="CF125">
        <f>IF(Q124&lt;=0,CC125,MAX(0,$F$19+CC125-Q124-CD125))</f>
        <v/>
      </c>
      <c r="CG125">
        <f>IF(R124&lt;=0,0,R124*$E$20/12)</f>
        <v/>
      </c>
      <c r="CH125">
        <f>IF(R124&lt;=0,0,MIN(R124+CG125,$F$20+CF125))</f>
        <v/>
      </c>
      <c r="CI125">
        <f>IF(R124&lt;=0,CF125,MAX(0,$F$20+CF125-R124-CG125))</f>
        <v/>
      </c>
      <c r="CJ125">
        <f>IF(S124&lt;=0,0,S124*$E$21/12)</f>
        <v/>
      </c>
      <c r="CK125">
        <f>IF(S124&lt;=0,0,MIN(S124+CJ125,$F$21+CI125))</f>
        <v/>
      </c>
      <c r="CL125">
        <f>IF(S124&lt;=0,CI125,MAX(0,$F$21+CI125-S124-CJ125))</f>
        <v/>
      </c>
      <c r="CM125">
        <f>IF(T124&lt;=0,0,T124*$E$22/12)</f>
        <v/>
      </c>
      <c r="CN125">
        <f>IF(T124&lt;=0,0,MIN(T124+CM125,$F$22+CL125))</f>
        <v/>
      </c>
      <c r="CO125">
        <f>IF(T124&lt;=0,CL125,MAX(0,$F$22+CL125-T124-CM125))</f>
        <v/>
      </c>
      <c r="CP125">
        <f>IF(U124&lt;=0,0,U124*$E$23/12)</f>
        <v/>
      </c>
      <c r="CQ125">
        <f>IF(U124&lt;=0,0,MIN(U124+CP125,$F$23+CO125))</f>
        <v/>
      </c>
      <c r="CR125">
        <f>IF(U124&lt;=0,CO125,MAX(0,$F$23+CO125-U124-CP125))</f>
        <v/>
      </c>
      <c r="CS125">
        <f>IF(V124&lt;=0,0,V124*$E$24/12)</f>
        <v/>
      </c>
      <c r="CT125">
        <f>IF(V124&lt;=0,0,MIN(V124+CS125,$F$24+CR125))</f>
        <v/>
      </c>
      <c r="CU125">
        <f>IF(V124&lt;=0,CR125,MAX(0,$F$24+CR125-V124-CS125))</f>
        <v/>
      </c>
    </row>
    <row r="126">
      <c r="B126" s="39" t="n">
        <v>100</v>
      </c>
      <c r="C126" s="13">
        <f>IF(C125&lt;=0,0,MAX(0,C125+AN126-AO126))</f>
        <v/>
      </c>
      <c r="D126" s="13">
        <f>IF(D125&lt;=0,0,MAX(0,D125+AQ126-AR126))</f>
        <v/>
      </c>
      <c r="E126" s="13">
        <f>IF(E125&lt;=0,0,MAX(0,E125+AT126-AU126))</f>
        <v/>
      </c>
      <c r="F126" s="13">
        <f>IF(F125&lt;=0,0,MAX(0,F125+AW126-AX126))</f>
        <v/>
      </c>
      <c r="G126" s="13">
        <f>IF(G125&lt;=0,0,MAX(0,G125+AZ126-BA126))</f>
        <v/>
      </c>
      <c r="H126" s="13">
        <f>IF(H125&lt;=0,0,MAX(0,H125+BC126-BD126))</f>
        <v/>
      </c>
      <c r="I126" s="13">
        <f>IF(I125&lt;=0,0,MAX(0,I125+BF126-BG126))</f>
        <v/>
      </c>
      <c r="J126" s="13">
        <f>IF(J125&lt;=0,0,MAX(0,J125+BI126-BJ126))</f>
        <v/>
      </c>
      <c r="K126" s="13">
        <f>IF(K125&lt;=0,0,MAX(0,K125+BL126-BM126))</f>
        <v/>
      </c>
      <c r="L126" s="13">
        <f>IF(L125&lt;=0,0,MAX(0,L125+BO126-BP126))</f>
        <v/>
      </c>
      <c r="M126" s="13">
        <f>IF(M125&lt;=0,0,MAX(0,M125+BR126-BS126))</f>
        <v/>
      </c>
      <c r="N126" s="13">
        <f>IF(N125&lt;=0,0,MAX(0,N125+BU126-BV126))</f>
        <v/>
      </c>
      <c r="O126" s="13">
        <f>IF(O125&lt;=0,0,MAX(0,O125+BX126-BY126))</f>
        <v/>
      </c>
      <c r="P126" s="13">
        <f>IF(P125&lt;=0,0,MAX(0,P125+CA126-CB126))</f>
        <v/>
      </c>
      <c r="Q126" s="13">
        <f>IF(Q125&lt;=0,0,MAX(0,Q125+CD126-CE126))</f>
        <v/>
      </c>
      <c r="R126" s="13">
        <f>IF(R125&lt;=0,0,MAX(0,R125+CG126-CH126))</f>
        <v/>
      </c>
      <c r="S126" s="13">
        <f>IF(S125&lt;=0,0,MAX(0,S125+CJ126-CK126))</f>
        <v/>
      </c>
      <c r="T126" s="13">
        <f>IF(T125&lt;=0,0,MAX(0,T125+CM126-CN126))</f>
        <v/>
      </c>
      <c r="U126" s="13">
        <f>IF(U125&lt;=0,0,MAX(0,U125+CP126-CQ126))</f>
        <v/>
      </c>
      <c r="V126" s="13">
        <f>IF(V125&lt;=0,0,MAX(0,V125+CS126-CT126))</f>
        <v/>
      </c>
      <c r="W126" s="13">
        <f>AO126+AR126+AU126+AX126+BA126+BD126+BG126+BJ126+BM126+BP126+BS126+BV126+BY126+CB126+CE126+CH126+CK126+CN126+CQ126+CT126</f>
        <v/>
      </c>
      <c r="X126" s="13">
        <f>AN126+AQ126+AT126+AW126+AZ126+BC126+BF126+BI126+BL126+BO126+BR126+BU126+BX126+CA126+CD126+CG126+CJ126+CM126+CP126+CS126</f>
        <v/>
      </c>
      <c r="Y126" s="27">
        <f>C126+D126+E126+F126+G126+H126+I126+J126+K126+L126+M126+N126+O126+P126+Q126+R126+S126+T126+U126+V126</f>
        <v/>
      </c>
      <c r="AN126">
        <f>IF(C125&lt;=0,0,C125*$E$5/12)</f>
        <v/>
      </c>
      <c r="AO126">
        <f>IF(C125&lt;=0,0,MIN(C125+AN126,$F$5+(Dashboard!$C$11+IF(C125&lt;=0,$F$5,0)+IF(D125&lt;=0,$F$6,0)+IF(E125&lt;=0,$F$7,0)+IF(F125&lt;=0,$F$8,0)+IF(G125&lt;=0,$F$9,0)+IF(H125&lt;=0,$F$10,0)+IF(I125&lt;=0,$F$11,0)+IF(J125&lt;=0,$F$12,0)+IF(K125&lt;=0,$F$13,0)+IF(L125&lt;=0,$F$14,0)+IF(M125&lt;=0,$F$15,0)+IF(N125&lt;=0,$F$16,0)+IF(O125&lt;=0,$F$17,0)+IF(P125&lt;=0,$F$18,0)+IF(Q125&lt;=0,$F$19,0)+IF(R125&lt;=0,$F$20,0)+IF(S125&lt;=0,$F$21,0)+IF(T125&lt;=0,$F$22,0)+IF(U125&lt;=0,$F$23,0)+IF(V125&lt;=0,$F$24,0))))</f>
        <v/>
      </c>
      <c r="AP126">
        <f>IF(C125&lt;=0,(Dashboard!$C$11+IF(C125&lt;=0,$F$5,0)+IF(D125&lt;=0,$F$6,0)+IF(E125&lt;=0,$F$7,0)+IF(F125&lt;=0,$F$8,0)+IF(G125&lt;=0,$F$9,0)+IF(H125&lt;=0,$F$10,0)+IF(I125&lt;=0,$F$11,0)+IF(J125&lt;=0,$F$12,0)+IF(K125&lt;=0,$F$13,0)+IF(L125&lt;=0,$F$14,0)+IF(M125&lt;=0,$F$15,0)+IF(N125&lt;=0,$F$16,0)+IF(O125&lt;=0,$F$17,0)+IF(P125&lt;=0,$F$18,0)+IF(Q125&lt;=0,$F$19,0)+IF(R125&lt;=0,$F$20,0)+IF(S125&lt;=0,$F$21,0)+IF(T125&lt;=0,$F$22,0)+IF(U125&lt;=0,$F$23,0)+IF(V125&lt;=0,$F$24,0)),MAX(0,$F$5+(Dashboard!$C$11+IF(C125&lt;=0,$F$5,0)+IF(D125&lt;=0,$F$6,0)+IF(E125&lt;=0,$F$7,0)+IF(F125&lt;=0,$F$8,0)+IF(G125&lt;=0,$F$9,0)+IF(H125&lt;=0,$F$10,0)+IF(I125&lt;=0,$F$11,0)+IF(J125&lt;=0,$F$12,0)+IF(K125&lt;=0,$F$13,0)+IF(L125&lt;=0,$F$14,0)+IF(M125&lt;=0,$F$15,0)+IF(N125&lt;=0,$F$16,0)+IF(O125&lt;=0,$F$17,0)+IF(P125&lt;=0,$F$18,0)+IF(Q125&lt;=0,$F$19,0)+IF(R125&lt;=0,$F$20,0)+IF(S125&lt;=0,$F$21,0)+IF(T125&lt;=0,$F$22,0)+IF(U125&lt;=0,$F$23,0)+IF(V125&lt;=0,$F$24,0))-C125-AN126))</f>
        <v/>
      </c>
      <c r="AQ126">
        <f>IF(D125&lt;=0,0,D125*$E$6/12)</f>
        <v/>
      </c>
      <c r="AR126">
        <f>IF(D125&lt;=0,0,MIN(D125+AQ126,$F$6+AP126))</f>
        <v/>
      </c>
      <c r="AS126">
        <f>IF(D125&lt;=0,AP126,MAX(0,$F$6+AP126-D125-AQ126))</f>
        <v/>
      </c>
      <c r="AT126">
        <f>IF(E125&lt;=0,0,E125*$E$7/12)</f>
        <v/>
      </c>
      <c r="AU126">
        <f>IF(E125&lt;=0,0,MIN(E125+AT126,$F$7+AS126))</f>
        <v/>
      </c>
      <c r="AV126">
        <f>IF(E125&lt;=0,AS126,MAX(0,$F$7+AS126-E125-AT126))</f>
        <v/>
      </c>
      <c r="AW126">
        <f>IF(F125&lt;=0,0,F125*$E$8/12)</f>
        <v/>
      </c>
      <c r="AX126">
        <f>IF(F125&lt;=0,0,MIN(F125+AW126,$F$8+AV126))</f>
        <v/>
      </c>
      <c r="AY126">
        <f>IF(F125&lt;=0,AV126,MAX(0,$F$8+AV126-F125-AW126))</f>
        <v/>
      </c>
      <c r="AZ126">
        <f>IF(G125&lt;=0,0,G125*$E$9/12)</f>
        <v/>
      </c>
      <c r="BA126">
        <f>IF(G125&lt;=0,0,MIN(G125+AZ126,$F$9+AY126))</f>
        <v/>
      </c>
      <c r="BB126">
        <f>IF(G125&lt;=0,AY126,MAX(0,$F$9+AY126-G125-AZ126))</f>
        <v/>
      </c>
      <c r="BC126">
        <f>IF(H125&lt;=0,0,H125*$E$10/12)</f>
        <v/>
      </c>
      <c r="BD126">
        <f>IF(H125&lt;=0,0,MIN(H125+BC126,$F$10+BB126))</f>
        <v/>
      </c>
      <c r="BE126">
        <f>IF(H125&lt;=0,BB126,MAX(0,$F$10+BB126-H125-BC126))</f>
        <v/>
      </c>
      <c r="BF126">
        <f>IF(I125&lt;=0,0,I125*$E$11/12)</f>
        <v/>
      </c>
      <c r="BG126">
        <f>IF(I125&lt;=0,0,MIN(I125+BF126,$F$11+BE126))</f>
        <v/>
      </c>
      <c r="BH126">
        <f>IF(I125&lt;=0,BE126,MAX(0,$F$11+BE126-I125-BF126))</f>
        <v/>
      </c>
      <c r="BI126">
        <f>IF(J125&lt;=0,0,J125*$E$12/12)</f>
        <v/>
      </c>
      <c r="BJ126">
        <f>IF(J125&lt;=0,0,MIN(J125+BI126,$F$12+BH126))</f>
        <v/>
      </c>
      <c r="BK126">
        <f>IF(J125&lt;=0,BH126,MAX(0,$F$12+BH126-J125-BI126))</f>
        <v/>
      </c>
      <c r="BL126">
        <f>IF(K125&lt;=0,0,K125*$E$13/12)</f>
        <v/>
      </c>
      <c r="BM126">
        <f>IF(K125&lt;=0,0,MIN(K125+BL126,$F$13+BK126))</f>
        <v/>
      </c>
      <c r="BN126">
        <f>IF(K125&lt;=0,BK126,MAX(0,$F$13+BK126-K125-BL126))</f>
        <v/>
      </c>
      <c r="BO126">
        <f>IF(L125&lt;=0,0,L125*$E$14/12)</f>
        <v/>
      </c>
      <c r="BP126">
        <f>IF(L125&lt;=0,0,MIN(L125+BO126,$F$14+BN126))</f>
        <v/>
      </c>
      <c r="BQ126">
        <f>IF(L125&lt;=0,BN126,MAX(0,$F$14+BN126-L125-BO126))</f>
        <v/>
      </c>
      <c r="BR126">
        <f>IF(M125&lt;=0,0,M125*$E$15/12)</f>
        <v/>
      </c>
      <c r="BS126">
        <f>IF(M125&lt;=0,0,MIN(M125+BR126,$F$15+BQ126))</f>
        <v/>
      </c>
      <c r="BT126">
        <f>IF(M125&lt;=0,BQ126,MAX(0,$F$15+BQ126-M125-BR126))</f>
        <v/>
      </c>
      <c r="BU126">
        <f>IF(N125&lt;=0,0,N125*$E$16/12)</f>
        <v/>
      </c>
      <c r="BV126">
        <f>IF(N125&lt;=0,0,MIN(N125+BU126,$F$16+BT126))</f>
        <v/>
      </c>
      <c r="BW126">
        <f>IF(N125&lt;=0,BT126,MAX(0,$F$16+BT126-N125-BU126))</f>
        <v/>
      </c>
      <c r="BX126">
        <f>IF(O125&lt;=0,0,O125*$E$17/12)</f>
        <v/>
      </c>
      <c r="BY126">
        <f>IF(O125&lt;=0,0,MIN(O125+BX126,$F$17+BW126))</f>
        <v/>
      </c>
      <c r="BZ126">
        <f>IF(O125&lt;=0,BW126,MAX(0,$F$17+BW126-O125-BX126))</f>
        <v/>
      </c>
      <c r="CA126">
        <f>IF(P125&lt;=0,0,P125*$E$18/12)</f>
        <v/>
      </c>
      <c r="CB126">
        <f>IF(P125&lt;=0,0,MIN(P125+CA126,$F$18+BZ126))</f>
        <v/>
      </c>
      <c r="CC126">
        <f>IF(P125&lt;=0,BZ126,MAX(0,$F$18+BZ126-P125-CA126))</f>
        <v/>
      </c>
      <c r="CD126">
        <f>IF(Q125&lt;=0,0,Q125*$E$19/12)</f>
        <v/>
      </c>
      <c r="CE126">
        <f>IF(Q125&lt;=0,0,MIN(Q125+CD126,$F$19+CC126))</f>
        <v/>
      </c>
      <c r="CF126">
        <f>IF(Q125&lt;=0,CC126,MAX(0,$F$19+CC126-Q125-CD126))</f>
        <v/>
      </c>
      <c r="CG126">
        <f>IF(R125&lt;=0,0,R125*$E$20/12)</f>
        <v/>
      </c>
      <c r="CH126">
        <f>IF(R125&lt;=0,0,MIN(R125+CG126,$F$20+CF126))</f>
        <v/>
      </c>
      <c r="CI126">
        <f>IF(R125&lt;=0,CF126,MAX(0,$F$20+CF126-R125-CG126))</f>
        <v/>
      </c>
      <c r="CJ126">
        <f>IF(S125&lt;=0,0,S125*$E$21/12)</f>
        <v/>
      </c>
      <c r="CK126">
        <f>IF(S125&lt;=0,0,MIN(S125+CJ126,$F$21+CI126))</f>
        <v/>
      </c>
      <c r="CL126">
        <f>IF(S125&lt;=0,CI126,MAX(0,$F$21+CI126-S125-CJ126))</f>
        <v/>
      </c>
      <c r="CM126">
        <f>IF(T125&lt;=0,0,T125*$E$22/12)</f>
        <v/>
      </c>
      <c r="CN126">
        <f>IF(T125&lt;=0,0,MIN(T125+CM126,$F$22+CL126))</f>
        <v/>
      </c>
      <c r="CO126">
        <f>IF(T125&lt;=0,CL126,MAX(0,$F$22+CL126-T125-CM126))</f>
        <v/>
      </c>
      <c r="CP126">
        <f>IF(U125&lt;=0,0,U125*$E$23/12)</f>
        <v/>
      </c>
      <c r="CQ126">
        <f>IF(U125&lt;=0,0,MIN(U125+CP126,$F$23+CO126))</f>
        <v/>
      </c>
      <c r="CR126">
        <f>IF(U125&lt;=0,CO126,MAX(0,$F$23+CO126-U125-CP126))</f>
        <v/>
      </c>
      <c r="CS126">
        <f>IF(V125&lt;=0,0,V125*$E$24/12)</f>
        <v/>
      </c>
      <c r="CT126">
        <f>IF(V125&lt;=0,0,MIN(V125+CS126,$F$24+CR126))</f>
        <v/>
      </c>
      <c r="CU126">
        <f>IF(V125&lt;=0,CR126,MAX(0,$F$24+CR126-V125-CS126))</f>
        <v/>
      </c>
    </row>
    <row r="127">
      <c r="B127" s="39" t="n">
        <v>101</v>
      </c>
      <c r="C127" s="13">
        <f>IF(C126&lt;=0,0,MAX(0,C126+AN127-AO127))</f>
        <v/>
      </c>
      <c r="D127" s="13">
        <f>IF(D126&lt;=0,0,MAX(0,D126+AQ127-AR127))</f>
        <v/>
      </c>
      <c r="E127" s="13">
        <f>IF(E126&lt;=0,0,MAX(0,E126+AT127-AU127))</f>
        <v/>
      </c>
      <c r="F127" s="13">
        <f>IF(F126&lt;=0,0,MAX(0,F126+AW127-AX127))</f>
        <v/>
      </c>
      <c r="G127" s="13">
        <f>IF(G126&lt;=0,0,MAX(0,G126+AZ127-BA127))</f>
        <v/>
      </c>
      <c r="H127" s="13">
        <f>IF(H126&lt;=0,0,MAX(0,H126+BC127-BD127))</f>
        <v/>
      </c>
      <c r="I127" s="13">
        <f>IF(I126&lt;=0,0,MAX(0,I126+BF127-BG127))</f>
        <v/>
      </c>
      <c r="J127" s="13">
        <f>IF(J126&lt;=0,0,MAX(0,J126+BI127-BJ127))</f>
        <v/>
      </c>
      <c r="K127" s="13">
        <f>IF(K126&lt;=0,0,MAX(0,K126+BL127-BM127))</f>
        <v/>
      </c>
      <c r="L127" s="13">
        <f>IF(L126&lt;=0,0,MAX(0,L126+BO127-BP127))</f>
        <v/>
      </c>
      <c r="M127" s="13">
        <f>IF(M126&lt;=0,0,MAX(0,M126+BR127-BS127))</f>
        <v/>
      </c>
      <c r="N127" s="13">
        <f>IF(N126&lt;=0,0,MAX(0,N126+BU127-BV127))</f>
        <v/>
      </c>
      <c r="O127" s="13">
        <f>IF(O126&lt;=0,0,MAX(0,O126+BX127-BY127))</f>
        <v/>
      </c>
      <c r="P127" s="13">
        <f>IF(P126&lt;=0,0,MAX(0,P126+CA127-CB127))</f>
        <v/>
      </c>
      <c r="Q127" s="13">
        <f>IF(Q126&lt;=0,0,MAX(0,Q126+CD127-CE127))</f>
        <v/>
      </c>
      <c r="R127" s="13">
        <f>IF(R126&lt;=0,0,MAX(0,R126+CG127-CH127))</f>
        <v/>
      </c>
      <c r="S127" s="13">
        <f>IF(S126&lt;=0,0,MAX(0,S126+CJ127-CK127))</f>
        <v/>
      </c>
      <c r="T127" s="13">
        <f>IF(T126&lt;=0,0,MAX(0,T126+CM127-CN127))</f>
        <v/>
      </c>
      <c r="U127" s="13">
        <f>IF(U126&lt;=0,0,MAX(0,U126+CP127-CQ127))</f>
        <v/>
      </c>
      <c r="V127" s="13">
        <f>IF(V126&lt;=0,0,MAX(0,V126+CS127-CT127))</f>
        <v/>
      </c>
      <c r="W127" s="13">
        <f>AO127+AR127+AU127+AX127+BA127+BD127+BG127+BJ127+BM127+BP127+BS127+BV127+BY127+CB127+CE127+CH127+CK127+CN127+CQ127+CT127</f>
        <v/>
      </c>
      <c r="X127" s="13">
        <f>AN127+AQ127+AT127+AW127+AZ127+BC127+BF127+BI127+BL127+BO127+BR127+BU127+BX127+CA127+CD127+CG127+CJ127+CM127+CP127+CS127</f>
        <v/>
      </c>
      <c r="Y127" s="27">
        <f>C127+D127+E127+F127+G127+H127+I127+J127+K127+L127+M127+N127+O127+P127+Q127+R127+S127+T127+U127+V127</f>
        <v/>
      </c>
      <c r="AN127">
        <f>IF(C126&lt;=0,0,C126*$E$5/12)</f>
        <v/>
      </c>
      <c r="AO127">
        <f>IF(C126&lt;=0,0,MIN(C126+AN127,$F$5+(Dashboard!$C$11+IF(C126&lt;=0,$F$5,0)+IF(D126&lt;=0,$F$6,0)+IF(E126&lt;=0,$F$7,0)+IF(F126&lt;=0,$F$8,0)+IF(G126&lt;=0,$F$9,0)+IF(H126&lt;=0,$F$10,0)+IF(I126&lt;=0,$F$11,0)+IF(J126&lt;=0,$F$12,0)+IF(K126&lt;=0,$F$13,0)+IF(L126&lt;=0,$F$14,0)+IF(M126&lt;=0,$F$15,0)+IF(N126&lt;=0,$F$16,0)+IF(O126&lt;=0,$F$17,0)+IF(P126&lt;=0,$F$18,0)+IF(Q126&lt;=0,$F$19,0)+IF(R126&lt;=0,$F$20,0)+IF(S126&lt;=0,$F$21,0)+IF(T126&lt;=0,$F$22,0)+IF(U126&lt;=0,$F$23,0)+IF(V126&lt;=0,$F$24,0))))</f>
        <v/>
      </c>
      <c r="AP127">
        <f>IF(C126&lt;=0,(Dashboard!$C$11+IF(C126&lt;=0,$F$5,0)+IF(D126&lt;=0,$F$6,0)+IF(E126&lt;=0,$F$7,0)+IF(F126&lt;=0,$F$8,0)+IF(G126&lt;=0,$F$9,0)+IF(H126&lt;=0,$F$10,0)+IF(I126&lt;=0,$F$11,0)+IF(J126&lt;=0,$F$12,0)+IF(K126&lt;=0,$F$13,0)+IF(L126&lt;=0,$F$14,0)+IF(M126&lt;=0,$F$15,0)+IF(N126&lt;=0,$F$16,0)+IF(O126&lt;=0,$F$17,0)+IF(P126&lt;=0,$F$18,0)+IF(Q126&lt;=0,$F$19,0)+IF(R126&lt;=0,$F$20,0)+IF(S126&lt;=0,$F$21,0)+IF(T126&lt;=0,$F$22,0)+IF(U126&lt;=0,$F$23,0)+IF(V126&lt;=0,$F$24,0)),MAX(0,$F$5+(Dashboard!$C$11+IF(C126&lt;=0,$F$5,0)+IF(D126&lt;=0,$F$6,0)+IF(E126&lt;=0,$F$7,0)+IF(F126&lt;=0,$F$8,0)+IF(G126&lt;=0,$F$9,0)+IF(H126&lt;=0,$F$10,0)+IF(I126&lt;=0,$F$11,0)+IF(J126&lt;=0,$F$12,0)+IF(K126&lt;=0,$F$13,0)+IF(L126&lt;=0,$F$14,0)+IF(M126&lt;=0,$F$15,0)+IF(N126&lt;=0,$F$16,0)+IF(O126&lt;=0,$F$17,0)+IF(P126&lt;=0,$F$18,0)+IF(Q126&lt;=0,$F$19,0)+IF(R126&lt;=0,$F$20,0)+IF(S126&lt;=0,$F$21,0)+IF(T126&lt;=0,$F$22,0)+IF(U126&lt;=0,$F$23,0)+IF(V126&lt;=0,$F$24,0))-C126-AN127))</f>
        <v/>
      </c>
      <c r="AQ127">
        <f>IF(D126&lt;=0,0,D126*$E$6/12)</f>
        <v/>
      </c>
      <c r="AR127">
        <f>IF(D126&lt;=0,0,MIN(D126+AQ127,$F$6+AP127))</f>
        <v/>
      </c>
      <c r="AS127">
        <f>IF(D126&lt;=0,AP127,MAX(0,$F$6+AP127-D126-AQ127))</f>
        <v/>
      </c>
      <c r="AT127">
        <f>IF(E126&lt;=0,0,E126*$E$7/12)</f>
        <v/>
      </c>
      <c r="AU127">
        <f>IF(E126&lt;=0,0,MIN(E126+AT127,$F$7+AS127))</f>
        <v/>
      </c>
      <c r="AV127">
        <f>IF(E126&lt;=0,AS127,MAX(0,$F$7+AS127-E126-AT127))</f>
        <v/>
      </c>
      <c r="AW127">
        <f>IF(F126&lt;=0,0,F126*$E$8/12)</f>
        <v/>
      </c>
      <c r="AX127">
        <f>IF(F126&lt;=0,0,MIN(F126+AW127,$F$8+AV127))</f>
        <v/>
      </c>
      <c r="AY127">
        <f>IF(F126&lt;=0,AV127,MAX(0,$F$8+AV127-F126-AW127))</f>
        <v/>
      </c>
      <c r="AZ127">
        <f>IF(G126&lt;=0,0,G126*$E$9/12)</f>
        <v/>
      </c>
      <c r="BA127">
        <f>IF(G126&lt;=0,0,MIN(G126+AZ127,$F$9+AY127))</f>
        <v/>
      </c>
      <c r="BB127">
        <f>IF(G126&lt;=0,AY127,MAX(0,$F$9+AY127-G126-AZ127))</f>
        <v/>
      </c>
      <c r="BC127">
        <f>IF(H126&lt;=0,0,H126*$E$10/12)</f>
        <v/>
      </c>
      <c r="BD127">
        <f>IF(H126&lt;=0,0,MIN(H126+BC127,$F$10+BB127))</f>
        <v/>
      </c>
      <c r="BE127">
        <f>IF(H126&lt;=0,BB127,MAX(0,$F$10+BB127-H126-BC127))</f>
        <v/>
      </c>
      <c r="BF127">
        <f>IF(I126&lt;=0,0,I126*$E$11/12)</f>
        <v/>
      </c>
      <c r="BG127">
        <f>IF(I126&lt;=0,0,MIN(I126+BF127,$F$11+BE127))</f>
        <v/>
      </c>
      <c r="BH127">
        <f>IF(I126&lt;=0,BE127,MAX(0,$F$11+BE127-I126-BF127))</f>
        <v/>
      </c>
      <c r="BI127">
        <f>IF(J126&lt;=0,0,J126*$E$12/12)</f>
        <v/>
      </c>
      <c r="BJ127">
        <f>IF(J126&lt;=0,0,MIN(J126+BI127,$F$12+BH127))</f>
        <v/>
      </c>
      <c r="BK127">
        <f>IF(J126&lt;=0,BH127,MAX(0,$F$12+BH127-J126-BI127))</f>
        <v/>
      </c>
      <c r="BL127">
        <f>IF(K126&lt;=0,0,K126*$E$13/12)</f>
        <v/>
      </c>
      <c r="BM127">
        <f>IF(K126&lt;=0,0,MIN(K126+BL127,$F$13+BK127))</f>
        <v/>
      </c>
      <c r="BN127">
        <f>IF(K126&lt;=0,BK127,MAX(0,$F$13+BK127-K126-BL127))</f>
        <v/>
      </c>
      <c r="BO127">
        <f>IF(L126&lt;=0,0,L126*$E$14/12)</f>
        <v/>
      </c>
      <c r="BP127">
        <f>IF(L126&lt;=0,0,MIN(L126+BO127,$F$14+BN127))</f>
        <v/>
      </c>
      <c r="BQ127">
        <f>IF(L126&lt;=0,BN127,MAX(0,$F$14+BN127-L126-BO127))</f>
        <v/>
      </c>
      <c r="BR127">
        <f>IF(M126&lt;=0,0,M126*$E$15/12)</f>
        <v/>
      </c>
      <c r="BS127">
        <f>IF(M126&lt;=0,0,MIN(M126+BR127,$F$15+BQ127))</f>
        <v/>
      </c>
      <c r="BT127">
        <f>IF(M126&lt;=0,BQ127,MAX(0,$F$15+BQ127-M126-BR127))</f>
        <v/>
      </c>
      <c r="BU127">
        <f>IF(N126&lt;=0,0,N126*$E$16/12)</f>
        <v/>
      </c>
      <c r="BV127">
        <f>IF(N126&lt;=0,0,MIN(N126+BU127,$F$16+BT127))</f>
        <v/>
      </c>
      <c r="BW127">
        <f>IF(N126&lt;=0,BT127,MAX(0,$F$16+BT127-N126-BU127))</f>
        <v/>
      </c>
      <c r="BX127">
        <f>IF(O126&lt;=0,0,O126*$E$17/12)</f>
        <v/>
      </c>
      <c r="BY127">
        <f>IF(O126&lt;=0,0,MIN(O126+BX127,$F$17+BW127))</f>
        <v/>
      </c>
      <c r="BZ127">
        <f>IF(O126&lt;=0,BW127,MAX(0,$F$17+BW127-O126-BX127))</f>
        <v/>
      </c>
      <c r="CA127">
        <f>IF(P126&lt;=0,0,P126*$E$18/12)</f>
        <v/>
      </c>
      <c r="CB127">
        <f>IF(P126&lt;=0,0,MIN(P126+CA127,$F$18+BZ127))</f>
        <v/>
      </c>
      <c r="CC127">
        <f>IF(P126&lt;=0,BZ127,MAX(0,$F$18+BZ127-P126-CA127))</f>
        <v/>
      </c>
      <c r="CD127">
        <f>IF(Q126&lt;=0,0,Q126*$E$19/12)</f>
        <v/>
      </c>
      <c r="CE127">
        <f>IF(Q126&lt;=0,0,MIN(Q126+CD127,$F$19+CC127))</f>
        <v/>
      </c>
      <c r="CF127">
        <f>IF(Q126&lt;=0,CC127,MAX(0,$F$19+CC127-Q126-CD127))</f>
        <v/>
      </c>
      <c r="CG127">
        <f>IF(R126&lt;=0,0,R126*$E$20/12)</f>
        <v/>
      </c>
      <c r="CH127">
        <f>IF(R126&lt;=0,0,MIN(R126+CG127,$F$20+CF127))</f>
        <v/>
      </c>
      <c r="CI127">
        <f>IF(R126&lt;=0,CF127,MAX(0,$F$20+CF127-R126-CG127))</f>
        <v/>
      </c>
      <c r="CJ127">
        <f>IF(S126&lt;=0,0,S126*$E$21/12)</f>
        <v/>
      </c>
      <c r="CK127">
        <f>IF(S126&lt;=0,0,MIN(S126+CJ127,$F$21+CI127))</f>
        <v/>
      </c>
      <c r="CL127">
        <f>IF(S126&lt;=0,CI127,MAX(0,$F$21+CI127-S126-CJ127))</f>
        <v/>
      </c>
      <c r="CM127">
        <f>IF(T126&lt;=0,0,T126*$E$22/12)</f>
        <v/>
      </c>
      <c r="CN127">
        <f>IF(T126&lt;=0,0,MIN(T126+CM127,$F$22+CL127))</f>
        <v/>
      </c>
      <c r="CO127">
        <f>IF(T126&lt;=0,CL127,MAX(0,$F$22+CL127-T126-CM127))</f>
        <v/>
      </c>
      <c r="CP127">
        <f>IF(U126&lt;=0,0,U126*$E$23/12)</f>
        <v/>
      </c>
      <c r="CQ127">
        <f>IF(U126&lt;=0,0,MIN(U126+CP127,$F$23+CO127))</f>
        <v/>
      </c>
      <c r="CR127">
        <f>IF(U126&lt;=0,CO127,MAX(0,$F$23+CO127-U126-CP127))</f>
        <v/>
      </c>
      <c r="CS127">
        <f>IF(V126&lt;=0,0,V126*$E$24/12)</f>
        <v/>
      </c>
      <c r="CT127">
        <f>IF(V126&lt;=0,0,MIN(V126+CS127,$F$24+CR127))</f>
        <v/>
      </c>
      <c r="CU127">
        <f>IF(V126&lt;=0,CR127,MAX(0,$F$24+CR127-V126-CS127))</f>
        <v/>
      </c>
    </row>
    <row r="128">
      <c r="B128" s="39" t="n">
        <v>102</v>
      </c>
      <c r="C128" s="13">
        <f>IF(C127&lt;=0,0,MAX(0,C127+AN128-AO128))</f>
        <v/>
      </c>
      <c r="D128" s="13">
        <f>IF(D127&lt;=0,0,MAX(0,D127+AQ128-AR128))</f>
        <v/>
      </c>
      <c r="E128" s="13">
        <f>IF(E127&lt;=0,0,MAX(0,E127+AT128-AU128))</f>
        <v/>
      </c>
      <c r="F128" s="13">
        <f>IF(F127&lt;=0,0,MAX(0,F127+AW128-AX128))</f>
        <v/>
      </c>
      <c r="G128" s="13">
        <f>IF(G127&lt;=0,0,MAX(0,G127+AZ128-BA128))</f>
        <v/>
      </c>
      <c r="H128" s="13">
        <f>IF(H127&lt;=0,0,MAX(0,H127+BC128-BD128))</f>
        <v/>
      </c>
      <c r="I128" s="13">
        <f>IF(I127&lt;=0,0,MAX(0,I127+BF128-BG128))</f>
        <v/>
      </c>
      <c r="J128" s="13">
        <f>IF(J127&lt;=0,0,MAX(0,J127+BI128-BJ128))</f>
        <v/>
      </c>
      <c r="K128" s="13">
        <f>IF(K127&lt;=0,0,MAX(0,K127+BL128-BM128))</f>
        <v/>
      </c>
      <c r="L128" s="13">
        <f>IF(L127&lt;=0,0,MAX(0,L127+BO128-BP128))</f>
        <v/>
      </c>
      <c r="M128" s="13">
        <f>IF(M127&lt;=0,0,MAX(0,M127+BR128-BS128))</f>
        <v/>
      </c>
      <c r="N128" s="13">
        <f>IF(N127&lt;=0,0,MAX(0,N127+BU128-BV128))</f>
        <v/>
      </c>
      <c r="O128" s="13">
        <f>IF(O127&lt;=0,0,MAX(0,O127+BX128-BY128))</f>
        <v/>
      </c>
      <c r="P128" s="13">
        <f>IF(P127&lt;=0,0,MAX(0,P127+CA128-CB128))</f>
        <v/>
      </c>
      <c r="Q128" s="13">
        <f>IF(Q127&lt;=0,0,MAX(0,Q127+CD128-CE128))</f>
        <v/>
      </c>
      <c r="R128" s="13">
        <f>IF(R127&lt;=0,0,MAX(0,R127+CG128-CH128))</f>
        <v/>
      </c>
      <c r="S128" s="13">
        <f>IF(S127&lt;=0,0,MAX(0,S127+CJ128-CK128))</f>
        <v/>
      </c>
      <c r="T128" s="13">
        <f>IF(T127&lt;=0,0,MAX(0,T127+CM128-CN128))</f>
        <v/>
      </c>
      <c r="U128" s="13">
        <f>IF(U127&lt;=0,0,MAX(0,U127+CP128-CQ128))</f>
        <v/>
      </c>
      <c r="V128" s="13">
        <f>IF(V127&lt;=0,0,MAX(0,V127+CS128-CT128))</f>
        <v/>
      </c>
      <c r="W128" s="13">
        <f>AO128+AR128+AU128+AX128+BA128+BD128+BG128+BJ128+BM128+BP128+BS128+BV128+BY128+CB128+CE128+CH128+CK128+CN128+CQ128+CT128</f>
        <v/>
      </c>
      <c r="X128" s="13">
        <f>AN128+AQ128+AT128+AW128+AZ128+BC128+BF128+BI128+BL128+BO128+BR128+BU128+BX128+CA128+CD128+CG128+CJ128+CM128+CP128+CS128</f>
        <v/>
      </c>
      <c r="Y128" s="27">
        <f>C128+D128+E128+F128+G128+H128+I128+J128+K128+L128+M128+N128+O128+P128+Q128+R128+S128+T128+U128+V128</f>
        <v/>
      </c>
      <c r="AN128">
        <f>IF(C127&lt;=0,0,C127*$E$5/12)</f>
        <v/>
      </c>
      <c r="AO128">
        <f>IF(C127&lt;=0,0,MIN(C127+AN128,$F$5+(Dashboard!$C$11+IF(C127&lt;=0,$F$5,0)+IF(D127&lt;=0,$F$6,0)+IF(E127&lt;=0,$F$7,0)+IF(F127&lt;=0,$F$8,0)+IF(G127&lt;=0,$F$9,0)+IF(H127&lt;=0,$F$10,0)+IF(I127&lt;=0,$F$11,0)+IF(J127&lt;=0,$F$12,0)+IF(K127&lt;=0,$F$13,0)+IF(L127&lt;=0,$F$14,0)+IF(M127&lt;=0,$F$15,0)+IF(N127&lt;=0,$F$16,0)+IF(O127&lt;=0,$F$17,0)+IF(P127&lt;=0,$F$18,0)+IF(Q127&lt;=0,$F$19,0)+IF(R127&lt;=0,$F$20,0)+IF(S127&lt;=0,$F$21,0)+IF(T127&lt;=0,$F$22,0)+IF(U127&lt;=0,$F$23,0)+IF(V127&lt;=0,$F$24,0))))</f>
        <v/>
      </c>
      <c r="AP128">
        <f>IF(C127&lt;=0,(Dashboard!$C$11+IF(C127&lt;=0,$F$5,0)+IF(D127&lt;=0,$F$6,0)+IF(E127&lt;=0,$F$7,0)+IF(F127&lt;=0,$F$8,0)+IF(G127&lt;=0,$F$9,0)+IF(H127&lt;=0,$F$10,0)+IF(I127&lt;=0,$F$11,0)+IF(J127&lt;=0,$F$12,0)+IF(K127&lt;=0,$F$13,0)+IF(L127&lt;=0,$F$14,0)+IF(M127&lt;=0,$F$15,0)+IF(N127&lt;=0,$F$16,0)+IF(O127&lt;=0,$F$17,0)+IF(P127&lt;=0,$F$18,0)+IF(Q127&lt;=0,$F$19,0)+IF(R127&lt;=0,$F$20,0)+IF(S127&lt;=0,$F$21,0)+IF(T127&lt;=0,$F$22,0)+IF(U127&lt;=0,$F$23,0)+IF(V127&lt;=0,$F$24,0)),MAX(0,$F$5+(Dashboard!$C$11+IF(C127&lt;=0,$F$5,0)+IF(D127&lt;=0,$F$6,0)+IF(E127&lt;=0,$F$7,0)+IF(F127&lt;=0,$F$8,0)+IF(G127&lt;=0,$F$9,0)+IF(H127&lt;=0,$F$10,0)+IF(I127&lt;=0,$F$11,0)+IF(J127&lt;=0,$F$12,0)+IF(K127&lt;=0,$F$13,0)+IF(L127&lt;=0,$F$14,0)+IF(M127&lt;=0,$F$15,0)+IF(N127&lt;=0,$F$16,0)+IF(O127&lt;=0,$F$17,0)+IF(P127&lt;=0,$F$18,0)+IF(Q127&lt;=0,$F$19,0)+IF(R127&lt;=0,$F$20,0)+IF(S127&lt;=0,$F$21,0)+IF(T127&lt;=0,$F$22,0)+IF(U127&lt;=0,$F$23,0)+IF(V127&lt;=0,$F$24,0))-C127-AN128))</f>
        <v/>
      </c>
      <c r="AQ128">
        <f>IF(D127&lt;=0,0,D127*$E$6/12)</f>
        <v/>
      </c>
      <c r="AR128">
        <f>IF(D127&lt;=0,0,MIN(D127+AQ128,$F$6+AP128))</f>
        <v/>
      </c>
      <c r="AS128">
        <f>IF(D127&lt;=0,AP128,MAX(0,$F$6+AP128-D127-AQ128))</f>
        <v/>
      </c>
      <c r="AT128">
        <f>IF(E127&lt;=0,0,E127*$E$7/12)</f>
        <v/>
      </c>
      <c r="AU128">
        <f>IF(E127&lt;=0,0,MIN(E127+AT128,$F$7+AS128))</f>
        <v/>
      </c>
      <c r="AV128">
        <f>IF(E127&lt;=0,AS128,MAX(0,$F$7+AS128-E127-AT128))</f>
        <v/>
      </c>
      <c r="AW128">
        <f>IF(F127&lt;=0,0,F127*$E$8/12)</f>
        <v/>
      </c>
      <c r="AX128">
        <f>IF(F127&lt;=0,0,MIN(F127+AW128,$F$8+AV128))</f>
        <v/>
      </c>
      <c r="AY128">
        <f>IF(F127&lt;=0,AV128,MAX(0,$F$8+AV128-F127-AW128))</f>
        <v/>
      </c>
      <c r="AZ128">
        <f>IF(G127&lt;=0,0,G127*$E$9/12)</f>
        <v/>
      </c>
      <c r="BA128">
        <f>IF(G127&lt;=0,0,MIN(G127+AZ128,$F$9+AY128))</f>
        <v/>
      </c>
      <c r="BB128">
        <f>IF(G127&lt;=0,AY128,MAX(0,$F$9+AY128-G127-AZ128))</f>
        <v/>
      </c>
      <c r="BC128">
        <f>IF(H127&lt;=0,0,H127*$E$10/12)</f>
        <v/>
      </c>
      <c r="BD128">
        <f>IF(H127&lt;=0,0,MIN(H127+BC128,$F$10+BB128))</f>
        <v/>
      </c>
      <c r="BE128">
        <f>IF(H127&lt;=0,BB128,MAX(0,$F$10+BB128-H127-BC128))</f>
        <v/>
      </c>
      <c r="BF128">
        <f>IF(I127&lt;=0,0,I127*$E$11/12)</f>
        <v/>
      </c>
      <c r="BG128">
        <f>IF(I127&lt;=0,0,MIN(I127+BF128,$F$11+BE128))</f>
        <v/>
      </c>
      <c r="BH128">
        <f>IF(I127&lt;=0,BE128,MAX(0,$F$11+BE128-I127-BF128))</f>
        <v/>
      </c>
      <c r="BI128">
        <f>IF(J127&lt;=0,0,J127*$E$12/12)</f>
        <v/>
      </c>
      <c r="BJ128">
        <f>IF(J127&lt;=0,0,MIN(J127+BI128,$F$12+BH128))</f>
        <v/>
      </c>
      <c r="BK128">
        <f>IF(J127&lt;=0,BH128,MAX(0,$F$12+BH128-J127-BI128))</f>
        <v/>
      </c>
      <c r="BL128">
        <f>IF(K127&lt;=0,0,K127*$E$13/12)</f>
        <v/>
      </c>
      <c r="BM128">
        <f>IF(K127&lt;=0,0,MIN(K127+BL128,$F$13+BK128))</f>
        <v/>
      </c>
      <c r="BN128">
        <f>IF(K127&lt;=0,BK128,MAX(0,$F$13+BK128-K127-BL128))</f>
        <v/>
      </c>
      <c r="BO128">
        <f>IF(L127&lt;=0,0,L127*$E$14/12)</f>
        <v/>
      </c>
      <c r="BP128">
        <f>IF(L127&lt;=0,0,MIN(L127+BO128,$F$14+BN128))</f>
        <v/>
      </c>
      <c r="BQ128">
        <f>IF(L127&lt;=0,BN128,MAX(0,$F$14+BN128-L127-BO128))</f>
        <v/>
      </c>
      <c r="BR128">
        <f>IF(M127&lt;=0,0,M127*$E$15/12)</f>
        <v/>
      </c>
      <c r="BS128">
        <f>IF(M127&lt;=0,0,MIN(M127+BR128,$F$15+BQ128))</f>
        <v/>
      </c>
      <c r="BT128">
        <f>IF(M127&lt;=0,BQ128,MAX(0,$F$15+BQ128-M127-BR128))</f>
        <v/>
      </c>
      <c r="BU128">
        <f>IF(N127&lt;=0,0,N127*$E$16/12)</f>
        <v/>
      </c>
      <c r="BV128">
        <f>IF(N127&lt;=0,0,MIN(N127+BU128,$F$16+BT128))</f>
        <v/>
      </c>
      <c r="BW128">
        <f>IF(N127&lt;=0,BT128,MAX(0,$F$16+BT128-N127-BU128))</f>
        <v/>
      </c>
      <c r="BX128">
        <f>IF(O127&lt;=0,0,O127*$E$17/12)</f>
        <v/>
      </c>
      <c r="BY128">
        <f>IF(O127&lt;=0,0,MIN(O127+BX128,$F$17+BW128))</f>
        <v/>
      </c>
      <c r="BZ128">
        <f>IF(O127&lt;=0,BW128,MAX(0,$F$17+BW128-O127-BX128))</f>
        <v/>
      </c>
      <c r="CA128">
        <f>IF(P127&lt;=0,0,P127*$E$18/12)</f>
        <v/>
      </c>
      <c r="CB128">
        <f>IF(P127&lt;=0,0,MIN(P127+CA128,$F$18+BZ128))</f>
        <v/>
      </c>
      <c r="CC128">
        <f>IF(P127&lt;=0,BZ128,MAX(0,$F$18+BZ128-P127-CA128))</f>
        <v/>
      </c>
      <c r="CD128">
        <f>IF(Q127&lt;=0,0,Q127*$E$19/12)</f>
        <v/>
      </c>
      <c r="CE128">
        <f>IF(Q127&lt;=0,0,MIN(Q127+CD128,$F$19+CC128))</f>
        <v/>
      </c>
      <c r="CF128">
        <f>IF(Q127&lt;=0,CC128,MAX(0,$F$19+CC128-Q127-CD128))</f>
        <v/>
      </c>
      <c r="CG128">
        <f>IF(R127&lt;=0,0,R127*$E$20/12)</f>
        <v/>
      </c>
      <c r="CH128">
        <f>IF(R127&lt;=0,0,MIN(R127+CG128,$F$20+CF128))</f>
        <v/>
      </c>
      <c r="CI128">
        <f>IF(R127&lt;=0,CF128,MAX(0,$F$20+CF128-R127-CG128))</f>
        <v/>
      </c>
      <c r="CJ128">
        <f>IF(S127&lt;=0,0,S127*$E$21/12)</f>
        <v/>
      </c>
      <c r="CK128">
        <f>IF(S127&lt;=0,0,MIN(S127+CJ128,$F$21+CI128))</f>
        <v/>
      </c>
      <c r="CL128">
        <f>IF(S127&lt;=0,CI128,MAX(0,$F$21+CI128-S127-CJ128))</f>
        <v/>
      </c>
      <c r="CM128">
        <f>IF(T127&lt;=0,0,T127*$E$22/12)</f>
        <v/>
      </c>
      <c r="CN128">
        <f>IF(T127&lt;=0,0,MIN(T127+CM128,$F$22+CL128))</f>
        <v/>
      </c>
      <c r="CO128">
        <f>IF(T127&lt;=0,CL128,MAX(0,$F$22+CL128-T127-CM128))</f>
        <v/>
      </c>
      <c r="CP128">
        <f>IF(U127&lt;=0,0,U127*$E$23/12)</f>
        <v/>
      </c>
      <c r="CQ128">
        <f>IF(U127&lt;=0,0,MIN(U127+CP128,$F$23+CO128))</f>
        <v/>
      </c>
      <c r="CR128">
        <f>IF(U127&lt;=0,CO128,MAX(0,$F$23+CO128-U127-CP128))</f>
        <v/>
      </c>
      <c r="CS128">
        <f>IF(V127&lt;=0,0,V127*$E$24/12)</f>
        <v/>
      </c>
      <c r="CT128">
        <f>IF(V127&lt;=0,0,MIN(V127+CS128,$F$24+CR128))</f>
        <v/>
      </c>
      <c r="CU128">
        <f>IF(V127&lt;=0,CR128,MAX(0,$F$24+CR128-V127-CS128))</f>
        <v/>
      </c>
    </row>
    <row r="129">
      <c r="B129" s="39" t="n">
        <v>103</v>
      </c>
      <c r="C129" s="13">
        <f>IF(C128&lt;=0,0,MAX(0,C128+AN129-AO129))</f>
        <v/>
      </c>
      <c r="D129" s="13">
        <f>IF(D128&lt;=0,0,MAX(0,D128+AQ129-AR129))</f>
        <v/>
      </c>
      <c r="E129" s="13">
        <f>IF(E128&lt;=0,0,MAX(0,E128+AT129-AU129))</f>
        <v/>
      </c>
      <c r="F129" s="13">
        <f>IF(F128&lt;=0,0,MAX(0,F128+AW129-AX129))</f>
        <v/>
      </c>
      <c r="G129" s="13">
        <f>IF(G128&lt;=0,0,MAX(0,G128+AZ129-BA129))</f>
        <v/>
      </c>
      <c r="H129" s="13">
        <f>IF(H128&lt;=0,0,MAX(0,H128+BC129-BD129))</f>
        <v/>
      </c>
      <c r="I129" s="13">
        <f>IF(I128&lt;=0,0,MAX(0,I128+BF129-BG129))</f>
        <v/>
      </c>
      <c r="J129" s="13">
        <f>IF(J128&lt;=0,0,MAX(0,J128+BI129-BJ129))</f>
        <v/>
      </c>
      <c r="K129" s="13">
        <f>IF(K128&lt;=0,0,MAX(0,K128+BL129-BM129))</f>
        <v/>
      </c>
      <c r="L129" s="13">
        <f>IF(L128&lt;=0,0,MAX(0,L128+BO129-BP129))</f>
        <v/>
      </c>
      <c r="M129" s="13">
        <f>IF(M128&lt;=0,0,MAX(0,M128+BR129-BS129))</f>
        <v/>
      </c>
      <c r="N129" s="13">
        <f>IF(N128&lt;=0,0,MAX(0,N128+BU129-BV129))</f>
        <v/>
      </c>
      <c r="O129" s="13">
        <f>IF(O128&lt;=0,0,MAX(0,O128+BX129-BY129))</f>
        <v/>
      </c>
      <c r="P129" s="13">
        <f>IF(P128&lt;=0,0,MAX(0,P128+CA129-CB129))</f>
        <v/>
      </c>
      <c r="Q129" s="13">
        <f>IF(Q128&lt;=0,0,MAX(0,Q128+CD129-CE129))</f>
        <v/>
      </c>
      <c r="R129" s="13">
        <f>IF(R128&lt;=0,0,MAX(0,R128+CG129-CH129))</f>
        <v/>
      </c>
      <c r="S129" s="13">
        <f>IF(S128&lt;=0,0,MAX(0,S128+CJ129-CK129))</f>
        <v/>
      </c>
      <c r="T129" s="13">
        <f>IF(T128&lt;=0,0,MAX(0,T128+CM129-CN129))</f>
        <v/>
      </c>
      <c r="U129" s="13">
        <f>IF(U128&lt;=0,0,MAX(0,U128+CP129-CQ129))</f>
        <v/>
      </c>
      <c r="V129" s="13">
        <f>IF(V128&lt;=0,0,MAX(0,V128+CS129-CT129))</f>
        <v/>
      </c>
      <c r="W129" s="13">
        <f>AO129+AR129+AU129+AX129+BA129+BD129+BG129+BJ129+BM129+BP129+BS129+BV129+BY129+CB129+CE129+CH129+CK129+CN129+CQ129+CT129</f>
        <v/>
      </c>
      <c r="X129" s="13">
        <f>AN129+AQ129+AT129+AW129+AZ129+BC129+BF129+BI129+BL129+BO129+BR129+BU129+BX129+CA129+CD129+CG129+CJ129+CM129+CP129+CS129</f>
        <v/>
      </c>
      <c r="Y129" s="27">
        <f>C129+D129+E129+F129+G129+H129+I129+J129+K129+L129+M129+N129+O129+P129+Q129+R129+S129+T129+U129+V129</f>
        <v/>
      </c>
      <c r="AN129">
        <f>IF(C128&lt;=0,0,C128*$E$5/12)</f>
        <v/>
      </c>
      <c r="AO129">
        <f>IF(C128&lt;=0,0,MIN(C128+AN129,$F$5+(Dashboard!$C$11+IF(C128&lt;=0,$F$5,0)+IF(D128&lt;=0,$F$6,0)+IF(E128&lt;=0,$F$7,0)+IF(F128&lt;=0,$F$8,0)+IF(G128&lt;=0,$F$9,0)+IF(H128&lt;=0,$F$10,0)+IF(I128&lt;=0,$F$11,0)+IF(J128&lt;=0,$F$12,0)+IF(K128&lt;=0,$F$13,0)+IF(L128&lt;=0,$F$14,0)+IF(M128&lt;=0,$F$15,0)+IF(N128&lt;=0,$F$16,0)+IF(O128&lt;=0,$F$17,0)+IF(P128&lt;=0,$F$18,0)+IF(Q128&lt;=0,$F$19,0)+IF(R128&lt;=0,$F$20,0)+IF(S128&lt;=0,$F$21,0)+IF(T128&lt;=0,$F$22,0)+IF(U128&lt;=0,$F$23,0)+IF(V128&lt;=0,$F$24,0))))</f>
        <v/>
      </c>
      <c r="AP129">
        <f>IF(C128&lt;=0,(Dashboard!$C$11+IF(C128&lt;=0,$F$5,0)+IF(D128&lt;=0,$F$6,0)+IF(E128&lt;=0,$F$7,0)+IF(F128&lt;=0,$F$8,0)+IF(G128&lt;=0,$F$9,0)+IF(H128&lt;=0,$F$10,0)+IF(I128&lt;=0,$F$11,0)+IF(J128&lt;=0,$F$12,0)+IF(K128&lt;=0,$F$13,0)+IF(L128&lt;=0,$F$14,0)+IF(M128&lt;=0,$F$15,0)+IF(N128&lt;=0,$F$16,0)+IF(O128&lt;=0,$F$17,0)+IF(P128&lt;=0,$F$18,0)+IF(Q128&lt;=0,$F$19,0)+IF(R128&lt;=0,$F$20,0)+IF(S128&lt;=0,$F$21,0)+IF(T128&lt;=0,$F$22,0)+IF(U128&lt;=0,$F$23,0)+IF(V128&lt;=0,$F$24,0)),MAX(0,$F$5+(Dashboard!$C$11+IF(C128&lt;=0,$F$5,0)+IF(D128&lt;=0,$F$6,0)+IF(E128&lt;=0,$F$7,0)+IF(F128&lt;=0,$F$8,0)+IF(G128&lt;=0,$F$9,0)+IF(H128&lt;=0,$F$10,0)+IF(I128&lt;=0,$F$11,0)+IF(J128&lt;=0,$F$12,0)+IF(K128&lt;=0,$F$13,0)+IF(L128&lt;=0,$F$14,0)+IF(M128&lt;=0,$F$15,0)+IF(N128&lt;=0,$F$16,0)+IF(O128&lt;=0,$F$17,0)+IF(P128&lt;=0,$F$18,0)+IF(Q128&lt;=0,$F$19,0)+IF(R128&lt;=0,$F$20,0)+IF(S128&lt;=0,$F$21,0)+IF(T128&lt;=0,$F$22,0)+IF(U128&lt;=0,$F$23,0)+IF(V128&lt;=0,$F$24,0))-C128-AN129))</f>
        <v/>
      </c>
      <c r="AQ129">
        <f>IF(D128&lt;=0,0,D128*$E$6/12)</f>
        <v/>
      </c>
      <c r="AR129">
        <f>IF(D128&lt;=0,0,MIN(D128+AQ129,$F$6+AP129))</f>
        <v/>
      </c>
      <c r="AS129">
        <f>IF(D128&lt;=0,AP129,MAX(0,$F$6+AP129-D128-AQ129))</f>
        <v/>
      </c>
      <c r="AT129">
        <f>IF(E128&lt;=0,0,E128*$E$7/12)</f>
        <v/>
      </c>
      <c r="AU129">
        <f>IF(E128&lt;=0,0,MIN(E128+AT129,$F$7+AS129))</f>
        <v/>
      </c>
      <c r="AV129">
        <f>IF(E128&lt;=0,AS129,MAX(0,$F$7+AS129-E128-AT129))</f>
        <v/>
      </c>
      <c r="AW129">
        <f>IF(F128&lt;=0,0,F128*$E$8/12)</f>
        <v/>
      </c>
      <c r="AX129">
        <f>IF(F128&lt;=0,0,MIN(F128+AW129,$F$8+AV129))</f>
        <v/>
      </c>
      <c r="AY129">
        <f>IF(F128&lt;=0,AV129,MAX(0,$F$8+AV129-F128-AW129))</f>
        <v/>
      </c>
      <c r="AZ129">
        <f>IF(G128&lt;=0,0,G128*$E$9/12)</f>
        <v/>
      </c>
      <c r="BA129">
        <f>IF(G128&lt;=0,0,MIN(G128+AZ129,$F$9+AY129))</f>
        <v/>
      </c>
      <c r="BB129">
        <f>IF(G128&lt;=0,AY129,MAX(0,$F$9+AY129-G128-AZ129))</f>
        <v/>
      </c>
      <c r="BC129">
        <f>IF(H128&lt;=0,0,H128*$E$10/12)</f>
        <v/>
      </c>
      <c r="BD129">
        <f>IF(H128&lt;=0,0,MIN(H128+BC129,$F$10+BB129))</f>
        <v/>
      </c>
      <c r="BE129">
        <f>IF(H128&lt;=0,BB129,MAX(0,$F$10+BB129-H128-BC129))</f>
        <v/>
      </c>
      <c r="BF129">
        <f>IF(I128&lt;=0,0,I128*$E$11/12)</f>
        <v/>
      </c>
      <c r="BG129">
        <f>IF(I128&lt;=0,0,MIN(I128+BF129,$F$11+BE129))</f>
        <v/>
      </c>
      <c r="BH129">
        <f>IF(I128&lt;=0,BE129,MAX(0,$F$11+BE129-I128-BF129))</f>
        <v/>
      </c>
      <c r="BI129">
        <f>IF(J128&lt;=0,0,J128*$E$12/12)</f>
        <v/>
      </c>
      <c r="BJ129">
        <f>IF(J128&lt;=0,0,MIN(J128+BI129,$F$12+BH129))</f>
        <v/>
      </c>
      <c r="BK129">
        <f>IF(J128&lt;=0,BH129,MAX(0,$F$12+BH129-J128-BI129))</f>
        <v/>
      </c>
      <c r="BL129">
        <f>IF(K128&lt;=0,0,K128*$E$13/12)</f>
        <v/>
      </c>
      <c r="BM129">
        <f>IF(K128&lt;=0,0,MIN(K128+BL129,$F$13+BK129))</f>
        <v/>
      </c>
      <c r="BN129">
        <f>IF(K128&lt;=0,BK129,MAX(0,$F$13+BK129-K128-BL129))</f>
        <v/>
      </c>
      <c r="BO129">
        <f>IF(L128&lt;=0,0,L128*$E$14/12)</f>
        <v/>
      </c>
      <c r="BP129">
        <f>IF(L128&lt;=0,0,MIN(L128+BO129,$F$14+BN129))</f>
        <v/>
      </c>
      <c r="BQ129">
        <f>IF(L128&lt;=0,BN129,MAX(0,$F$14+BN129-L128-BO129))</f>
        <v/>
      </c>
      <c r="BR129">
        <f>IF(M128&lt;=0,0,M128*$E$15/12)</f>
        <v/>
      </c>
      <c r="BS129">
        <f>IF(M128&lt;=0,0,MIN(M128+BR129,$F$15+BQ129))</f>
        <v/>
      </c>
      <c r="BT129">
        <f>IF(M128&lt;=0,BQ129,MAX(0,$F$15+BQ129-M128-BR129))</f>
        <v/>
      </c>
      <c r="BU129">
        <f>IF(N128&lt;=0,0,N128*$E$16/12)</f>
        <v/>
      </c>
      <c r="BV129">
        <f>IF(N128&lt;=0,0,MIN(N128+BU129,$F$16+BT129))</f>
        <v/>
      </c>
      <c r="BW129">
        <f>IF(N128&lt;=0,BT129,MAX(0,$F$16+BT129-N128-BU129))</f>
        <v/>
      </c>
      <c r="BX129">
        <f>IF(O128&lt;=0,0,O128*$E$17/12)</f>
        <v/>
      </c>
      <c r="BY129">
        <f>IF(O128&lt;=0,0,MIN(O128+BX129,$F$17+BW129))</f>
        <v/>
      </c>
      <c r="BZ129">
        <f>IF(O128&lt;=0,BW129,MAX(0,$F$17+BW129-O128-BX129))</f>
        <v/>
      </c>
      <c r="CA129">
        <f>IF(P128&lt;=0,0,P128*$E$18/12)</f>
        <v/>
      </c>
      <c r="CB129">
        <f>IF(P128&lt;=0,0,MIN(P128+CA129,$F$18+BZ129))</f>
        <v/>
      </c>
      <c r="CC129">
        <f>IF(P128&lt;=0,BZ129,MAX(0,$F$18+BZ129-P128-CA129))</f>
        <v/>
      </c>
      <c r="CD129">
        <f>IF(Q128&lt;=0,0,Q128*$E$19/12)</f>
        <v/>
      </c>
      <c r="CE129">
        <f>IF(Q128&lt;=0,0,MIN(Q128+CD129,$F$19+CC129))</f>
        <v/>
      </c>
      <c r="CF129">
        <f>IF(Q128&lt;=0,CC129,MAX(0,$F$19+CC129-Q128-CD129))</f>
        <v/>
      </c>
      <c r="CG129">
        <f>IF(R128&lt;=0,0,R128*$E$20/12)</f>
        <v/>
      </c>
      <c r="CH129">
        <f>IF(R128&lt;=0,0,MIN(R128+CG129,$F$20+CF129))</f>
        <v/>
      </c>
      <c r="CI129">
        <f>IF(R128&lt;=0,CF129,MAX(0,$F$20+CF129-R128-CG129))</f>
        <v/>
      </c>
      <c r="CJ129">
        <f>IF(S128&lt;=0,0,S128*$E$21/12)</f>
        <v/>
      </c>
      <c r="CK129">
        <f>IF(S128&lt;=0,0,MIN(S128+CJ129,$F$21+CI129))</f>
        <v/>
      </c>
      <c r="CL129">
        <f>IF(S128&lt;=0,CI129,MAX(0,$F$21+CI129-S128-CJ129))</f>
        <v/>
      </c>
      <c r="CM129">
        <f>IF(T128&lt;=0,0,T128*$E$22/12)</f>
        <v/>
      </c>
      <c r="CN129">
        <f>IF(T128&lt;=0,0,MIN(T128+CM129,$F$22+CL129))</f>
        <v/>
      </c>
      <c r="CO129">
        <f>IF(T128&lt;=0,CL129,MAX(0,$F$22+CL129-T128-CM129))</f>
        <v/>
      </c>
      <c r="CP129">
        <f>IF(U128&lt;=0,0,U128*$E$23/12)</f>
        <v/>
      </c>
      <c r="CQ129">
        <f>IF(U128&lt;=0,0,MIN(U128+CP129,$F$23+CO129))</f>
        <v/>
      </c>
      <c r="CR129">
        <f>IF(U128&lt;=0,CO129,MAX(0,$F$23+CO129-U128-CP129))</f>
        <v/>
      </c>
      <c r="CS129">
        <f>IF(V128&lt;=0,0,V128*$E$24/12)</f>
        <v/>
      </c>
      <c r="CT129">
        <f>IF(V128&lt;=0,0,MIN(V128+CS129,$F$24+CR129))</f>
        <v/>
      </c>
      <c r="CU129">
        <f>IF(V128&lt;=0,CR129,MAX(0,$F$24+CR129-V128-CS129))</f>
        <v/>
      </c>
    </row>
    <row r="130">
      <c r="B130" s="39" t="n">
        <v>104</v>
      </c>
      <c r="C130" s="13">
        <f>IF(C129&lt;=0,0,MAX(0,C129+AN130-AO130))</f>
        <v/>
      </c>
      <c r="D130" s="13">
        <f>IF(D129&lt;=0,0,MAX(0,D129+AQ130-AR130))</f>
        <v/>
      </c>
      <c r="E130" s="13">
        <f>IF(E129&lt;=0,0,MAX(0,E129+AT130-AU130))</f>
        <v/>
      </c>
      <c r="F130" s="13">
        <f>IF(F129&lt;=0,0,MAX(0,F129+AW130-AX130))</f>
        <v/>
      </c>
      <c r="G130" s="13">
        <f>IF(G129&lt;=0,0,MAX(0,G129+AZ130-BA130))</f>
        <v/>
      </c>
      <c r="H130" s="13">
        <f>IF(H129&lt;=0,0,MAX(0,H129+BC130-BD130))</f>
        <v/>
      </c>
      <c r="I130" s="13">
        <f>IF(I129&lt;=0,0,MAX(0,I129+BF130-BG130))</f>
        <v/>
      </c>
      <c r="J130" s="13">
        <f>IF(J129&lt;=0,0,MAX(0,J129+BI130-BJ130))</f>
        <v/>
      </c>
      <c r="K130" s="13">
        <f>IF(K129&lt;=0,0,MAX(0,K129+BL130-BM130))</f>
        <v/>
      </c>
      <c r="L130" s="13">
        <f>IF(L129&lt;=0,0,MAX(0,L129+BO130-BP130))</f>
        <v/>
      </c>
      <c r="M130" s="13">
        <f>IF(M129&lt;=0,0,MAX(0,M129+BR130-BS130))</f>
        <v/>
      </c>
      <c r="N130" s="13">
        <f>IF(N129&lt;=0,0,MAX(0,N129+BU130-BV130))</f>
        <v/>
      </c>
      <c r="O130" s="13">
        <f>IF(O129&lt;=0,0,MAX(0,O129+BX130-BY130))</f>
        <v/>
      </c>
      <c r="P130" s="13">
        <f>IF(P129&lt;=0,0,MAX(0,P129+CA130-CB130))</f>
        <v/>
      </c>
      <c r="Q130" s="13">
        <f>IF(Q129&lt;=0,0,MAX(0,Q129+CD130-CE130))</f>
        <v/>
      </c>
      <c r="R130" s="13">
        <f>IF(R129&lt;=0,0,MAX(0,R129+CG130-CH130))</f>
        <v/>
      </c>
      <c r="S130" s="13">
        <f>IF(S129&lt;=0,0,MAX(0,S129+CJ130-CK130))</f>
        <v/>
      </c>
      <c r="T130" s="13">
        <f>IF(T129&lt;=0,0,MAX(0,T129+CM130-CN130))</f>
        <v/>
      </c>
      <c r="U130" s="13">
        <f>IF(U129&lt;=0,0,MAX(0,U129+CP130-CQ130))</f>
        <v/>
      </c>
      <c r="V130" s="13">
        <f>IF(V129&lt;=0,0,MAX(0,V129+CS130-CT130))</f>
        <v/>
      </c>
      <c r="W130" s="13">
        <f>AO130+AR130+AU130+AX130+BA130+BD130+BG130+BJ130+BM130+BP130+BS130+BV130+BY130+CB130+CE130+CH130+CK130+CN130+CQ130+CT130</f>
        <v/>
      </c>
      <c r="X130" s="13">
        <f>AN130+AQ130+AT130+AW130+AZ130+BC130+BF130+BI130+BL130+BO130+BR130+BU130+BX130+CA130+CD130+CG130+CJ130+CM130+CP130+CS130</f>
        <v/>
      </c>
      <c r="Y130" s="27">
        <f>C130+D130+E130+F130+G130+H130+I130+J130+K130+L130+M130+N130+O130+P130+Q130+R130+S130+T130+U130+V130</f>
        <v/>
      </c>
      <c r="AN130">
        <f>IF(C129&lt;=0,0,C129*$E$5/12)</f>
        <v/>
      </c>
      <c r="AO130">
        <f>IF(C129&lt;=0,0,MIN(C129+AN130,$F$5+(Dashboard!$C$11+IF(C129&lt;=0,$F$5,0)+IF(D129&lt;=0,$F$6,0)+IF(E129&lt;=0,$F$7,0)+IF(F129&lt;=0,$F$8,0)+IF(G129&lt;=0,$F$9,0)+IF(H129&lt;=0,$F$10,0)+IF(I129&lt;=0,$F$11,0)+IF(J129&lt;=0,$F$12,0)+IF(K129&lt;=0,$F$13,0)+IF(L129&lt;=0,$F$14,0)+IF(M129&lt;=0,$F$15,0)+IF(N129&lt;=0,$F$16,0)+IF(O129&lt;=0,$F$17,0)+IF(P129&lt;=0,$F$18,0)+IF(Q129&lt;=0,$F$19,0)+IF(R129&lt;=0,$F$20,0)+IF(S129&lt;=0,$F$21,0)+IF(T129&lt;=0,$F$22,0)+IF(U129&lt;=0,$F$23,0)+IF(V129&lt;=0,$F$24,0))))</f>
        <v/>
      </c>
      <c r="AP130">
        <f>IF(C129&lt;=0,(Dashboard!$C$11+IF(C129&lt;=0,$F$5,0)+IF(D129&lt;=0,$F$6,0)+IF(E129&lt;=0,$F$7,0)+IF(F129&lt;=0,$F$8,0)+IF(G129&lt;=0,$F$9,0)+IF(H129&lt;=0,$F$10,0)+IF(I129&lt;=0,$F$11,0)+IF(J129&lt;=0,$F$12,0)+IF(K129&lt;=0,$F$13,0)+IF(L129&lt;=0,$F$14,0)+IF(M129&lt;=0,$F$15,0)+IF(N129&lt;=0,$F$16,0)+IF(O129&lt;=0,$F$17,0)+IF(P129&lt;=0,$F$18,0)+IF(Q129&lt;=0,$F$19,0)+IF(R129&lt;=0,$F$20,0)+IF(S129&lt;=0,$F$21,0)+IF(T129&lt;=0,$F$22,0)+IF(U129&lt;=0,$F$23,0)+IF(V129&lt;=0,$F$24,0)),MAX(0,$F$5+(Dashboard!$C$11+IF(C129&lt;=0,$F$5,0)+IF(D129&lt;=0,$F$6,0)+IF(E129&lt;=0,$F$7,0)+IF(F129&lt;=0,$F$8,0)+IF(G129&lt;=0,$F$9,0)+IF(H129&lt;=0,$F$10,0)+IF(I129&lt;=0,$F$11,0)+IF(J129&lt;=0,$F$12,0)+IF(K129&lt;=0,$F$13,0)+IF(L129&lt;=0,$F$14,0)+IF(M129&lt;=0,$F$15,0)+IF(N129&lt;=0,$F$16,0)+IF(O129&lt;=0,$F$17,0)+IF(P129&lt;=0,$F$18,0)+IF(Q129&lt;=0,$F$19,0)+IF(R129&lt;=0,$F$20,0)+IF(S129&lt;=0,$F$21,0)+IF(T129&lt;=0,$F$22,0)+IF(U129&lt;=0,$F$23,0)+IF(V129&lt;=0,$F$24,0))-C129-AN130))</f>
        <v/>
      </c>
      <c r="AQ130">
        <f>IF(D129&lt;=0,0,D129*$E$6/12)</f>
        <v/>
      </c>
      <c r="AR130">
        <f>IF(D129&lt;=0,0,MIN(D129+AQ130,$F$6+AP130))</f>
        <v/>
      </c>
      <c r="AS130">
        <f>IF(D129&lt;=0,AP130,MAX(0,$F$6+AP130-D129-AQ130))</f>
        <v/>
      </c>
      <c r="AT130">
        <f>IF(E129&lt;=0,0,E129*$E$7/12)</f>
        <v/>
      </c>
      <c r="AU130">
        <f>IF(E129&lt;=0,0,MIN(E129+AT130,$F$7+AS130))</f>
        <v/>
      </c>
      <c r="AV130">
        <f>IF(E129&lt;=0,AS130,MAX(0,$F$7+AS130-E129-AT130))</f>
        <v/>
      </c>
      <c r="AW130">
        <f>IF(F129&lt;=0,0,F129*$E$8/12)</f>
        <v/>
      </c>
      <c r="AX130">
        <f>IF(F129&lt;=0,0,MIN(F129+AW130,$F$8+AV130))</f>
        <v/>
      </c>
      <c r="AY130">
        <f>IF(F129&lt;=0,AV130,MAX(0,$F$8+AV130-F129-AW130))</f>
        <v/>
      </c>
      <c r="AZ130">
        <f>IF(G129&lt;=0,0,G129*$E$9/12)</f>
        <v/>
      </c>
      <c r="BA130">
        <f>IF(G129&lt;=0,0,MIN(G129+AZ130,$F$9+AY130))</f>
        <v/>
      </c>
      <c r="BB130">
        <f>IF(G129&lt;=0,AY130,MAX(0,$F$9+AY130-G129-AZ130))</f>
        <v/>
      </c>
      <c r="BC130">
        <f>IF(H129&lt;=0,0,H129*$E$10/12)</f>
        <v/>
      </c>
      <c r="BD130">
        <f>IF(H129&lt;=0,0,MIN(H129+BC130,$F$10+BB130))</f>
        <v/>
      </c>
      <c r="BE130">
        <f>IF(H129&lt;=0,BB130,MAX(0,$F$10+BB130-H129-BC130))</f>
        <v/>
      </c>
      <c r="BF130">
        <f>IF(I129&lt;=0,0,I129*$E$11/12)</f>
        <v/>
      </c>
      <c r="BG130">
        <f>IF(I129&lt;=0,0,MIN(I129+BF130,$F$11+BE130))</f>
        <v/>
      </c>
      <c r="BH130">
        <f>IF(I129&lt;=0,BE130,MAX(0,$F$11+BE130-I129-BF130))</f>
        <v/>
      </c>
      <c r="BI130">
        <f>IF(J129&lt;=0,0,J129*$E$12/12)</f>
        <v/>
      </c>
      <c r="BJ130">
        <f>IF(J129&lt;=0,0,MIN(J129+BI130,$F$12+BH130))</f>
        <v/>
      </c>
      <c r="BK130">
        <f>IF(J129&lt;=0,BH130,MAX(0,$F$12+BH130-J129-BI130))</f>
        <v/>
      </c>
      <c r="BL130">
        <f>IF(K129&lt;=0,0,K129*$E$13/12)</f>
        <v/>
      </c>
      <c r="BM130">
        <f>IF(K129&lt;=0,0,MIN(K129+BL130,$F$13+BK130))</f>
        <v/>
      </c>
      <c r="BN130">
        <f>IF(K129&lt;=0,BK130,MAX(0,$F$13+BK130-K129-BL130))</f>
        <v/>
      </c>
      <c r="BO130">
        <f>IF(L129&lt;=0,0,L129*$E$14/12)</f>
        <v/>
      </c>
      <c r="BP130">
        <f>IF(L129&lt;=0,0,MIN(L129+BO130,$F$14+BN130))</f>
        <v/>
      </c>
      <c r="BQ130">
        <f>IF(L129&lt;=0,BN130,MAX(0,$F$14+BN130-L129-BO130))</f>
        <v/>
      </c>
      <c r="BR130">
        <f>IF(M129&lt;=0,0,M129*$E$15/12)</f>
        <v/>
      </c>
      <c r="BS130">
        <f>IF(M129&lt;=0,0,MIN(M129+BR130,$F$15+BQ130))</f>
        <v/>
      </c>
      <c r="BT130">
        <f>IF(M129&lt;=0,BQ130,MAX(0,$F$15+BQ130-M129-BR130))</f>
        <v/>
      </c>
      <c r="BU130">
        <f>IF(N129&lt;=0,0,N129*$E$16/12)</f>
        <v/>
      </c>
      <c r="BV130">
        <f>IF(N129&lt;=0,0,MIN(N129+BU130,$F$16+BT130))</f>
        <v/>
      </c>
      <c r="BW130">
        <f>IF(N129&lt;=0,BT130,MAX(0,$F$16+BT130-N129-BU130))</f>
        <v/>
      </c>
      <c r="BX130">
        <f>IF(O129&lt;=0,0,O129*$E$17/12)</f>
        <v/>
      </c>
      <c r="BY130">
        <f>IF(O129&lt;=0,0,MIN(O129+BX130,$F$17+BW130))</f>
        <v/>
      </c>
      <c r="BZ130">
        <f>IF(O129&lt;=0,BW130,MAX(0,$F$17+BW130-O129-BX130))</f>
        <v/>
      </c>
      <c r="CA130">
        <f>IF(P129&lt;=0,0,P129*$E$18/12)</f>
        <v/>
      </c>
      <c r="CB130">
        <f>IF(P129&lt;=0,0,MIN(P129+CA130,$F$18+BZ130))</f>
        <v/>
      </c>
      <c r="CC130">
        <f>IF(P129&lt;=0,BZ130,MAX(0,$F$18+BZ130-P129-CA130))</f>
        <v/>
      </c>
      <c r="CD130">
        <f>IF(Q129&lt;=0,0,Q129*$E$19/12)</f>
        <v/>
      </c>
      <c r="CE130">
        <f>IF(Q129&lt;=0,0,MIN(Q129+CD130,$F$19+CC130))</f>
        <v/>
      </c>
      <c r="CF130">
        <f>IF(Q129&lt;=0,CC130,MAX(0,$F$19+CC130-Q129-CD130))</f>
        <v/>
      </c>
      <c r="CG130">
        <f>IF(R129&lt;=0,0,R129*$E$20/12)</f>
        <v/>
      </c>
      <c r="CH130">
        <f>IF(R129&lt;=0,0,MIN(R129+CG130,$F$20+CF130))</f>
        <v/>
      </c>
      <c r="CI130">
        <f>IF(R129&lt;=0,CF130,MAX(0,$F$20+CF130-R129-CG130))</f>
        <v/>
      </c>
      <c r="CJ130">
        <f>IF(S129&lt;=0,0,S129*$E$21/12)</f>
        <v/>
      </c>
      <c r="CK130">
        <f>IF(S129&lt;=0,0,MIN(S129+CJ130,$F$21+CI130))</f>
        <v/>
      </c>
      <c r="CL130">
        <f>IF(S129&lt;=0,CI130,MAX(0,$F$21+CI130-S129-CJ130))</f>
        <v/>
      </c>
      <c r="CM130">
        <f>IF(T129&lt;=0,0,T129*$E$22/12)</f>
        <v/>
      </c>
      <c r="CN130">
        <f>IF(T129&lt;=0,0,MIN(T129+CM130,$F$22+CL130))</f>
        <v/>
      </c>
      <c r="CO130">
        <f>IF(T129&lt;=0,CL130,MAX(0,$F$22+CL130-T129-CM130))</f>
        <v/>
      </c>
      <c r="CP130">
        <f>IF(U129&lt;=0,0,U129*$E$23/12)</f>
        <v/>
      </c>
      <c r="CQ130">
        <f>IF(U129&lt;=0,0,MIN(U129+CP130,$F$23+CO130))</f>
        <v/>
      </c>
      <c r="CR130">
        <f>IF(U129&lt;=0,CO130,MAX(0,$F$23+CO130-U129-CP130))</f>
        <v/>
      </c>
      <c r="CS130">
        <f>IF(V129&lt;=0,0,V129*$E$24/12)</f>
        <v/>
      </c>
      <c r="CT130">
        <f>IF(V129&lt;=0,0,MIN(V129+CS130,$F$24+CR130))</f>
        <v/>
      </c>
      <c r="CU130">
        <f>IF(V129&lt;=0,CR130,MAX(0,$F$24+CR130-V129-CS130))</f>
        <v/>
      </c>
    </row>
    <row r="131">
      <c r="B131" s="39" t="n">
        <v>105</v>
      </c>
      <c r="C131" s="13">
        <f>IF(C130&lt;=0,0,MAX(0,C130+AN131-AO131))</f>
        <v/>
      </c>
      <c r="D131" s="13">
        <f>IF(D130&lt;=0,0,MAX(0,D130+AQ131-AR131))</f>
        <v/>
      </c>
      <c r="E131" s="13">
        <f>IF(E130&lt;=0,0,MAX(0,E130+AT131-AU131))</f>
        <v/>
      </c>
      <c r="F131" s="13">
        <f>IF(F130&lt;=0,0,MAX(0,F130+AW131-AX131))</f>
        <v/>
      </c>
      <c r="G131" s="13">
        <f>IF(G130&lt;=0,0,MAX(0,G130+AZ131-BA131))</f>
        <v/>
      </c>
      <c r="H131" s="13">
        <f>IF(H130&lt;=0,0,MAX(0,H130+BC131-BD131))</f>
        <v/>
      </c>
      <c r="I131" s="13">
        <f>IF(I130&lt;=0,0,MAX(0,I130+BF131-BG131))</f>
        <v/>
      </c>
      <c r="J131" s="13">
        <f>IF(J130&lt;=0,0,MAX(0,J130+BI131-BJ131))</f>
        <v/>
      </c>
      <c r="K131" s="13">
        <f>IF(K130&lt;=0,0,MAX(0,K130+BL131-BM131))</f>
        <v/>
      </c>
      <c r="L131" s="13">
        <f>IF(L130&lt;=0,0,MAX(0,L130+BO131-BP131))</f>
        <v/>
      </c>
      <c r="M131" s="13">
        <f>IF(M130&lt;=0,0,MAX(0,M130+BR131-BS131))</f>
        <v/>
      </c>
      <c r="N131" s="13">
        <f>IF(N130&lt;=0,0,MAX(0,N130+BU131-BV131))</f>
        <v/>
      </c>
      <c r="O131" s="13">
        <f>IF(O130&lt;=0,0,MAX(0,O130+BX131-BY131))</f>
        <v/>
      </c>
      <c r="P131" s="13">
        <f>IF(P130&lt;=0,0,MAX(0,P130+CA131-CB131))</f>
        <v/>
      </c>
      <c r="Q131" s="13">
        <f>IF(Q130&lt;=0,0,MAX(0,Q130+CD131-CE131))</f>
        <v/>
      </c>
      <c r="R131" s="13">
        <f>IF(R130&lt;=0,0,MAX(0,R130+CG131-CH131))</f>
        <v/>
      </c>
      <c r="S131" s="13">
        <f>IF(S130&lt;=0,0,MAX(0,S130+CJ131-CK131))</f>
        <v/>
      </c>
      <c r="T131" s="13">
        <f>IF(T130&lt;=0,0,MAX(0,T130+CM131-CN131))</f>
        <v/>
      </c>
      <c r="U131" s="13">
        <f>IF(U130&lt;=0,0,MAX(0,U130+CP131-CQ131))</f>
        <v/>
      </c>
      <c r="V131" s="13">
        <f>IF(V130&lt;=0,0,MAX(0,V130+CS131-CT131))</f>
        <v/>
      </c>
      <c r="W131" s="13">
        <f>AO131+AR131+AU131+AX131+BA131+BD131+BG131+BJ131+BM131+BP131+BS131+BV131+BY131+CB131+CE131+CH131+CK131+CN131+CQ131+CT131</f>
        <v/>
      </c>
      <c r="X131" s="13">
        <f>AN131+AQ131+AT131+AW131+AZ131+BC131+BF131+BI131+BL131+BO131+BR131+BU131+BX131+CA131+CD131+CG131+CJ131+CM131+CP131+CS131</f>
        <v/>
      </c>
      <c r="Y131" s="27">
        <f>C131+D131+E131+F131+G131+H131+I131+J131+K131+L131+M131+N131+O131+P131+Q131+R131+S131+T131+U131+V131</f>
        <v/>
      </c>
      <c r="AN131">
        <f>IF(C130&lt;=0,0,C130*$E$5/12)</f>
        <v/>
      </c>
      <c r="AO131">
        <f>IF(C130&lt;=0,0,MIN(C130+AN131,$F$5+(Dashboard!$C$11+IF(C130&lt;=0,$F$5,0)+IF(D130&lt;=0,$F$6,0)+IF(E130&lt;=0,$F$7,0)+IF(F130&lt;=0,$F$8,0)+IF(G130&lt;=0,$F$9,0)+IF(H130&lt;=0,$F$10,0)+IF(I130&lt;=0,$F$11,0)+IF(J130&lt;=0,$F$12,0)+IF(K130&lt;=0,$F$13,0)+IF(L130&lt;=0,$F$14,0)+IF(M130&lt;=0,$F$15,0)+IF(N130&lt;=0,$F$16,0)+IF(O130&lt;=0,$F$17,0)+IF(P130&lt;=0,$F$18,0)+IF(Q130&lt;=0,$F$19,0)+IF(R130&lt;=0,$F$20,0)+IF(S130&lt;=0,$F$21,0)+IF(T130&lt;=0,$F$22,0)+IF(U130&lt;=0,$F$23,0)+IF(V130&lt;=0,$F$24,0))))</f>
        <v/>
      </c>
      <c r="AP131">
        <f>IF(C130&lt;=0,(Dashboard!$C$11+IF(C130&lt;=0,$F$5,0)+IF(D130&lt;=0,$F$6,0)+IF(E130&lt;=0,$F$7,0)+IF(F130&lt;=0,$F$8,0)+IF(G130&lt;=0,$F$9,0)+IF(H130&lt;=0,$F$10,0)+IF(I130&lt;=0,$F$11,0)+IF(J130&lt;=0,$F$12,0)+IF(K130&lt;=0,$F$13,0)+IF(L130&lt;=0,$F$14,0)+IF(M130&lt;=0,$F$15,0)+IF(N130&lt;=0,$F$16,0)+IF(O130&lt;=0,$F$17,0)+IF(P130&lt;=0,$F$18,0)+IF(Q130&lt;=0,$F$19,0)+IF(R130&lt;=0,$F$20,0)+IF(S130&lt;=0,$F$21,0)+IF(T130&lt;=0,$F$22,0)+IF(U130&lt;=0,$F$23,0)+IF(V130&lt;=0,$F$24,0)),MAX(0,$F$5+(Dashboard!$C$11+IF(C130&lt;=0,$F$5,0)+IF(D130&lt;=0,$F$6,0)+IF(E130&lt;=0,$F$7,0)+IF(F130&lt;=0,$F$8,0)+IF(G130&lt;=0,$F$9,0)+IF(H130&lt;=0,$F$10,0)+IF(I130&lt;=0,$F$11,0)+IF(J130&lt;=0,$F$12,0)+IF(K130&lt;=0,$F$13,0)+IF(L130&lt;=0,$F$14,0)+IF(M130&lt;=0,$F$15,0)+IF(N130&lt;=0,$F$16,0)+IF(O130&lt;=0,$F$17,0)+IF(P130&lt;=0,$F$18,0)+IF(Q130&lt;=0,$F$19,0)+IF(R130&lt;=0,$F$20,0)+IF(S130&lt;=0,$F$21,0)+IF(T130&lt;=0,$F$22,0)+IF(U130&lt;=0,$F$23,0)+IF(V130&lt;=0,$F$24,0))-C130-AN131))</f>
        <v/>
      </c>
      <c r="AQ131">
        <f>IF(D130&lt;=0,0,D130*$E$6/12)</f>
        <v/>
      </c>
      <c r="AR131">
        <f>IF(D130&lt;=0,0,MIN(D130+AQ131,$F$6+AP131))</f>
        <v/>
      </c>
      <c r="AS131">
        <f>IF(D130&lt;=0,AP131,MAX(0,$F$6+AP131-D130-AQ131))</f>
        <v/>
      </c>
      <c r="AT131">
        <f>IF(E130&lt;=0,0,E130*$E$7/12)</f>
        <v/>
      </c>
      <c r="AU131">
        <f>IF(E130&lt;=0,0,MIN(E130+AT131,$F$7+AS131))</f>
        <v/>
      </c>
      <c r="AV131">
        <f>IF(E130&lt;=0,AS131,MAX(0,$F$7+AS131-E130-AT131))</f>
        <v/>
      </c>
      <c r="AW131">
        <f>IF(F130&lt;=0,0,F130*$E$8/12)</f>
        <v/>
      </c>
      <c r="AX131">
        <f>IF(F130&lt;=0,0,MIN(F130+AW131,$F$8+AV131))</f>
        <v/>
      </c>
      <c r="AY131">
        <f>IF(F130&lt;=0,AV131,MAX(0,$F$8+AV131-F130-AW131))</f>
        <v/>
      </c>
      <c r="AZ131">
        <f>IF(G130&lt;=0,0,G130*$E$9/12)</f>
        <v/>
      </c>
      <c r="BA131">
        <f>IF(G130&lt;=0,0,MIN(G130+AZ131,$F$9+AY131))</f>
        <v/>
      </c>
      <c r="BB131">
        <f>IF(G130&lt;=0,AY131,MAX(0,$F$9+AY131-G130-AZ131))</f>
        <v/>
      </c>
      <c r="BC131">
        <f>IF(H130&lt;=0,0,H130*$E$10/12)</f>
        <v/>
      </c>
      <c r="BD131">
        <f>IF(H130&lt;=0,0,MIN(H130+BC131,$F$10+BB131))</f>
        <v/>
      </c>
      <c r="BE131">
        <f>IF(H130&lt;=0,BB131,MAX(0,$F$10+BB131-H130-BC131))</f>
        <v/>
      </c>
      <c r="BF131">
        <f>IF(I130&lt;=0,0,I130*$E$11/12)</f>
        <v/>
      </c>
      <c r="BG131">
        <f>IF(I130&lt;=0,0,MIN(I130+BF131,$F$11+BE131))</f>
        <v/>
      </c>
      <c r="BH131">
        <f>IF(I130&lt;=0,BE131,MAX(0,$F$11+BE131-I130-BF131))</f>
        <v/>
      </c>
      <c r="BI131">
        <f>IF(J130&lt;=0,0,J130*$E$12/12)</f>
        <v/>
      </c>
      <c r="BJ131">
        <f>IF(J130&lt;=0,0,MIN(J130+BI131,$F$12+BH131))</f>
        <v/>
      </c>
      <c r="BK131">
        <f>IF(J130&lt;=0,BH131,MAX(0,$F$12+BH131-J130-BI131))</f>
        <v/>
      </c>
      <c r="BL131">
        <f>IF(K130&lt;=0,0,K130*$E$13/12)</f>
        <v/>
      </c>
      <c r="BM131">
        <f>IF(K130&lt;=0,0,MIN(K130+BL131,$F$13+BK131))</f>
        <v/>
      </c>
      <c r="BN131">
        <f>IF(K130&lt;=0,BK131,MAX(0,$F$13+BK131-K130-BL131))</f>
        <v/>
      </c>
      <c r="BO131">
        <f>IF(L130&lt;=0,0,L130*$E$14/12)</f>
        <v/>
      </c>
      <c r="BP131">
        <f>IF(L130&lt;=0,0,MIN(L130+BO131,$F$14+BN131))</f>
        <v/>
      </c>
      <c r="BQ131">
        <f>IF(L130&lt;=0,BN131,MAX(0,$F$14+BN131-L130-BO131))</f>
        <v/>
      </c>
      <c r="BR131">
        <f>IF(M130&lt;=0,0,M130*$E$15/12)</f>
        <v/>
      </c>
      <c r="BS131">
        <f>IF(M130&lt;=0,0,MIN(M130+BR131,$F$15+BQ131))</f>
        <v/>
      </c>
      <c r="BT131">
        <f>IF(M130&lt;=0,BQ131,MAX(0,$F$15+BQ131-M130-BR131))</f>
        <v/>
      </c>
      <c r="BU131">
        <f>IF(N130&lt;=0,0,N130*$E$16/12)</f>
        <v/>
      </c>
      <c r="BV131">
        <f>IF(N130&lt;=0,0,MIN(N130+BU131,$F$16+BT131))</f>
        <v/>
      </c>
      <c r="BW131">
        <f>IF(N130&lt;=0,BT131,MAX(0,$F$16+BT131-N130-BU131))</f>
        <v/>
      </c>
      <c r="BX131">
        <f>IF(O130&lt;=0,0,O130*$E$17/12)</f>
        <v/>
      </c>
      <c r="BY131">
        <f>IF(O130&lt;=0,0,MIN(O130+BX131,$F$17+BW131))</f>
        <v/>
      </c>
      <c r="BZ131">
        <f>IF(O130&lt;=0,BW131,MAX(0,$F$17+BW131-O130-BX131))</f>
        <v/>
      </c>
      <c r="CA131">
        <f>IF(P130&lt;=0,0,P130*$E$18/12)</f>
        <v/>
      </c>
      <c r="CB131">
        <f>IF(P130&lt;=0,0,MIN(P130+CA131,$F$18+BZ131))</f>
        <v/>
      </c>
      <c r="CC131">
        <f>IF(P130&lt;=0,BZ131,MAX(0,$F$18+BZ131-P130-CA131))</f>
        <v/>
      </c>
      <c r="CD131">
        <f>IF(Q130&lt;=0,0,Q130*$E$19/12)</f>
        <v/>
      </c>
      <c r="CE131">
        <f>IF(Q130&lt;=0,0,MIN(Q130+CD131,$F$19+CC131))</f>
        <v/>
      </c>
      <c r="CF131">
        <f>IF(Q130&lt;=0,CC131,MAX(0,$F$19+CC131-Q130-CD131))</f>
        <v/>
      </c>
      <c r="CG131">
        <f>IF(R130&lt;=0,0,R130*$E$20/12)</f>
        <v/>
      </c>
      <c r="CH131">
        <f>IF(R130&lt;=0,0,MIN(R130+CG131,$F$20+CF131))</f>
        <v/>
      </c>
      <c r="CI131">
        <f>IF(R130&lt;=0,CF131,MAX(0,$F$20+CF131-R130-CG131))</f>
        <v/>
      </c>
      <c r="CJ131">
        <f>IF(S130&lt;=0,0,S130*$E$21/12)</f>
        <v/>
      </c>
      <c r="CK131">
        <f>IF(S130&lt;=0,0,MIN(S130+CJ131,$F$21+CI131))</f>
        <v/>
      </c>
      <c r="CL131">
        <f>IF(S130&lt;=0,CI131,MAX(0,$F$21+CI131-S130-CJ131))</f>
        <v/>
      </c>
      <c r="CM131">
        <f>IF(T130&lt;=0,0,T130*$E$22/12)</f>
        <v/>
      </c>
      <c r="CN131">
        <f>IF(T130&lt;=0,0,MIN(T130+CM131,$F$22+CL131))</f>
        <v/>
      </c>
      <c r="CO131">
        <f>IF(T130&lt;=0,CL131,MAX(0,$F$22+CL131-T130-CM131))</f>
        <v/>
      </c>
      <c r="CP131">
        <f>IF(U130&lt;=0,0,U130*$E$23/12)</f>
        <v/>
      </c>
      <c r="CQ131">
        <f>IF(U130&lt;=0,0,MIN(U130+CP131,$F$23+CO131))</f>
        <v/>
      </c>
      <c r="CR131">
        <f>IF(U130&lt;=0,CO131,MAX(0,$F$23+CO131-U130-CP131))</f>
        <v/>
      </c>
      <c r="CS131">
        <f>IF(V130&lt;=0,0,V130*$E$24/12)</f>
        <v/>
      </c>
      <c r="CT131">
        <f>IF(V130&lt;=0,0,MIN(V130+CS131,$F$24+CR131))</f>
        <v/>
      </c>
      <c r="CU131">
        <f>IF(V130&lt;=0,CR131,MAX(0,$F$24+CR131-V130-CS131))</f>
        <v/>
      </c>
    </row>
    <row r="132">
      <c r="B132" s="39" t="n">
        <v>106</v>
      </c>
      <c r="C132" s="13">
        <f>IF(C131&lt;=0,0,MAX(0,C131+AN132-AO132))</f>
        <v/>
      </c>
      <c r="D132" s="13">
        <f>IF(D131&lt;=0,0,MAX(0,D131+AQ132-AR132))</f>
        <v/>
      </c>
      <c r="E132" s="13">
        <f>IF(E131&lt;=0,0,MAX(0,E131+AT132-AU132))</f>
        <v/>
      </c>
      <c r="F132" s="13">
        <f>IF(F131&lt;=0,0,MAX(0,F131+AW132-AX132))</f>
        <v/>
      </c>
      <c r="G132" s="13">
        <f>IF(G131&lt;=0,0,MAX(0,G131+AZ132-BA132))</f>
        <v/>
      </c>
      <c r="H132" s="13">
        <f>IF(H131&lt;=0,0,MAX(0,H131+BC132-BD132))</f>
        <v/>
      </c>
      <c r="I132" s="13">
        <f>IF(I131&lt;=0,0,MAX(0,I131+BF132-BG132))</f>
        <v/>
      </c>
      <c r="J132" s="13">
        <f>IF(J131&lt;=0,0,MAX(0,J131+BI132-BJ132))</f>
        <v/>
      </c>
      <c r="K132" s="13">
        <f>IF(K131&lt;=0,0,MAX(0,K131+BL132-BM132))</f>
        <v/>
      </c>
      <c r="L132" s="13">
        <f>IF(L131&lt;=0,0,MAX(0,L131+BO132-BP132))</f>
        <v/>
      </c>
      <c r="M132" s="13">
        <f>IF(M131&lt;=0,0,MAX(0,M131+BR132-BS132))</f>
        <v/>
      </c>
      <c r="N132" s="13">
        <f>IF(N131&lt;=0,0,MAX(0,N131+BU132-BV132))</f>
        <v/>
      </c>
      <c r="O132" s="13">
        <f>IF(O131&lt;=0,0,MAX(0,O131+BX132-BY132))</f>
        <v/>
      </c>
      <c r="P132" s="13">
        <f>IF(P131&lt;=0,0,MAX(0,P131+CA132-CB132))</f>
        <v/>
      </c>
      <c r="Q132" s="13">
        <f>IF(Q131&lt;=0,0,MAX(0,Q131+CD132-CE132))</f>
        <v/>
      </c>
      <c r="R132" s="13">
        <f>IF(R131&lt;=0,0,MAX(0,R131+CG132-CH132))</f>
        <v/>
      </c>
      <c r="S132" s="13">
        <f>IF(S131&lt;=0,0,MAX(0,S131+CJ132-CK132))</f>
        <v/>
      </c>
      <c r="T132" s="13">
        <f>IF(T131&lt;=0,0,MAX(0,T131+CM132-CN132))</f>
        <v/>
      </c>
      <c r="U132" s="13">
        <f>IF(U131&lt;=0,0,MAX(0,U131+CP132-CQ132))</f>
        <v/>
      </c>
      <c r="V132" s="13">
        <f>IF(V131&lt;=0,0,MAX(0,V131+CS132-CT132))</f>
        <v/>
      </c>
      <c r="W132" s="13">
        <f>AO132+AR132+AU132+AX132+BA132+BD132+BG132+BJ132+BM132+BP132+BS132+BV132+BY132+CB132+CE132+CH132+CK132+CN132+CQ132+CT132</f>
        <v/>
      </c>
      <c r="X132" s="13">
        <f>AN132+AQ132+AT132+AW132+AZ132+BC132+BF132+BI132+BL132+BO132+BR132+BU132+BX132+CA132+CD132+CG132+CJ132+CM132+CP132+CS132</f>
        <v/>
      </c>
      <c r="Y132" s="27">
        <f>C132+D132+E132+F132+G132+H132+I132+J132+K132+L132+M132+N132+O132+P132+Q132+R132+S132+T132+U132+V132</f>
        <v/>
      </c>
      <c r="AN132">
        <f>IF(C131&lt;=0,0,C131*$E$5/12)</f>
        <v/>
      </c>
      <c r="AO132">
        <f>IF(C131&lt;=0,0,MIN(C131+AN132,$F$5+(Dashboard!$C$11+IF(C131&lt;=0,$F$5,0)+IF(D131&lt;=0,$F$6,0)+IF(E131&lt;=0,$F$7,0)+IF(F131&lt;=0,$F$8,0)+IF(G131&lt;=0,$F$9,0)+IF(H131&lt;=0,$F$10,0)+IF(I131&lt;=0,$F$11,0)+IF(J131&lt;=0,$F$12,0)+IF(K131&lt;=0,$F$13,0)+IF(L131&lt;=0,$F$14,0)+IF(M131&lt;=0,$F$15,0)+IF(N131&lt;=0,$F$16,0)+IF(O131&lt;=0,$F$17,0)+IF(P131&lt;=0,$F$18,0)+IF(Q131&lt;=0,$F$19,0)+IF(R131&lt;=0,$F$20,0)+IF(S131&lt;=0,$F$21,0)+IF(T131&lt;=0,$F$22,0)+IF(U131&lt;=0,$F$23,0)+IF(V131&lt;=0,$F$24,0))))</f>
        <v/>
      </c>
      <c r="AP132">
        <f>IF(C131&lt;=0,(Dashboard!$C$11+IF(C131&lt;=0,$F$5,0)+IF(D131&lt;=0,$F$6,0)+IF(E131&lt;=0,$F$7,0)+IF(F131&lt;=0,$F$8,0)+IF(G131&lt;=0,$F$9,0)+IF(H131&lt;=0,$F$10,0)+IF(I131&lt;=0,$F$11,0)+IF(J131&lt;=0,$F$12,0)+IF(K131&lt;=0,$F$13,0)+IF(L131&lt;=0,$F$14,0)+IF(M131&lt;=0,$F$15,0)+IF(N131&lt;=0,$F$16,0)+IF(O131&lt;=0,$F$17,0)+IF(P131&lt;=0,$F$18,0)+IF(Q131&lt;=0,$F$19,0)+IF(R131&lt;=0,$F$20,0)+IF(S131&lt;=0,$F$21,0)+IF(T131&lt;=0,$F$22,0)+IF(U131&lt;=0,$F$23,0)+IF(V131&lt;=0,$F$24,0)),MAX(0,$F$5+(Dashboard!$C$11+IF(C131&lt;=0,$F$5,0)+IF(D131&lt;=0,$F$6,0)+IF(E131&lt;=0,$F$7,0)+IF(F131&lt;=0,$F$8,0)+IF(G131&lt;=0,$F$9,0)+IF(H131&lt;=0,$F$10,0)+IF(I131&lt;=0,$F$11,0)+IF(J131&lt;=0,$F$12,0)+IF(K131&lt;=0,$F$13,0)+IF(L131&lt;=0,$F$14,0)+IF(M131&lt;=0,$F$15,0)+IF(N131&lt;=0,$F$16,0)+IF(O131&lt;=0,$F$17,0)+IF(P131&lt;=0,$F$18,0)+IF(Q131&lt;=0,$F$19,0)+IF(R131&lt;=0,$F$20,0)+IF(S131&lt;=0,$F$21,0)+IF(T131&lt;=0,$F$22,0)+IF(U131&lt;=0,$F$23,0)+IF(V131&lt;=0,$F$24,0))-C131-AN132))</f>
        <v/>
      </c>
      <c r="AQ132">
        <f>IF(D131&lt;=0,0,D131*$E$6/12)</f>
        <v/>
      </c>
      <c r="AR132">
        <f>IF(D131&lt;=0,0,MIN(D131+AQ132,$F$6+AP132))</f>
        <v/>
      </c>
      <c r="AS132">
        <f>IF(D131&lt;=0,AP132,MAX(0,$F$6+AP132-D131-AQ132))</f>
        <v/>
      </c>
      <c r="AT132">
        <f>IF(E131&lt;=0,0,E131*$E$7/12)</f>
        <v/>
      </c>
      <c r="AU132">
        <f>IF(E131&lt;=0,0,MIN(E131+AT132,$F$7+AS132))</f>
        <v/>
      </c>
      <c r="AV132">
        <f>IF(E131&lt;=0,AS132,MAX(0,$F$7+AS132-E131-AT132))</f>
        <v/>
      </c>
      <c r="AW132">
        <f>IF(F131&lt;=0,0,F131*$E$8/12)</f>
        <v/>
      </c>
      <c r="AX132">
        <f>IF(F131&lt;=0,0,MIN(F131+AW132,$F$8+AV132))</f>
        <v/>
      </c>
      <c r="AY132">
        <f>IF(F131&lt;=0,AV132,MAX(0,$F$8+AV132-F131-AW132))</f>
        <v/>
      </c>
      <c r="AZ132">
        <f>IF(G131&lt;=0,0,G131*$E$9/12)</f>
        <v/>
      </c>
      <c r="BA132">
        <f>IF(G131&lt;=0,0,MIN(G131+AZ132,$F$9+AY132))</f>
        <v/>
      </c>
      <c r="BB132">
        <f>IF(G131&lt;=0,AY132,MAX(0,$F$9+AY132-G131-AZ132))</f>
        <v/>
      </c>
      <c r="BC132">
        <f>IF(H131&lt;=0,0,H131*$E$10/12)</f>
        <v/>
      </c>
      <c r="BD132">
        <f>IF(H131&lt;=0,0,MIN(H131+BC132,$F$10+BB132))</f>
        <v/>
      </c>
      <c r="BE132">
        <f>IF(H131&lt;=0,BB132,MAX(0,$F$10+BB132-H131-BC132))</f>
        <v/>
      </c>
      <c r="BF132">
        <f>IF(I131&lt;=0,0,I131*$E$11/12)</f>
        <v/>
      </c>
      <c r="BG132">
        <f>IF(I131&lt;=0,0,MIN(I131+BF132,$F$11+BE132))</f>
        <v/>
      </c>
      <c r="BH132">
        <f>IF(I131&lt;=0,BE132,MAX(0,$F$11+BE132-I131-BF132))</f>
        <v/>
      </c>
      <c r="BI132">
        <f>IF(J131&lt;=0,0,J131*$E$12/12)</f>
        <v/>
      </c>
      <c r="BJ132">
        <f>IF(J131&lt;=0,0,MIN(J131+BI132,$F$12+BH132))</f>
        <v/>
      </c>
      <c r="BK132">
        <f>IF(J131&lt;=0,BH132,MAX(0,$F$12+BH132-J131-BI132))</f>
        <v/>
      </c>
      <c r="BL132">
        <f>IF(K131&lt;=0,0,K131*$E$13/12)</f>
        <v/>
      </c>
      <c r="BM132">
        <f>IF(K131&lt;=0,0,MIN(K131+BL132,$F$13+BK132))</f>
        <v/>
      </c>
      <c r="BN132">
        <f>IF(K131&lt;=0,BK132,MAX(0,$F$13+BK132-K131-BL132))</f>
        <v/>
      </c>
      <c r="BO132">
        <f>IF(L131&lt;=0,0,L131*$E$14/12)</f>
        <v/>
      </c>
      <c r="BP132">
        <f>IF(L131&lt;=0,0,MIN(L131+BO132,$F$14+BN132))</f>
        <v/>
      </c>
      <c r="BQ132">
        <f>IF(L131&lt;=0,BN132,MAX(0,$F$14+BN132-L131-BO132))</f>
        <v/>
      </c>
      <c r="BR132">
        <f>IF(M131&lt;=0,0,M131*$E$15/12)</f>
        <v/>
      </c>
      <c r="BS132">
        <f>IF(M131&lt;=0,0,MIN(M131+BR132,$F$15+BQ132))</f>
        <v/>
      </c>
      <c r="BT132">
        <f>IF(M131&lt;=0,BQ132,MAX(0,$F$15+BQ132-M131-BR132))</f>
        <v/>
      </c>
      <c r="BU132">
        <f>IF(N131&lt;=0,0,N131*$E$16/12)</f>
        <v/>
      </c>
      <c r="BV132">
        <f>IF(N131&lt;=0,0,MIN(N131+BU132,$F$16+BT132))</f>
        <v/>
      </c>
      <c r="BW132">
        <f>IF(N131&lt;=0,BT132,MAX(0,$F$16+BT132-N131-BU132))</f>
        <v/>
      </c>
      <c r="BX132">
        <f>IF(O131&lt;=0,0,O131*$E$17/12)</f>
        <v/>
      </c>
      <c r="BY132">
        <f>IF(O131&lt;=0,0,MIN(O131+BX132,$F$17+BW132))</f>
        <v/>
      </c>
      <c r="BZ132">
        <f>IF(O131&lt;=0,BW132,MAX(0,$F$17+BW132-O131-BX132))</f>
        <v/>
      </c>
      <c r="CA132">
        <f>IF(P131&lt;=0,0,P131*$E$18/12)</f>
        <v/>
      </c>
      <c r="CB132">
        <f>IF(P131&lt;=0,0,MIN(P131+CA132,$F$18+BZ132))</f>
        <v/>
      </c>
      <c r="CC132">
        <f>IF(P131&lt;=0,BZ132,MAX(0,$F$18+BZ132-P131-CA132))</f>
        <v/>
      </c>
      <c r="CD132">
        <f>IF(Q131&lt;=0,0,Q131*$E$19/12)</f>
        <v/>
      </c>
      <c r="CE132">
        <f>IF(Q131&lt;=0,0,MIN(Q131+CD132,$F$19+CC132))</f>
        <v/>
      </c>
      <c r="CF132">
        <f>IF(Q131&lt;=0,CC132,MAX(0,$F$19+CC132-Q131-CD132))</f>
        <v/>
      </c>
      <c r="CG132">
        <f>IF(R131&lt;=0,0,R131*$E$20/12)</f>
        <v/>
      </c>
      <c r="CH132">
        <f>IF(R131&lt;=0,0,MIN(R131+CG132,$F$20+CF132))</f>
        <v/>
      </c>
      <c r="CI132">
        <f>IF(R131&lt;=0,CF132,MAX(0,$F$20+CF132-R131-CG132))</f>
        <v/>
      </c>
      <c r="CJ132">
        <f>IF(S131&lt;=0,0,S131*$E$21/12)</f>
        <v/>
      </c>
      <c r="CK132">
        <f>IF(S131&lt;=0,0,MIN(S131+CJ132,$F$21+CI132))</f>
        <v/>
      </c>
      <c r="CL132">
        <f>IF(S131&lt;=0,CI132,MAX(0,$F$21+CI132-S131-CJ132))</f>
        <v/>
      </c>
      <c r="CM132">
        <f>IF(T131&lt;=0,0,T131*$E$22/12)</f>
        <v/>
      </c>
      <c r="CN132">
        <f>IF(T131&lt;=0,0,MIN(T131+CM132,$F$22+CL132))</f>
        <v/>
      </c>
      <c r="CO132">
        <f>IF(T131&lt;=0,CL132,MAX(0,$F$22+CL132-T131-CM132))</f>
        <v/>
      </c>
      <c r="CP132">
        <f>IF(U131&lt;=0,0,U131*$E$23/12)</f>
        <v/>
      </c>
      <c r="CQ132">
        <f>IF(U131&lt;=0,0,MIN(U131+CP132,$F$23+CO132))</f>
        <v/>
      </c>
      <c r="CR132">
        <f>IF(U131&lt;=0,CO132,MAX(0,$F$23+CO132-U131-CP132))</f>
        <v/>
      </c>
      <c r="CS132">
        <f>IF(V131&lt;=0,0,V131*$E$24/12)</f>
        <v/>
      </c>
      <c r="CT132">
        <f>IF(V131&lt;=0,0,MIN(V131+CS132,$F$24+CR132))</f>
        <v/>
      </c>
      <c r="CU132">
        <f>IF(V131&lt;=0,CR132,MAX(0,$F$24+CR132-V131-CS132))</f>
        <v/>
      </c>
    </row>
    <row r="133">
      <c r="B133" s="39" t="n">
        <v>107</v>
      </c>
      <c r="C133" s="13">
        <f>IF(C132&lt;=0,0,MAX(0,C132+AN133-AO133))</f>
        <v/>
      </c>
      <c r="D133" s="13">
        <f>IF(D132&lt;=0,0,MAX(0,D132+AQ133-AR133))</f>
        <v/>
      </c>
      <c r="E133" s="13">
        <f>IF(E132&lt;=0,0,MAX(0,E132+AT133-AU133))</f>
        <v/>
      </c>
      <c r="F133" s="13">
        <f>IF(F132&lt;=0,0,MAX(0,F132+AW133-AX133))</f>
        <v/>
      </c>
      <c r="G133" s="13">
        <f>IF(G132&lt;=0,0,MAX(0,G132+AZ133-BA133))</f>
        <v/>
      </c>
      <c r="H133" s="13">
        <f>IF(H132&lt;=0,0,MAX(0,H132+BC133-BD133))</f>
        <v/>
      </c>
      <c r="I133" s="13">
        <f>IF(I132&lt;=0,0,MAX(0,I132+BF133-BG133))</f>
        <v/>
      </c>
      <c r="J133" s="13">
        <f>IF(J132&lt;=0,0,MAX(0,J132+BI133-BJ133))</f>
        <v/>
      </c>
      <c r="K133" s="13">
        <f>IF(K132&lt;=0,0,MAX(0,K132+BL133-BM133))</f>
        <v/>
      </c>
      <c r="L133" s="13">
        <f>IF(L132&lt;=0,0,MAX(0,L132+BO133-BP133))</f>
        <v/>
      </c>
      <c r="M133" s="13">
        <f>IF(M132&lt;=0,0,MAX(0,M132+BR133-BS133))</f>
        <v/>
      </c>
      <c r="N133" s="13">
        <f>IF(N132&lt;=0,0,MAX(0,N132+BU133-BV133))</f>
        <v/>
      </c>
      <c r="O133" s="13">
        <f>IF(O132&lt;=0,0,MAX(0,O132+BX133-BY133))</f>
        <v/>
      </c>
      <c r="P133" s="13">
        <f>IF(P132&lt;=0,0,MAX(0,P132+CA133-CB133))</f>
        <v/>
      </c>
      <c r="Q133" s="13">
        <f>IF(Q132&lt;=0,0,MAX(0,Q132+CD133-CE133))</f>
        <v/>
      </c>
      <c r="R133" s="13">
        <f>IF(R132&lt;=0,0,MAX(0,R132+CG133-CH133))</f>
        <v/>
      </c>
      <c r="S133" s="13">
        <f>IF(S132&lt;=0,0,MAX(0,S132+CJ133-CK133))</f>
        <v/>
      </c>
      <c r="T133" s="13">
        <f>IF(T132&lt;=0,0,MAX(0,T132+CM133-CN133))</f>
        <v/>
      </c>
      <c r="U133" s="13">
        <f>IF(U132&lt;=0,0,MAX(0,U132+CP133-CQ133))</f>
        <v/>
      </c>
      <c r="V133" s="13">
        <f>IF(V132&lt;=0,0,MAX(0,V132+CS133-CT133))</f>
        <v/>
      </c>
      <c r="W133" s="13">
        <f>AO133+AR133+AU133+AX133+BA133+BD133+BG133+BJ133+BM133+BP133+BS133+BV133+BY133+CB133+CE133+CH133+CK133+CN133+CQ133+CT133</f>
        <v/>
      </c>
      <c r="X133" s="13">
        <f>AN133+AQ133+AT133+AW133+AZ133+BC133+BF133+BI133+BL133+BO133+BR133+BU133+BX133+CA133+CD133+CG133+CJ133+CM133+CP133+CS133</f>
        <v/>
      </c>
      <c r="Y133" s="27">
        <f>C133+D133+E133+F133+G133+H133+I133+J133+K133+L133+M133+N133+O133+P133+Q133+R133+S133+T133+U133+V133</f>
        <v/>
      </c>
      <c r="AN133">
        <f>IF(C132&lt;=0,0,C132*$E$5/12)</f>
        <v/>
      </c>
      <c r="AO133">
        <f>IF(C132&lt;=0,0,MIN(C132+AN133,$F$5+(Dashboard!$C$11+IF(C132&lt;=0,$F$5,0)+IF(D132&lt;=0,$F$6,0)+IF(E132&lt;=0,$F$7,0)+IF(F132&lt;=0,$F$8,0)+IF(G132&lt;=0,$F$9,0)+IF(H132&lt;=0,$F$10,0)+IF(I132&lt;=0,$F$11,0)+IF(J132&lt;=0,$F$12,0)+IF(K132&lt;=0,$F$13,0)+IF(L132&lt;=0,$F$14,0)+IF(M132&lt;=0,$F$15,0)+IF(N132&lt;=0,$F$16,0)+IF(O132&lt;=0,$F$17,0)+IF(P132&lt;=0,$F$18,0)+IF(Q132&lt;=0,$F$19,0)+IF(R132&lt;=0,$F$20,0)+IF(S132&lt;=0,$F$21,0)+IF(T132&lt;=0,$F$22,0)+IF(U132&lt;=0,$F$23,0)+IF(V132&lt;=0,$F$24,0))))</f>
        <v/>
      </c>
      <c r="AP133">
        <f>IF(C132&lt;=0,(Dashboard!$C$11+IF(C132&lt;=0,$F$5,0)+IF(D132&lt;=0,$F$6,0)+IF(E132&lt;=0,$F$7,0)+IF(F132&lt;=0,$F$8,0)+IF(G132&lt;=0,$F$9,0)+IF(H132&lt;=0,$F$10,0)+IF(I132&lt;=0,$F$11,0)+IF(J132&lt;=0,$F$12,0)+IF(K132&lt;=0,$F$13,0)+IF(L132&lt;=0,$F$14,0)+IF(M132&lt;=0,$F$15,0)+IF(N132&lt;=0,$F$16,0)+IF(O132&lt;=0,$F$17,0)+IF(P132&lt;=0,$F$18,0)+IF(Q132&lt;=0,$F$19,0)+IF(R132&lt;=0,$F$20,0)+IF(S132&lt;=0,$F$21,0)+IF(T132&lt;=0,$F$22,0)+IF(U132&lt;=0,$F$23,0)+IF(V132&lt;=0,$F$24,0)),MAX(0,$F$5+(Dashboard!$C$11+IF(C132&lt;=0,$F$5,0)+IF(D132&lt;=0,$F$6,0)+IF(E132&lt;=0,$F$7,0)+IF(F132&lt;=0,$F$8,0)+IF(G132&lt;=0,$F$9,0)+IF(H132&lt;=0,$F$10,0)+IF(I132&lt;=0,$F$11,0)+IF(J132&lt;=0,$F$12,0)+IF(K132&lt;=0,$F$13,0)+IF(L132&lt;=0,$F$14,0)+IF(M132&lt;=0,$F$15,0)+IF(N132&lt;=0,$F$16,0)+IF(O132&lt;=0,$F$17,0)+IF(P132&lt;=0,$F$18,0)+IF(Q132&lt;=0,$F$19,0)+IF(R132&lt;=0,$F$20,0)+IF(S132&lt;=0,$F$21,0)+IF(T132&lt;=0,$F$22,0)+IF(U132&lt;=0,$F$23,0)+IF(V132&lt;=0,$F$24,0))-C132-AN133))</f>
        <v/>
      </c>
      <c r="AQ133">
        <f>IF(D132&lt;=0,0,D132*$E$6/12)</f>
        <v/>
      </c>
      <c r="AR133">
        <f>IF(D132&lt;=0,0,MIN(D132+AQ133,$F$6+AP133))</f>
        <v/>
      </c>
      <c r="AS133">
        <f>IF(D132&lt;=0,AP133,MAX(0,$F$6+AP133-D132-AQ133))</f>
        <v/>
      </c>
      <c r="AT133">
        <f>IF(E132&lt;=0,0,E132*$E$7/12)</f>
        <v/>
      </c>
      <c r="AU133">
        <f>IF(E132&lt;=0,0,MIN(E132+AT133,$F$7+AS133))</f>
        <v/>
      </c>
      <c r="AV133">
        <f>IF(E132&lt;=0,AS133,MAX(0,$F$7+AS133-E132-AT133))</f>
        <v/>
      </c>
      <c r="AW133">
        <f>IF(F132&lt;=0,0,F132*$E$8/12)</f>
        <v/>
      </c>
      <c r="AX133">
        <f>IF(F132&lt;=0,0,MIN(F132+AW133,$F$8+AV133))</f>
        <v/>
      </c>
      <c r="AY133">
        <f>IF(F132&lt;=0,AV133,MAX(0,$F$8+AV133-F132-AW133))</f>
        <v/>
      </c>
      <c r="AZ133">
        <f>IF(G132&lt;=0,0,G132*$E$9/12)</f>
        <v/>
      </c>
      <c r="BA133">
        <f>IF(G132&lt;=0,0,MIN(G132+AZ133,$F$9+AY133))</f>
        <v/>
      </c>
      <c r="BB133">
        <f>IF(G132&lt;=0,AY133,MAX(0,$F$9+AY133-G132-AZ133))</f>
        <v/>
      </c>
      <c r="BC133">
        <f>IF(H132&lt;=0,0,H132*$E$10/12)</f>
        <v/>
      </c>
      <c r="BD133">
        <f>IF(H132&lt;=0,0,MIN(H132+BC133,$F$10+BB133))</f>
        <v/>
      </c>
      <c r="BE133">
        <f>IF(H132&lt;=0,BB133,MAX(0,$F$10+BB133-H132-BC133))</f>
        <v/>
      </c>
      <c r="BF133">
        <f>IF(I132&lt;=0,0,I132*$E$11/12)</f>
        <v/>
      </c>
      <c r="BG133">
        <f>IF(I132&lt;=0,0,MIN(I132+BF133,$F$11+BE133))</f>
        <v/>
      </c>
      <c r="BH133">
        <f>IF(I132&lt;=0,BE133,MAX(0,$F$11+BE133-I132-BF133))</f>
        <v/>
      </c>
      <c r="BI133">
        <f>IF(J132&lt;=0,0,J132*$E$12/12)</f>
        <v/>
      </c>
      <c r="BJ133">
        <f>IF(J132&lt;=0,0,MIN(J132+BI133,$F$12+BH133))</f>
        <v/>
      </c>
      <c r="BK133">
        <f>IF(J132&lt;=0,BH133,MAX(0,$F$12+BH133-J132-BI133))</f>
        <v/>
      </c>
      <c r="BL133">
        <f>IF(K132&lt;=0,0,K132*$E$13/12)</f>
        <v/>
      </c>
      <c r="BM133">
        <f>IF(K132&lt;=0,0,MIN(K132+BL133,$F$13+BK133))</f>
        <v/>
      </c>
      <c r="BN133">
        <f>IF(K132&lt;=0,BK133,MAX(0,$F$13+BK133-K132-BL133))</f>
        <v/>
      </c>
      <c r="BO133">
        <f>IF(L132&lt;=0,0,L132*$E$14/12)</f>
        <v/>
      </c>
      <c r="BP133">
        <f>IF(L132&lt;=0,0,MIN(L132+BO133,$F$14+BN133))</f>
        <v/>
      </c>
      <c r="BQ133">
        <f>IF(L132&lt;=0,BN133,MAX(0,$F$14+BN133-L132-BO133))</f>
        <v/>
      </c>
      <c r="BR133">
        <f>IF(M132&lt;=0,0,M132*$E$15/12)</f>
        <v/>
      </c>
      <c r="BS133">
        <f>IF(M132&lt;=0,0,MIN(M132+BR133,$F$15+BQ133))</f>
        <v/>
      </c>
      <c r="BT133">
        <f>IF(M132&lt;=0,BQ133,MAX(0,$F$15+BQ133-M132-BR133))</f>
        <v/>
      </c>
      <c r="BU133">
        <f>IF(N132&lt;=0,0,N132*$E$16/12)</f>
        <v/>
      </c>
      <c r="BV133">
        <f>IF(N132&lt;=0,0,MIN(N132+BU133,$F$16+BT133))</f>
        <v/>
      </c>
      <c r="BW133">
        <f>IF(N132&lt;=0,BT133,MAX(0,$F$16+BT133-N132-BU133))</f>
        <v/>
      </c>
      <c r="BX133">
        <f>IF(O132&lt;=0,0,O132*$E$17/12)</f>
        <v/>
      </c>
      <c r="BY133">
        <f>IF(O132&lt;=0,0,MIN(O132+BX133,$F$17+BW133))</f>
        <v/>
      </c>
      <c r="BZ133">
        <f>IF(O132&lt;=0,BW133,MAX(0,$F$17+BW133-O132-BX133))</f>
        <v/>
      </c>
      <c r="CA133">
        <f>IF(P132&lt;=0,0,P132*$E$18/12)</f>
        <v/>
      </c>
      <c r="CB133">
        <f>IF(P132&lt;=0,0,MIN(P132+CA133,$F$18+BZ133))</f>
        <v/>
      </c>
      <c r="CC133">
        <f>IF(P132&lt;=0,BZ133,MAX(0,$F$18+BZ133-P132-CA133))</f>
        <v/>
      </c>
      <c r="CD133">
        <f>IF(Q132&lt;=0,0,Q132*$E$19/12)</f>
        <v/>
      </c>
      <c r="CE133">
        <f>IF(Q132&lt;=0,0,MIN(Q132+CD133,$F$19+CC133))</f>
        <v/>
      </c>
      <c r="CF133">
        <f>IF(Q132&lt;=0,CC133,MAX(0,$F$19+CC133-Q132-CD133))</f>
        <v/>
      </c>
      <c r="CG133">
        <f>IF(R132&lt;=0,0,R132*$E$20/12)</f>
        <v/>
      </c>
      <c r="CH133">
        <f>IF(R132&lt;=0,0,MIN(R132+CG133,$F$20+CF133))</f>
        <v/>
      </c>
      <c r="CI133">
        <f>IF(R132&lt;=0,CF133,MAX(0,$F$20+CF133-R132-CG133))</f>
        <v/>
      </c>
      <c r="CJ133">
        <f>IF(S132&lt;=0,0,S132*$E$21/12)</f>
        <v/>
      </c>
      <c r="CK133">
        <f>IF(S132&lt;=0,0,MIN(S132+CJ133,$F$21+CI133))</f>
        <v/>
      </c>
      <c r="CL133">
        <f>IF(S132&lt;=0,CI133,MAX(0,$F$21+CI133-S132-CJ133))</f>
        <v/>
      </c>
      <c r="CM133">
        <f>IF(T132&lt;=0,0,T132*$E$22/12)</f>
        <v/>
      </c>
      <c r="CN133">
        <f>IF(T132&lt;=0,0,MIN(T132+CM133,$F$22+CL133))</f>
        <v/>
      </c>
      <c r="CO133">
        <f>IF(T132&lt;=0,CL133,MAX(0,$F$22+CL133-T132-CM133))</f>
        <v/>
      </c>
      <c r="CP133">
        <f>IF(U132&lt;=0,0,U132*$E$23/12)</f>
        <v/>
      </c>
      <c r="CQ133">
        <f>IF(U132&lt;=0,0,MIN(U132+CP133,$F$23+CO133))</f>
        <v/>
      </c>
      <c r="CR133">
        <f>IF(U132&lt;=0,CO133,MAX(0,$F$23+CO133-U132-CP133))</f>
        <v/>
      </c>
      <c r="CS133">
        <f>IF(V132&lt;=0,0,V132*$E$24/12)</f>
        <v/>
      </c>
      <c r="CT133">
        <f>IF(V132&lt;=0,0,MIN(V132+CS133,$F$24+CR133))</f>
        <v/>
      </c>
      <c r="CU133">
        <f>IF(V132&lt;=0,CR133,MAX(0,$F$24+CR133-V132-CS133))</f>
        <v/>
      </c>
    </row>
    <row r="134">
      <c r="B134" s="39" t="n">
        <v>108</v>
      </c>
      <c r="C134" s="13">
        <f>IF(C133&lt;=0,0,MAX(0,C133+AN134-AO134))</f>
        <v/>
      </c>
      <c r="D134" s="13">
        <f>IF(D133&lt;=0,0,MAX(0,D133+AQ134-AR134))</f>
        <v/>
      </c>
      <c r="E134" s="13">
        <f>IF(E133&lt;=0,0,MAX(0,E133+AT134-AU134))</f>
        <v/>
      </c>
      <c r="F134" s="13">
        <f>IF(F133&lt;=0,0,MAX(0,F133+AW134-AX134))</f>
        <v/>
      </c>
      <c r="G134" s="13">
        <f>IF(G133&lt;=0,0,MAX(0,G133+AZ134-BA134))</f>
        <v/>
      </c>
      <c r="H134" s="13">
        <f>IF(H133&lt;=0,0,MAX(0,H133+BC134-BD134))</f>
        <v/>
      </c>
      <c r="I134" s="13">
        <f>IF(I133&lt;=0,0,MAX(0,I133+BF134-BG134))</f>
        <v/>
      </c>
      <c r="J134" s="13">
        <f>IF(J133&lt;=0,0,MAX(0,J133+BI134-BJ134))</f>
        <v/>
      </c>
      <c r="K134" s="13">
        <f>IF(K133&lt;=0,0,MAX(0,K133+BL134-BM134))</f>
        <v/>
      </c>
      <c r="L134" s="13">
        <f>IF(L133&lt;=0,0,MAX(0,L133+BO134-BP134))</f>
        <v/>
      </c>
      <c r="M134" s="13">
        <f>IF(M133&lt;=0,0,MAX(0,M133+BR134-BS134))</f>
        <v/>
      </c>
      <c r="N134" s="13">
        <f>IF(N133&lt;=0,0,MAX(0,N133+BU134-BV134))</f>
        <v/>
      </c>
      <c r="O134" s="13">
        <f>IF(O133&lt;=0,0,MAX(0,O133+BX134-BY134))</f>
        <v/>
      </c>
      <c r="P134" s="13">
        <f>IF(P133&lt;=0,0,MAX(0,P133+CA134-CB134))</f>
        <v/>
      </c>
      <c r="Q134" s="13">
        <f>IF(Q133&lt;=0,0,MAX(0,Q133+CD134-CE134))</f>
        <v/>
      </c>
      <c r="R134" s="13">
        <f>IF(R133&lt;=0,0,MAX(0,R133+CG134-CH134))</f>
        <v/>
      </c>
      <c r="S134" s="13">
        <f>IF(S133&lt;=0,0,MAX(0,S133+CJ134-CK134))</f>
        <v/>
      </c>
      <c r="T134" s="13">
        <f>IF(T133&lt;=0,0,MAX(0,T133+CM134-CN134))</f>
        <v/>
      </c>
      <c r="U134" s="13">
        <f>IF(U133&lt;=0,0,MAX(0,U133+CP134-CQ134))</f>
        <v/>
      </c>
      <c r="V134" s="13">
        <f>IF(V133&lt;=0,0,MAX(0,V133+CS134-CT134))</f>
        <v/>
      </c>
      <c r="W134" s="13">
        <f>AO134+AR134+AU134+AX134+BA134+BD134+BG134+BJ134+BM134+BP134+BS134+BV134+BY134+CB134+CE134+CH134+CK134+CN134+CQ134+CT134</f>
        <v/>
      </c>
      <c r="X134" s="13">
        <f>AN134+AQ134+AT134+AW134+AZ134+BC134+BF134+BI134+BL134+BO134+BR134+BU134+BX134+CA134+CD134+CG134+CJ134+CM134+CP134+CS134</f>
        <v/>
      </c>
      <c r="Y134" s="27">
        <f>C134+D134+E134+F134+G134+H134+I134+J134+K134+L134+M134+N134+O134+P134+Q134+R134+S134+T134+U134+V134</f>
        <v/>
      </c>
      <c r="AN134">
        <f>IF(C133&lt;=0,0,C133*$E$5/12)</f>
        <v/>
      </c>
      <c r="AO134">
        <f>IF(C133&lt;=0,0,MIN(C133+AN134,$F$5+(Dashboard!$C$11+IF(C133&lt;=0,$F$5,0)+IF(D133&lt;=0,$F$6,0)+IF(E133&lt;=0,$F$7,0)+IF(F133&lt;=0,$F$8,0)+IF(G133&lt;=0,$F$9,0)+IF(H133&lt;=0,$F$10,0)+IF(I133&lt;=0,$F$11,0)+IF(J133&lt;=0,$F$12,0)+IF(K133&lt;=0,$F$13,0)+IF(L133&lt;=0,$F$14,0)+IF(M133&lt;=0,$F$15,0)+IF(N133&lt;=0,$F$16,0)+IF(O133&lt;=0,$F$17,0)+IF(P133&lt;=0,$F$18,0)+IF(Q133&lt;=0,$F$19,0)+IF(R133&lt;=0,$F$20,0)+IF(S133&lt;=0,$F$21,0)+IF(T133&lt;=0,$F$22,0)+IF(U133&lt;=0,$F$23,0)+IF(V133&lt;=0,$F$24,0))))</f>
        <v/>
      </c>
      <c r="AP134">
        <f>IF(C133&lt;=0,(Dashboard!$C$11+IF(C133&lt;=0,$F$5,0)+IF(D133&lt;=0,$F$6,0)+IF(E133&lt;=0,$F$7,0)+IF(F133&lt;=0,$F$8,0)+IF(G133&lt;=0,$F$9,0)+IF(H133&lt;=0,$F$10,0)+IF(I133&lt;=0,$F$11,0)+IF(J133&lt;=0,$F$12,0)+IF(K133&lt;=0,$F$13,0)+IF(L133&lt;=0,$F$14,0)+IF(M133&lt;=0,$F$15,0)+IF(N133&lt;=0,$F$16,0)+IF(O133&lt;=0,$F$17,0)+IF(P133&lt;=0,$F$18,0)+IF(Q133&lt;=0,$F$19,0)+IF(R133&lt;=0,$F$20,0)+IF(S133&lt;=0,$F$21,0)+IF(T133&lt;=0,$F$22,0)+IF(U133&lt;=0,$F$23,0)+IF(V133&lt;=0,$F$24,0)),MAX(0,$F$5+(Dashboard!$C$11+IF(C133&lt;=0,$F$5,0)+IF(D133&lt;=0,$F$6,0)+IF(E133&lt;=0,$F$7,0)+IF(F133&lt;=0,$F$8,0)+IF(G133&lt;=0,$F$9,0)+IF(H133&lt;=0,$F$10,0)+IF(I133&lt;=0,$F$11,0)+IF(J133&lt;=0,$F$12,0)+IF(K133&lt;=0,$F$13,0)+IF(L133&lt;=0,$F$14,0)+IF(M133&lt;=0,$F$15,0)+IF(N133&lt;=0,$F$16,0)+IF(O133&lt;=0,$F$17,0)+IF(P133&lt;=0,$F$18,0)+IF(Q133&lt;=0,$F$19,0)+IF(R133&lt;=0,$F$20,0)+IF(S133&lt;=0,$F$21,0)+IF(T133&lt;=0,$F$22,0)+IF(U133&lt;=0,$F$23,0)+IF(V133&lt;=0,$F$24,0))-C133-AN134))</f>
        <v/>
      </c>
      <c r="AQ134">
        <f>IF(D133&lt;=0,0,D133*$E$6/12)</f>
        <v/>
      </c>
      <c r="AR134">
        <f>IF(D133&lt;=0,0,MIN(D133+AQ134,$F$6+AP134))</f>
        <v/>
      </c>
      <c r="AS134">
        <f>IF(D133&lt;=0,AP134,MAX(0,$F$6+AP134-D133-AQ134))</f>
        <v/>
      </c>
      <c r="AT134">
        <f>IF(E133&lt;=0,0,E133*$E$7/12)</f>
        <v/>
      </c>
      <c r="AU134">
        <f>IF(E133&lt;=0,0,MIN(E133+AT134,$F$7+AS134))</f>
        <v/>
      </c>
      <c r="AV134">
        <f>IF(E133&lt;=0,AS134,MAX(0,$F$7+AS134-E133-AT134))</f>
        <v/>
      </c>
      <c r="AW134">
        <f>IF(F133&lt;=0,0,F133*$E$8/12)</f>
        <v/>
      </c>
      <c r="AX134">
        <f>IF(F133&lt;=0,0,MIN(F133+AW134,$F$8+AV134))</f>
        <v/>
      </c>
      <c r="AY134">
        <f>IF(F133&lt;=0,AV134,MAX(0,$F$8+AV134-F133-AW134))</f>
        <v/>
      </c>
      <c r="AZ134">
        <f>IF(G133&lt;=0,0,G133*$E$9/12)</f>
        <v/>
      </c>
      <c r="BA134">
        <f>IF(G133&lt;=0,0,MIN(G133+AZ134,$F$9+AY134))</f>
        <v/>
      </c>
      <c r="BB134">
        <f>IF(G133&lt;=0,AY134,MAX(0,$F$9+AY134-G133-AZ134))</f>
        <v/>
      </c>
      <c r="BC134">
        <f>IF(H133&lt;=0,0,H133*$E$10/12)</f>
        <v/>
      </c>
      <c r="BD134">
        <f>IF(H133&lt;=0,0,MIN(H133+BC134,$F$10+BB134))</f>
        <v/>
      </c>
      <c r="BE134">
        <f>IF(H133&lt;=0,BB134,MAX(0,$F$10+BB134-H133-BC134))</f>
        <v/>
      </c>
      <c r="BF134">
        <f>IF(I133&lt;=0,0,I133*$E$11/12)</f>
        <v/>
      </c>
      <c r="BG134">
        <f>IF(I133&lt;=0,0,MIN(I133+BF134,$F$11+BE134))</f>
        <v/>
      </c>
      <c r="BH134">
        <f>IF(I133&lt;=0,BE134,MAX(0,$F$11+BE134-I133-BF134))</f>
        <v/>
      </c>
      <c r="BI134">
        <f>IF(J133&lt;=0,0,J133*$E$12/12)</f>
        <v/>
      </c>
      <c r="BJ134">
        <f>IF(J133&lt;=0,0,MIN(J133+BI134,$F$12+BH134))</f>
        <v/>
      </c>
      <c r="BK134">
        <f>IF(J133&lt;=0,BH134,MAX(0,$F$12+BH134-J133-BI134))</f>
        <v/>
      </c>
      <c r="BL134">
        <f>IF(K133&lt;=0,0,K133*$E$13/12)</f>
        <v/>
      </c>
      <c r="BM134">
        <f>IF(K133&lt;=0,0,MIN(K133+BL134,$F$13+BK134))</f>
        <v/>
      </c>
      <c r="BN134">
        <f>IF(K133&lt;=0,BK134,MAX(0,$F$13+BK134-K133-BL134))</f>
        <v/>
      </c>
      <c r="BO134">
        <f>IF(L133&lt;=0,0,L133*$E$14/12)</f>
        <v/>
      </c>
      <c r="BP134">
        <f>IF(L133&lt;=0,0,MIN(L133+BO134,$F$14+BN134))</f>
        <v/>
      </c>
      <c r="BQ134">
        <f>IF(L133&lt;=0,BN134,MAX(0,$F$14+BN134-L133-BO134))</f>
        <v/>
      </c>
      <c r="BR134">
        <f>IF(M133&lt;=0,0,M133*$E$15/12)</f>
        <v/>
      </c>
      <c r="BS134">
        <f>IF(M133&lt;=0,0,MIN(M133+BR134,$F$15+BQ134))</f>
        <v/>
      </c>
      <c r="BT134">
        <f>IF(M133&lt;=0,BQ134,MAX(0,$F$15+BQ134-M133-BR134))</f>
        <v/>
      </c>
      <c r="BU134">
        <f>IF(N133&lt;=0,0,N133*$E$16/12)</f>
        <v/>
      </c>
      <c r="BV134">
        <f>IF(N133&lt;=0,0,MIN(N133+BU134,$F$16+BT134))</f>
        <v/>
      </c>
      <c r="BW134">
        <f>IF(N133&lt;=0,BT134,MAX(0,$F$16+BT134-N133-BU134))</f>
        <v/>
      </c>
      <c r="BX134">
        <f>IF(O133&lt;=0,0,O133*$E$17/12)</f>
        <v/>
      </c>
      <c r="BY134">
        <f>IF(O133&lt;=0,0,MIN(O133+BX134,$F$17+BW134))</f>
        <v/>
      </c>
      <c r="BZ134">
        <f>IF(O133&lt;=0,BW134,MAX(0,$F$17+BW134-O133-BX134))</f>
        <v/>
      </c>
      <c r="CA134">
        <f>IF(P133&lt;=0,0,P133*$E$18/12)</f>
        <v/>
      </c>
      <c r="CB134">
        <f>IF(P133&lt;=0,0,MIN(P133+CA134,$F$18+BZ134))</f>
        <v/>
      </c>
      <c r="CC134">
        <f>IF(P133&lt;=0,BZ134,MAX(0,$F$18+BZ134-P133-CA134))</f>
        <v/>
      </c>
      <c r="CD134">
        <f>IF(Q133&lt;=0,0,Q133*$E$19/12)</f>
        <v/>
      </c>
      <c r="CE134">
        <f>IF(Q133&lt;=0,0,MIN(Q133+CD134,$F$19+CC134))</f>
        <v/>
      </c>
      <c r="CF134">
        <f>IF(Q133&lt;=0,CC134,MAX(0,$F$19+CC134-Q133-CD134))</f>
        <v/>
      </c>
      <c r="CG134">
        <f>IF(R133&lt;=0,0,R133*$E$20/12)</f>
        <v/>
      </c>
      <c r="CH134">
        <f>IF(R133&lt;=0,0,MIN(R133+CG134,$F$20+CF134))</f>
        <v/>
      </c>
      <c r="CI134">
        <f>IF(R133&lt;=0,CF134,MAX(0,$F$20+CF134-R133-CG134))</f>
        <v/>
      </c>
      <c r="CJ134">
        <f>IF(S133&lt;=0,0,S133*$E$21/12)</f>
        <v/>
      </c>
      <c r="CK134">
        <f>IF(S133&lt;=0,0,MIN(S133+CJ134,$F$21+CI134))</f>
        <v/>
      </c>
      <c r="CL134">
        <f>IF(S133&lt;=0,CI134,MAX(0,$F$21+CI134-S133-CJ134))</f>
        <v/>
      </c>
      <c r="CM134">
        <f>IF(T133&lt;=0,0,T133*$E$22/12)</f>
        <v/>
      </c>
      <c r="CN134">
        <f>IF(T133&lt;=0,0,MIN(T133+CM134,$F$22+CL134))</f>
        <v/>
      </c>
      <c r="CO134">
        <f>IF(T133&lt;=0,CL134,MAX(0,$F$22+CL134-T133-CM134))</f>
        <v/>
      </c>
      <c r="CP134">
        <f>IF(U133&lt;=0,0,U133*$E$23/12)</f>
        <v/>
      </c>
      <c r="CQ134">
        <f>IF(U133&lt;=0,0,MIN(U133+CP134,$F$23+CO134))</f>
        <v/>
      </c>
      <c r="CR134">
        <f>IF(U133&lt;=0,CO134,MAX(0,$F$23+CO134-U133-CP134))</f>
        <v/>
      </c>
      <c r="CS134">
        <f>IF(V133&lt;=0,0,V133*$E$24/12)</f>
        <v/>
      </c>
      <c r="CT134">
        <f>IF(V133&lt;=0,0,MIN(V133+CS134,$F$24+CR134))</f>
        <v/>
      </c>
      <c r="CU134">
        <f>IF(V133&lt;=0,CR134,MAX(0,$F$24+CR134-V133-CS134))</f>
        <v/>
      </c>
    </row>
    <row r="135">
      <c r="B135" s="39" t="n">
        <v>109</v>
      </c>
      <c r="C135" s="13">
        <f>IF(C134&lt;=0,0,MAX(0,C134+AN135-AO135))</f>
        <v/>
      </c>
      <c r="D135" s="13">
        <f>IF(D134&lt;=0,0,MAX(0,D134+AQ135-AR135))</f>
        <v/>
      </c>
      <c r="E135" s="13">
        <f>IF(E134&lt;=0,0,MAX(0,E134+AT135-AU135))</f>
        <v/>
      </c>
      <c r="F135" s="13">
        <f>IF(F134&lt;=0,0,MAX(0,F134+AW135-AX135))</f>
        <v/>
      </c>
      <c r="G135" s="13">
        <f>IF(G134&lt;=0,0,MAX(0,G134+AZ135-BA135))</f>
        <v/>
      </c>
      <c r="H135" s="13">
        <f>IF(H134&lt;=0,0,MAX(0,H134+BC135-BD135))</f>
        <v/>
      </c>
      <c r="I135" s="13">
        <f>IF(I134&lt;=0,0,MAX(0,I134+BF135-BG135))</f>
        <v/>
      </c>
      <c r="J135" s="13">
        <f>IF(J134&lt;=0,0,MAX(0,J134+BI135-BJ135))</f>
        <v/>
      </c>
      <c r="K135" s="13">
        <f>IF(K134&lt;=0,0,MAX(0,K134+BL135-BM135))</f>
        <v/>
      </c>
      <c r="L135" s="13">
        <f>IF(L134&lt;=0,0,MAX(0,L134+BO135-BP135))</f>
        <v/>
      </c>
      <c r="M135" s="13">
        <f>IF(M134&lt;=0,0,MAX(0,M134+BR135-BS135))</f>
        <v/>
      </c>
      <c r="N135" s="13">
        <f>IF(N134&lt;=0,0,MAX(0,N134+BU135-BV135))</f>
        <v/>
      </c>
      <c r="O135" s="13">
        <f>IF(O134&lt;=0,0,MAX(0,O134+BX135-BY135))</f>
        <v/>
      </c>
      <c r="P135" s="13">
        <f>IF(P134&lt;=0,0,MAX(0,P134+CA135-CB135))</f>
        <v/>
      </c>
      <c r="Q135" s="13">
        <f>IF(Q134&lt;=0,0,MAX(0,Q134+CD135-CE135))</f>
        <v/>
      </c>
      <c r="R135" s="13">
        <f>IF(R134&lt;=0,0,MAX(0,R134+CG135-CH135))</f>
        <v/>
      </c>
      <c r="S135" s="13">
        <f>IF(S134&lt;=0,0,MAX(0,S134+CJ135-CK135))</f>
        <v/>
      </c>
      <c r="T135" s="13">
        <f>IF(T134&lt;=0,0,MAX(0,T134+CM135-CN135))</f>
        <v/>
      </c>
      <c r="U135" s="13">
        <f>IF(U134&lt;=0,0,MAX(0,U134+CP135-CQ135))</f>
        <v/>
      </c>
      <c r="V135" s="13">
        <f>IF(V134&lt;=0,0,MAX(0,V134+CS135-CT135))</f>
        <v/>
      </c>
      <c r="W135" s="13">
        <f>AO135+AR135+AU135+AX135+BA135+BD135+BG135+BJ135+BM135+BP135+BS135+BV135+BY135+CB135+CE135+CH135+CK135+CN135+CQ135+CT135</f>
        <v/>
      </c>
      <c r="X135" s="13">
        <f>AN135+AQ135+AT135+AW135+AZ135+BC135+BF135+BI135+BL135+BO135+BR135+BU135+BX135+CA135+CD135+CG135+CJ135+CM135+CP135+CS135</f>
        <v/>
      </c>
      <c r="Y135" s="27">
        <f>C135+D135+E135+F135+G135+H135+I135+J135+K135+L135+M135+N135+O135+P135+Q135+R135+S135+T135+U135+V135</f>
        <v/>
      </c>
      <c r="AN135">
        <f>IF(C134&lt;=0,0,C134*$E$5/12)</f>
        <v/>
      </c>
      <c r="AO135">
        <f>IF(C134&lt;=0,0,MIN(C134+AN135,$F$5+(Dashboard!$C$11+IF(C134&lt;=0,$F$5,0)+IF(D134&lt;=0,$F$6,0)+IF(E134&lt;=0,$F$7,0)+IF(F134&lt;=0,$F$8,0)+IF(G134&lt;=0,$F$9,0)+IF(H134&lt;=0,$F$10,0)+IF(I134&lt;=0,$F$11,0)+IF(J134&lt;=0,$F$12,0)+IF(K134&lt;=0,$F$13,0)+IF(L134&lt;=0,$F$14,0)+IF(M134&lt;=0,$F$15,0)+IF(N134&lt;=0,$F$16,0)+IF(O134&lt;=0,$F$17,0)+IF(P134&lt;=0,$F$18,0)+IF(Q134&lt;=0,$F$19,0)+IF(R134&lt;=0,$F$20,0)+IF(S134&lt;=0,$F$21,0)+IF(T134&lt;=0,$F$22,0)+IF(U134&lt;=0,$F$23,0)+IF(V134&lt;=0,$F$24,0))))</f>
        <v/>
      </c>
      <c r="AP135">
        <f>IF(C134&lt;=0,(Dashboard!$C$11+IF(C134&lt;=0,$F$5,0)+IF(D134&lt;=0,$F$6,0)+IF(E134&lt;=0,$F$7,0)+IF(F134&lt;=0,$F$8,0)+IF(G134&lt;=0,$F$9,0)+IF(H134&lt;=0,$F$10,0)+IF(I134&lt;=0,$F$11,0)+IF(J134&lt;=0,$F$12,0)+IF(K134&lt;=0,$F$13,0)+IF(L134&lt;=0,$F$14,0)+IF(M134&lt;=0,$F$15,0)+IF(N134&lt;=0,$F$16,0)+IF(O134&lt;=0,$F$17,0)+IF(P134&lt;=0,$F$18,0)+IF(Q134&lt;=0,$F$19,0)+IF(R134&lt;=0,$F$20,0)+IF(S134&lt;=0,$F$21,0)+IF(T134&lt;=0,$F$22,0)+IF(U134&lt;=0,$F$23,0)+IF(V134&lt;=0,$F$24,0)),MAX(0,$F$5+(Dashboard!$C$11+IF(C134&lt;=0,$F$5,0)+IF(D134&lt;=0,$F$6,0)+IF(E134&lt;=0,$F$7,0)+IF(F134&lt;=0,$F$8,0)+IF(G134&lt;=0,$F$9,0)+IF(H134&lt;=0,$F$10,0)+IF(I134&lt;=0,$F$11,0)+IF(J134&lt;=0,$F$12,0)+IF(K134&lt;=0,$F$13,0)+IF(L134&lt;=0,$F$14,0)+IF(M134&lt;=0,$F$15,0)+IF(N134&lt;=0,$F$16,0)+IF(O134&lt;=0,$F$17,0)+IF(P134&lt;=0,$F$18,0)+IF(Q134&lt;=0,$F$19,0)+IF(R134&lt;=0,$F$20,0)+IF(S134&lt;=0,$F$21,0)+IF(T134&lt;=0,$F$22,0)+IF(U134&lt;=0,$F$23,0)+IF(V134&lt;=0,$F$24,0))-C134-AN135))</f>
        <v/>
      </c>
      <c r="AQ135">
        <f>IF(D134&lt;=0,0,D134*$E$6/12)</f>
        <v/>
      </c>
      <c r="AR135">
        <f>IF(D134&lt;=0,0,MIN(D134+AQ135,$F$6+AP135))</f>
        <v/>
      </c>
      <c r="AS135">
        <f>IF(D134&lt;=0,AP135,MAX(0,$F$6+AP135-D134-AQ135))</f>
        <v/>
      </c>
      <c r="AT135">
        <f>IF(E134&lt;=0,0,E134*$E$7/12)</f>
        <v/>
      </c>
      <c r="AU135">
        <f>IF(E134&lt;=0,0,MIN(E134+AT135,$F$7+AS135))</f>
        <v/>
      </c>
      <c r="AV135">
        <f>IF(E134&lt;=0,AS135,MAX(0,$F$7+AS135-E134-AT135))</f>
        <v/>
      </c>
      <c r="AW135">
        <f>IF(F134&lt;=0,0,F134*$E$8/12)</f>
        <v/>
      </c>
      <c r="AX135">
        <f>IF(F134&lt;=0,0,MIN(F134+AW135,$F$8+AV135))</f>
        <v/>
      </c>
      <c r="AY135">
        <f>IF(F134&lt;=0,AV135,MAX(0,$F$8+AV135-F134-AW135))</f>
        <v/>
      </c>
      <c r="AZ135">
        <f>IF(G134&lt;=0,0,G134*$E$9/12)</f>
        <v/>
      </c>
      <c r="BA135">
        <f>IF(G134&lt;=0,0,MIN(G134+AZ135,$F$9+AY135))</f>
        <v/>
      </c>
      <c r="BB135">
        <f>IF(G134&lt;=0,AY135,MAX(0,$F$9+AY135-G134-AZ135))</f>
        <v/>
      </c>
      <c r="BC135">
        <f>IF(H134&lt;=0,0,H134*$E$10/12)</f>
        <v/>
      </c>
      <c r="BD135">
        <f>IF(H134&lt;=0,0,MIN(H134+BC135,$F$10+BB135))</f>
        <v/>
      </c>
      <c r="BE135">
        <f>IF(H134&lt;=0,BB135,MAX(0,$F$10+BB135-H134-BC135))</f>
        <v/>
      </c>
      <c r="BF135">
        <f>IF(I134&lt;=0,0,I134*$E$11/12)</f>
        <v/>
      </c>
      <c r="BG135">
        <f>IF(I134&lt;=0,0,MIN(I134+BF135,$F$11+BE135))</f>
        <v/>
      </c>
      <c r="BH135">
        <f>IF(I134&lt;=0,BE135,MAX(0,$F$11+BE135-I134-BF135))</f>
        <v/>
      </c>
      <c r="BI135">
        <f>IF(J134&lt;=0,0,J134*$E$12/12)</f>
        <v/>
      </c>
      <c r="BJ135">
        <f>IF(J134&lt;=0,0,MIN(J134+BI135,$F$12+BH135))</f>
        <v/>
      </c>
      <c r="BK135">
        <f>IF(J134&lt;=0,BH135,MAX(0,$F$12+BH135-J134-BI135))</f>
        <v/>
      </c>
      <c r="BL135">
        <f>IF(K134&lt;=0,0,K134*$E$13/12)</f>
        <v/>
      </c>
      <c r="BM135">
        <f>IF(K134&lt;=0,0,MIN(K134+BL135,$F$13+BK135))</f>
        <v/>
      </c>
      <c r="BN135">
        <f>IF(K134&lt;=0,BK135,MAX(0,$F$13+BK135-K134-BL135))</f>
        <v/>
      </c>
      <c r="BO135">
        <f>IF(L134&lt;=0,0,L134*$E$14/12)</f>
        <v/>
      </c>
      <c r="BP135">
        <f>IF(L134&lt;=0,0,MIN(L134+BO135,$F$14+BN135))</f>
        <v/>
      </c>
      <c r="BQ135">
        <f>IF(L134&lt;=0,BN135,MAX(0,$F$14+BN135-L134-BO135))</f>
        <v/>
      </c>
      <c r="BR135">
        <f>IF(M134&lt;=0,0,M134*$E$15/12)</f>
        <v/>
      </c>
      <c r="BS135">
        <f>IF(M134&lt;=0,0,MIN(M134+BR135,$F$15+BQ135))</f>
        <v/>
      </c>
      <c r="BT135">
        <f>IF(M134&lt;=0,BQ135,MAX(0,$F$15+BQ135-M134-BR135))</f>
        <v/>
      </c>
      <c r="BU135">
        <f>IF(N134&lt;=0,0,N134*$E$16/12)</f>
        <v/>
      </c>
      <c r="BV135">
        <f>IF(N134&lt;=0,0,MIN(N134+BU135,$F$16+BT135))</f>
        <v/>
      </c>
      <c r="BW135">
        <f>IF(N134&lt;=0,BT135,MAX(0,$F$16+BT135-N134-BU135))</f>
        <v/>
      </c>
      <c r="BX135">
        <f>IF(O134&lt;=0,0,O134*$E$17/12)</f>
        <v/>
      </c>
      <c r="BY135">
        <f>IF(O134&lt;=0,0,MIN(O134+BX135,$F$17+BW135))</f>
        <v/>
      </c>
      <c r="BZ135">
        <f>IF(O134&lt;=0,BW135,MAX(0,$F$17+BW135-O134-BX135))</f>
        <v/>
      </c>
      <c r="CA135">
        <f>IF(P134&lt;=0,0,P134*$E$18/12)</f>
        <v/>
      </c>
      <c r="CB135">
        <f>IF(P134&lt;=0,0,MIN(P134+CA135,$F$18+BZ135))</f>
        <v/>
      </c>
      <c r="CC135">
        <f>IF(P134&lt;=0,BZ135,MAX(0,$F$18+BZ135-P134-CA135))</f>
        <v/>
      </c>
      <c r="CD135">
        <f>IF(Q134&lt;=0,0,Q134*$E$19/12)</f>
        <v/>
      </c>
      <c r="CE135">
        <f>IF(Q134&lt;=0,0,MIN(Q134+CD135,$F$19+CC135))</f>
        <v/>
      </c>
      <c r="CF135">
        <f>IF(Q134&lt;=0,CC135,MAX(0,$F$19+CC135-Q134-CD135))</f>
        <v/>
      </c>
      <c r="CG135">
        <f>IF(R134&lt;=0,0,R134*$E$20/12)</f>
        <v/>
      </c>
      <c r="CH135">
        <f>IF(R134&lt;=0,0,MIN(R134+CG135,$F$20+CF135))</f>
        <v/>
      </c>
      <c r="CI135">
        <f>IF(R134&lt;=0,CF135,MAX(0,$F$20+CF135-R134-CG135))</f>
        <v/>
      </c>
      <c r="CJ135">
        <f>IF(S134&lt;=0,0,S134*$E$21/12)</f>
        <v/>
      </c>
      <c r="CK135">
        <f>IF(S134&lt;=0,0,MIN(S134+CJ135,$F$21+CI135))</f>
        <v/>
      </c>
      <c r="CL135">
        <f>IF(S134&lt;=0,CI135,MAX(0,$F$21+CI135-S134-CJ135))</f>
        <v/>
      </c>
      <c r="CM135">
        <f>IF(T134&lt;=0,0,T134*$E$22/12)</f>
        <v/>
      </c>
      <c r="CN135">
        <f>IF(T134&lt;=0,0,MIN(T134+CM135,$F$22+CL135))</f>
        <v/>
      </c>
      <c r="CO135">
        <f>IF(T134&lt;=0,CL135,MAX(0,$F$22+CL135-T134-CM135))</f>
        <v/>
      </c>
      <c r="CP135">
        <f>IF(U134&lt;=0,0,U134*$E$23/12)</f>
        <v/>
      </c>
      <c r="CQ135">
        <f>IF(U134&lt;=0,0,MIN(U134+CP135,$F$23+CO135))</f>
        <v/>
      </c>
      <c r="CR135">
        <f>IF(U134&lt;=0,CO135,MAX(0,$F$23+CO135-U134-CP135))</f>
        <v/>
      </c>
      <c r="CS135">
        <f>IF(V134&lt;=0,0,V134*$E$24/12)</f>
        <v/>
      </c>
      <c r="CT135">
        <f>IF(V134&lt;=0,0,MIN(V134+CS135,$F$24+CR135))</f>
        <v/>
      </c>
      <c r="CU135">
        <f>IF(V134&lt;=0,CR135,MAX(0,$F$24+CR135-V134-CS135))</f>
        <v/>
      </c>
    </row>
    <row r="136">
      <c r="B136" s="39" t="n">
        <v>110</v>
      </c>
      <c r="C136" s="13">
        <f>IF(C135&lt;=0,0,MAX(0,C135+AN136-AO136))</f>
        <v/>
      </c>
      <c r="D136" s="13">
        <f>IF(D135&lt;=0,0,MAX(0,D135+AQ136-AR136))</f>
        <v/>
      </c>
      <c r="E136" s="13">
        <f>IF(E135&lt;=0,0,MAX(0,E135+AT136-AU136))</f>
        <v/>
      </c>
      <c r="F136" s="13">
        <f>IF(F135&lt;=0,0,MAX(0,F135+AW136-AX136))</f>
        <v/>
      </c>
      <c r="G136" s="13">
        <f>IF(G135&lt;=0,0,MAX(0,G135+AZ136-BA136))</f>
        <v/>
      </c>
      <c r="H136" s="13">
        <f>IF(H135&lt;=0,0,MAX(0,H135+BC136-BD136))</f>
        <v/>
      </c>
      <c r="I136" s="13">
        <f>IF(I135&lt;=0,0,MAX(0,I135+BF136-BG136))</f>
        <v/>
      </c>
      <c r="J136" s="13">
        <f>IF(J135&lt;=0,0,MAX(0,J135+BI136-BJ136))</f>
        <v/>
      </c>
      <c r="K136" s="13">
        <f>IF(K135&lt;=0,0,MAX(0,K135+BL136-BM136))</f>
        <v/>
      </c>
      <c r="L136" s="13">
        <f>IF(L135&lt;=0,0,MAX(0,L135+BO136-BP136))</f>
        <v/>
      </c>
      <c r="M136" s="13">
        <f>IF(M135&lt;=0,0,MAX(0,M135+BR136-BS136))</f>
        <v/>
      </c>
      <c r="N136" s="13">
        <f>IF(N135&lt;=0,0,MAX(0,N135+BU136-BV136))</f>
        <v/>
      </c>
      <c r="O136" s="13">
        <f>IF(O135&lt;=0,0,MAX(0,O135+BX136-BY136))</f>
        <v/>
      </c>
      <c r="P136" s="13">
        <f>IF(P135&lt;=0,0,MAX(0,P135+CA136-CB136))</f>
        <v/>
      </c>
      <c r="Q136" s="13">
        <f>IF(Q135&lt;=0,0,MAX(0,Q135+CD136-CE136))</f>
        <v/>
      </c>
      <c r="R136" s="13">
        <f>IF(R135&lt;=0,0,MAX(0,R135+CG136-CH136))</f>
        <v/>
      </c>
      <c r="S136" s="13">
        <f>IF(S135&lt;=0,0,MAX(0,S135+CJ136-CK136))</f>
        <v/>
      </c>
      <c r="T136" s="13">
        <f>IF(T135&lt;=0,0,MAX(0,T135+CM136-CN136))</f>
        <v/>
      </c>
      <c r="U136" s="13">
        <f>IF(U135&lt;=0,0,MAX(0,U135+CP136-CQ136))</f>
        <v/>
      </c>
      <c r="V136" s="13">
        <f>IF(V135&lt;=0,0,MAX(0,V135+CS136-CT136))</f>
        <v/>
      </c>
      <c r="W136" s="13">
        <f>AO136+AR136+AU136+AX136+BA136+BD136+BG136+BJ136+BM136+BP136+BS136+BV136+BY136+CB136+CE136+CH136+CK136+CN136+CQ136+CT136</f>
        <v/>
      </c>
      <c r="X136" s="13">
        <f>AN136+AQ136+AT136+AW136+AZ136+BC136+BF136+BI136+BL136+BO136+BR136+BU136+BX136+CA136+CD136+CG136+CJ136+CM136+CP136+CS136</f>
        <v/>
      </c>
      <c r="Y136" s="27">
        <f>C136+D136+E136+F136+G136+H136+I136+J136+K136+L136+M136+N136+O136+P136+Q136+R136+S136+T136+U136+V136</f>
        <v/>
      </c>
      <c r="AN136">
        <f>IF(C135&lt;=0,0,C135*$E$5/12)</f>
        <v/>
      </c>
      <c r="AO136">
        <f>IF(C135&lt;=0,0,MIN(C135+AN136,$F$5+(Dashboard!$C$11+IF(C135&lt;=0,$F$5,0)+IF(D135&lt;=0,$F$6,0)+IF(E135&lt;=0,$F$7,0)+IF(F135&lt;=0,$F$8,0)+IF(G135&lt;=0,$F$9,0)+IF(H135&lt;=0,$F$10,0)+IF(I135&lt;=0,$F$11,0)+IF(J135&lt;=0,$F$12,0)+IF(K135&lt;=0,$F$13,0)+IF(L135&lt;=0,$F$14,0)+IF(M135&lt;=0,$F$15,0)+IF(N135&lt;=0,$F$16,0)+IF(O135&lt;=0,$F$17,0)+IF(P135&lt;=0,$F$18,0)+IF(Q135&lt;=0,$F$19,0)+IF(R135&lt;=0,$F$20,0)+IF(S135&lt;=0,$F$21,0)+IF(T135&lt;=0,$F$22,0)+IF(U135&lt;=0,$F$23,0)+IF(V135&lt;=0,$F$24,0))))</f>
        <v/>
      </c>
      <c r="AP136">
        <f>IF(C135&lt;=0,(Dashboard!$C$11+IF(C135&lt;=0,$F$5,0)+IF(D135&lt;=0,$F$6,0)+IF(E135&lt;=0,$F$7,0)+IF(F135&lt;=0,$F$8,0)+IF(G135&lt;=0,$F$9,0)+IF(H135&lt;=0,$F$10,0)+IF(I135&lt;=0,$F$11,0)+IF(J135&lt;=0,$F$12,0)+IF(K135&lt;=0,$F$13,0)+IF(L135&lt;=0,$F$14,0)+IF(M135&lt;=0,$F$15,0)+IF(N135&lt;=0,$F$16,0)+IF(O135&lt;=0,$F$17,0)+IF(P135&lt;=0,$F$18,0)+IF(Q135&lt;=0,$F$19,0)+IF(R135&lt;=0,$F$20,0)+IF(S135&lt;=0,$F$21,0)+IF(T135&lt;=0,$F$22,0)+IF(U135&lt;=0,$F$23,0)+IF(V135&lt;=0,$F$24,0)),MAX(0,$F$5+(Dashboard!$C$11+IF(C135&lt;=0,$F$5,0)+IF(D135&lt;=0,$F$6,0)+IF(E135&lt;=0,$F$7,0)+IF(F135&lt;=0,$F$8,0)+IF(G135&lt;=0,$F$9,0)+IF(H135&lt;=0,$F$10,0)+IF(I135&lt;=0,$F$11,0)+IF(J135&lt;=0,$F$12,0)+IF(K135&lt;=0,$F$13,0)+IF(L135&lt;=0,$F$14,0)+IF(M135&lt;=0,$F$15,0)+IF(N135&lt;=0,$F$16,0)+IF(O135&lt;=0,$F$17,0)+IF(P135&lt;=0,$F$18,0)+IF(Q135&lt;=0,$F$19,0)+IF(R135&lt;=0,$F$20,0)+IF(S135&lt;=0,$F$21,0)+IF(T135&lt;=0,$F$22,0)+IF(U135&lt;=0,$F$23,0)+IF(V135&lt;=0,$F$24,0))-C135-AN136))</f>
        <v/>
      </c>
      <c r="AQ136">
        <f>IF(D135&lt;=0,0,D135*$E$6/12)</f>
        <v/>
      </c>
      <c r="AR136">
        <f>IF(D135&lt;=0,0,MIN(D135+AQ136,$F$6+AP136))</f>
        <v/>
      </c>
      <c r="AS136">
        <f>IF(D135&lt;=0,AP136,MAX(0,$F$6+AP136-D135-AQ136))</f>
        <v/>
      </c>
      <c r="AT136">
        <f>IF(E135&lt;=0,0,E135*$E$7/12)</f>
        <v/>
      </c>
      <c r="AU136">
        <f>IF(E135&lt;=0,0,MIN(E135+AT136,$F$7+AS136))</f>
        <v/>
      </c>
      <c r="AV136">
        <f>IF(E135&lt;=0,AS136,MAX(0,$F$7+AS136-E135-AT136))</f>
        <v/>
      </c>
      <c r="AW136">
        <f>IF(F135&lt;=0,0,F135*$E$8/12)</f>
        <v/>
      </c>
      <c r="AX136">
        <f>IF(F135&lt;=0,0,MIN(F135+AW136,$F$8+AV136))</f>
        <v/>
      </c>
      <c r="AY136">
        <f>IF(F135&lt;=0,AV136,MAX(0,$F$8+AV136-F135-AW136))</f>
        <v/>
      </c>
      <c r="AZ136">
        <f>IF(G135&lt;=0,0,G135*$E$9/12)</f>
        <v/>
      </c>
      <c r="BA136">
        <f>IF(G135&lt;=0,0,MIN(G135+AZ136,$F$9+AY136))</f>
        <v/>
      </c>
      <c r="BB136">
        <f>IF(G135&lt;=0,AY136,MAX(0,$F$9+AY136-G135-AZ136))</f>
        <v/>
      </c>
      <c r="BC136">
        <f>IF(H135&lt;=0,0,H135*$E$10/12)</f>
        <v/>
      </c>
      <c r="BD136">
        <f>IF(H135&lt;=0,0,MIN(H135+BC136,$F$10+BB136))</f>
        <v/>
      </c>
      <c r="BE136">
        <f>IF(H135&lt;=0,BB136,MAX(0,$F$10+BB136-H135-BC136))</f>
        <v/>
      </c>
      <c r="BF136">
        <f>IF(I135&lt;=0,0,I135*$E$11/12)</f>
        <v/>
      </c>
      <c r="BG136">
        <f>IF(I135&lt;=0,0,MIN(I135+BF136,$F$11+BE136))</f>
        <v/>
      </c>
      <c r="BH136">
        <f>IF(I135&lt;=0,BE136,MAX(0,$F$11+BE136-I135-BF136))</f>
        <v/>
      </c>
      <c r="BI136">
        <f>IF(J135&lt;=0,0,J135*$E$12/12)</f>
        <v/>
      </c>
      <c r="BJ136">
        <f>IF(J135&lt;=0,0,MIN(J135+BI136,$F$12+BH136))</f>
        <v/>
      </c>
      <c r="BK136">
        <f>IF(J135&lt;=0,BH136,MAX(0,$F$12+BH136-J135-BI136))</f>
        <v/>
      </c>
      <c r="BL136">
        <f>IF(K135&lt;=0,0,K135*$E$13/12)</f>
        <v/>
      </c>
      <c r="BM136">
        <f>IF(K135&lt;=0,0,MIN(K135+BL136,$F$13+BK136))</f>
        <v/>
      </c>
      <c r="BN136">
        <f>IF(K135&lt;=0,BK136,MAX(0,$F$13+BK136-K135-BL136))</f>
        <v/>
      </c>
      <c r="BO136">
        <f>IF(L135&lt;=0,0,L135*$E$14/12)</f>
        <v/>
      </c>
      <c r="BP136">
        <f>IF(L135&lt;=0,0,MIN(L135+BO136,$F$14+BN136))</f>
        <v/>
      </c>
      <c r="BQ136">
        <f>IF(L135&lt;=0,BN136,MAX(0,$F$14+BN136-L135-BO136))</f>
        <v/>
      </c>
      <c r="BR136">
        <f>IF(M135&lt;=0,0,M135*$E$15/12)</f>
        <v/>
      </c>
      <c r="BS136">
        <f>IF(M135&lt;=0,0,MIN(M135+BR136,$F$15+BQ136))</f>
        <v/>
      </c>
      <c r="BT136">
        <f>IF(M135&lt;=0,BQ136,MAX(0,$F$15+BQ136-M135-BR136))</f>
        <v/>
      </c>
      <c r="BU136">
        <f>IF(N135&lt;=0,0,N135*$E$16/12)</f>
        <v/>
      </c>
      <c r="BV136">
        <f>IF(N135&lt;=0,0,MIN(N135+BU136,$F$16+BT136))</f>
        <v/>
      </c>
      <c r="BW136">
        <f>IF(N135&lt;=0,BT136,MAX(0,$F$16+BT136-N135-BU136))</f>
        <v/>
      </c>
      <c r="BX136">
        <f>IF(O135&lt;=0,0,O135*$E$17/12)</f>
        <v/>
      </c>
      <c r="BY136">
        <f>IF(O135&lt;=0,0,MIN(O135+BX136,$F$17+BW136))</f>
        <v/>
      </c>
      <c r="BZ136">
        <f>IF(O135&lt;=0,BW136,MAX(0,$F$17+BW136-O135-BX136))</f>
        <v/>
      </c>
      <c r="CA136">
        <f>IF(P135&lt;=0,0,P135*$E$18/12)</f>
        <v/>
      </c>
      <c r="CB136">
        <f>IF(P135&lt;=0,0,MIN(P135+CA136,$F$18+BZ136))</f>
        <v/>
      </c>
      <c r="CC136">
        <f>IF(P135&lt;=0,BZ136,MAX(0,$F$18+BZ136-P135-CA136))</f>
        <v/>
      </c>
      <c r="CD136">
        <f>IF(Q135&lt;=0,0,Q135*$E$19/12)</f>
        <v/>
      </c>
      <c r="CE136">
        <f>IF(Q135&lt;=0,0,MIN(Q135+CD136,$F$19+CC136))</f>
        <v/>
      </c>
      <c r="CF136">
        <f>IF(Q135&lt;=0,CC136,MAX(0,$F$19+CC136-Q135-CD136))</f>
        <v/>
      </c>
      <c r="CG136">
        <f>IF(R135&lt;=0,0,R135*$E$20/12)</f>
        <v/>
      </c>
      <c r="CH136">
        <f>IF(R135&lt;=0,0,MIN(R135+CG136,$F$20+CF136))</f>
        <v/>
      </c>
      <c r="CI136">
        <f>IF(R135&lt;=0,CF136,MAX(0,$F$20+CF136-R135-CG136))</f>
        <v/>
      </c>
      <c r="CJ136">
        <f>IF(S135&lt;=0,0,S135*$E$21/12)</f>
        <v/>
      </c>
      <c r="CK136">
        <f>IF(S135&lt;=0,0,MIN(S135+CJ136,$F$21+CI136))</f>
        <v/>
      </c>
      <c r="CL136">
        <f>IF(S135&lt;=0,CI136,MAX(0,$F$21+CI136-S135-CJ136))</f>
        <v/>
      </c>
      <c r="CM136">
        <f>IF(T135&lt;=0,0,T135*$E$22/12)</f>
        <v/>
      </c>
      <c r="CN136">
        <f>IF(T135&lt;=0,0,MIN(T135+CM136,$F$22+CL136))</f>
        <v/>
      </c>
      <c r="CO136">
        <f>IF(T135&lt;=0,CL136,MAX(0,$F$22+CL136-T135-CM136))</f>
        <v/>
      </c>
      <c r="CP136">
        <f>IF(U135&lt;=0,0,U135*$E$23/12)</f>
        <v/>
      </c>
      <c r="CQ136">
        <f>IF(U135&lt;=0,0,MIN(U135+CP136,$F$23+CO136))</f>
        <v/>
      </c>
      <c r="CR136">
        <f>IF(U135&lt;=0,CO136,MAX(0,$F$23+CO136-U135-CP136))</f>
        <v/>
      </c>
      <c r="CS136">
        <f>IF(V135&lt;=0,0,V135*$E$24/12)</f>
        <v/>
      </c>
      <c r="CT136">
        <f>IF(V135&lt;=0,0,MIN(V135+CS136,$F$24+CR136))</f>
        <v/>
      </c>
      <c r="CU136">
        <f>IF(V135&lt;=0,CR136,MAX(0,$F$24+CR136-V135-CS136))</f>
        <v/>
      </c>
    </row>
    <row r="137">
      <c r="B137" s="39" t="n">
        <v>111</v>
      </c>
      <c r="C137" s="13">
        <f>IF(C136&lt;=0,0,MAX(0,C136+AN137-AO137))</f>
        <v/>
      </c>
      <c r="D137" s="13">
        <f>IF(D136&lt;=0,0,MAX(0,D136+AQ137-AR137))</f>
        <v/>
      </c>
      <c r="E137" s="13">
        <f>IF(E136&lt;=0,0,MAX(0,E136+AT137-AU137))</f>
        <v/>
      </c>
      <c r="F137" s="13">
        <f>IF(F136&lt;=0,0,MAX(0,F136+AW137-AX137))</f>
        <v/>
      </c>
      <c r="G137" s="13">
        <f>IF(G136&lt;=0,0,MAX(0,G136+AZ137-BA137))</f>
        <v/>
      </c>
      <c r="H137" s="13">
        <f>IF(H136&lt;=0,0,MAX(0,H136+BC137-BD137))</f>
        <v/>
      </c>
      <c r="I137" s="13">
        <f>IF(I136&lt;=0,0,MAX(0,I136+BF137-BG137))</f>
        <v/>
      </c>
      <c r="J137" s="13">
        <f>IF(J136&lt;=0,0,MAX(0,J136+BI137-BJ137))</f>
        <v/>
      </c>
      <c r="K137" s="13">
        <f>IF(K136&lt;=0,0,MAX(0,K136+BL137-BM137))</f>
        <v/>
      </c>
      <c r="L137" s="13">
        <f>IF(L136&lt;=0,0,MAX(0,L136+BO137-BP137))</f>
        <v/>
      </c>
      <c r="M137" s="13">
        <f>IF(M136&lt;=0,0,MAX(0,M136+BR137-BS137))</f>
        <v/>
      </c>
      <c r="N137" s="13">
        <f>IF(N136&lt;=0,0,MAX(0,N136+BU137-BV137))</f>
        <v/>
      </c>
      <c r="O137" s="13">
        <f>IF(O136&lt;=0,0,MAX(0,O136+BX137-BY137))</f>
        <v/>
      </c>
      <c r="P137" s="13">
        <f>IF(P136&lt;=0,0,MAX(0,P136+CA137-CB137))</f>
        <v/>
      </c>
      <c r="Q137" s="13">
        <f>IF(Q136&lt;=0,0,MAX(0,Q136+CD137-CE137))</f>
        <v/>
      </c>
      <c r="R137" s="13">
        <f>IF(R136&lt;=0,0,MAX(0,R136+CG137-CH137))</f>
        <v/>
      </c>
      <c r="S137" s="13">
        <f>IF(S136&lt;=0,0,MAX(0,S136+CJ137-CK137))</f>
        <v/>
      </c>
      <c r="T137" s="13">
        <f>IF(T136&lt;=0,0,MAX(0,T136+CM137-CN137))</f>
        <v/>
      </c>
      <c r="U137" s="13">
        <f>IF(U136&lt;=0,0,MAX(0,U136+CP137-CQ137))</f>
        <v/>
      </c>
      <c r="V137" s="13">
        <f>IF(V136&lt;=0,0,MAX(0,V136+CS137-CT137))</f>
        <v/>
      </c>
      <c r="W137" s="13">
        <f>AO137+AR137+AU137+AX137+BA137+BD137+BG137+BJ137+BM137+BP137+BS137+BV137+BY137+CB137+CE137+CH137+CK137+CN137+CQ137+CT137</f>
        <v/>
      </c>
      <c r="X137" s="13">
        <f>AN137+AQ137+AT137+AW137+AZ137+BC137+BF137+BI137+BL137+BO137+BR137+BU137+BX137+CA137+CD137+CG137+CJ137+CM137+CP137+CS137</f>
        <v/>
      </c>
      <c r="Y137" s="27">
        <f>C137+D137+E137+F137+G137+H137+I137+J137+K137+L137+M137+N137+O137+P137+Q137+R137+S137+T137+U137+V137</f>
        <v/>
      </c>
      <c r="AN137">
        <f>IF(C136&lt;=0,0,C136*$E$5/12)</f>
        <v/>
      </c>
      <c r="AO137">
        <f>IF(C136&lt;=0,0,MIN(C136+AN137,$F$5+(Dashboard!$C$11+IF(C136&lt;=0,$F$5,0)+IF(D136&lt;=0,$F$6,0)+IF(E136&lt;=0,$F$7,0)+IF(F136&lt;=0,$F$8,0)+IF(G136&lt;=0,$F$9,0)+IF(H136&lt;=0,$F$10,0)+IF(I136&lt;=0,$F$11,0)+IF(J136&lt;=0,$F$12,0)+IF(K136&lt;=0,$F$13,0)+IF(L136&lt;=0,$F$14,0)+IF(M136&lt;=0,$F$15,0)+IF(N136&lt;=0,$F$16,0)+IF(O136&lt;=0,$F$17,0)+IF(P136&lt;=0,$F$18,0)+IF(Q136&lt;=0,$F$19,0)+IF(R136&lt;=0,$F$20,0)+IF(S136&lt;=0,$F$21,0)+IF(T136&lt;=0,$F$22,0)+IF(U136&lt;=0,$F$23,0)+IF(V136&lt;=0,$F$24,0))))</f>
        <v/>
      </c>
      <c r="AP137">
        <f>IF(C136&lt;=0,(Dashboard!$C$11+IF(C136&lt;=0,$F$5,0)+IF(D136&lt;=0,$F$6,0)+IF(E136&lt;=0,$F$7,0)+IF(F136&lt;=0,$F$8,0)+IF(G136&lt;=0,$F$9,0)+IF(H136&lt;=0,$F$10,0)+IF(I136&lt;=0,$F$11,0)+IF(J136&lt;=0,$F$12,0)+IF(K136&lt;=0,$F$13,0)+IF(L136&lt;=0,$F$14,0)+IF(M136&lt;=0,$F$15,0)+IF(N136&lt;=0,$F$16,0)+IF(O136&lt;=0,$F$17,0)+IF(P136&lt;=0,$F$18,0)+IF(Q136&lt;=0,$F$19,0)+IF(R136&lt;=0,$F$20,0)+IF(S136&lt;=0,$F$21,0)+IF(T136&lt;=0,$F$22,0)+IF(U136&lt;=0,$F$23,0)+IF(V136&lt;=0,$F$24,0)),MAX(0,$F$5+(Dashboard!$C$11+IF(C136&lt;=0,$F$5,0)+IF(D136&lt;=0,$F$6,0)+IF(E136&lt;=0,$F$7,0)+IF(F136&lt;=0,$F$8,0)+IF(G136&lt;=0,$F$9,0)+IF(H136&lt;=0,$F$10,0)+IF(I136&lt;=0,$F$11,0)+IF(J136&lt;=0,$F$12,0)+IF(K136&lt;=0,$F$13,0)+IF(L136&lt;=0,$F$14,0)+IF(M136&lt;=0,$F$15,0)+IF(N136&lt;=0,$F$16,0)+IF(O136&lt;=0,$F$17,0)+IF(P136&lt;=0,$F$18,0)+IF(Q136&lt;=0,$F$19,0)+IF(R136&lt;=0,$F$20,0)+IF(S136&lt;=0,$F$21,0)+IF(T136&lt;=0,$F$22,0)+IF(U136&lt;=0,$F$23,0)+IF(V136&lt;=0,$F$24,0))-C136-AN137))</f>
        <v/>
      </c>
      <c r="AQ137">
        <f>IF(D136&lt;=0,0,D136*$E$6/12)</f>
        <v/>
      </c>
      <c r="AR137">
        <f>IF(D136&lt;=0,0,MIN(D136+AQ137,$F$6+AP137))</f>
        <v/>
      </c>
      <c r="AS137">
        <f>IF(D136&lt;=0,AP137,MAX(0,$F$6+AP137-D136-AQ137))</f>
        <v/>
      </c>
      <c r="AT137">
        <f>IF(E136&lt;=0,0,E136*$E$7/12)</f>
        <v/>
      </c>
      <c r="AU137">
        <f>IF(E136&lt;=0,0,MIN(E136+AT137,$F$7+AS137))</f>
        <v/>
      </c>
      <c r="AV137">
        <f>IF(E136&lt;=0,AS137,MAX(0,$F$7+AS137-E136-AT137))</f>
        <v/>
      </c>
      <c r="AW137">
        <f>IF(F136&lt;=0,0,F136*$E$8/12)</f>
        <v/>
      </c>
      <c r="AX137">
        <f>IF(F136&lt;=0,0,MIN(F136+AW137,$F$8+AV137))</f>
        <v/>
      </c>
      <c r="AY137">
        <f>IF(F136&lt;=0,AV137,MAX(0,$F$8+AV137-F136-AW137))</f>
        <v/>
      </c>
      <c r="AZ137">
        <f>IF(G136&lt;=0,0,G136*$E$9/12)</f>
        <v/>
      </c>
      <c r="BA137">
        <f>IF(G136&lt;=0,0,MIN(G136+AZ137,$F$9+AY137))</f>
        <v/>
      </c>
      <c r="BB137">
        <f>IF(G136&lt;=0,AY137,MAX(0,$F$9+AY137-G136-AZ137))</f>
        <v/>
      </c>
      <c r="BC137">
        <f>IF(H136&lt;=0,0,H136*$E$10/12)</f>
        <v/>
      </c>
      <c r="BD137">
        <f>IF(H136&lt;=0,0,MIN(H136+BC137,$F$10+BB137))</f>
        <v/>
      </c>
      <c r="BE137">
        <f>IF(H136&lt;=0,BB137,MAX(0,$F$10+BB137-H136-BC137))</f>
        <v/>
      </c>
      <c r="BF137">
        <f>IF(I136&lt;=0,0,I136*$E$11/12)</f>
        <v/>
      </c>
      <c r="BG137">
        <f>IF(I136&lt;=0,0,MIN(I136+BF137,$F$11+BE137))</f>
        <v/>
      </c>
      <c r="BH137">
        <f>IF(I136&lt;=0,BE137,MAX(0,$F$11+BE137-I136-BF137))</f>
        <v/>
      </c>
      <c r="BI137">
        <f>IF(J136&lt;=0,0,J136*$E$12/12)</f>
        <v/>
      </c>
      <c r="BJ137">
        <f>IF(J136&lt;=0,0,MIN(J136+BI137,$F$12+BH137))</f>
        <v/>
      </c>
      <c r="BK137">
        <f>IF(J136&lt;=0,BH137,MAX(0,$F$12+BH137-J136-BI137))</f>
        <v/>
      </c>
      <c r="BL137">
        <f>IF(K136&lt;=0,0,K136*$E$13/12)</f>
        <v/>
      </c>
      <c r="BM137">
        <f>IF(K136&lt;=0,0,MIN(K136+BL137,$F$13+BK137))</f>
        <v/>
      </c>
      <c r="BN137">
        <f>IF(K136&lt;=0,BK137,MAX(0,$F$13+BK137-K136-BL137))</f>
        <v/>
      </c>
      <c r="BO137">
        <f>IF(L136&lt;=0,0,L136*$E$14/12)</f>
        <v/>
      </c>
      <c r="BP137">
        <f>IF(L136&lt;=0,0,MIN(L136+BO137,$F$14+BN137))</f>
        <v/>
      </c>
      <c r="BQ137">
        <f>IF(L136&lt;=0,BN137,MAX(0,$F$14+BN137-L136-BO137))</f>
        <v/>
      </c>
      <c r="BR137">
        <f>IF(M136&lt;=0,0,M136*$E$15/12)</f>
        <v/>
      </c>
      <c r="BS137">
        <f>IF(M136&lt;=0,0,MIN(M136+BR137,$F$15+BQ137))</f>
        <v/>
      </c>
      <c r="BT137">
        <f>IF(M136&lt;=0,BQ137,MAX(0,$F$15+BQ137-M136-BR137))</f>
        <v/>
      </c>
      <c r="BU137">
        <f>IF(N136&lt;=0,0,N136*$E$16/12)</f>
        <v/>
      </c>
      <c r="BV137">
        <f>IF(N136&lt;=0,0,MIN(N136+BU137,$F$16+BT137))</f>
        <v/>
      </c>
      <c r="BW137">
        <f>IF(N136&lt;=0,BT137,MAX(0,$F$16+BT137-N136-BU137))</f>
        <v/>
      </c>
      <c r="BX137">
        <f>IF(O136&lt;=0,0,O136*$E$17/12)</f>
        <v/>
      </c>
      <c r="BY137">
        <f>IF(O136&lt;=0,0,MIN(O136+BX137,$F$17+BW137))</f>
        <v/>
      </c>
      <c r="BZ137">
        <f>IF(O136&lt;=0,BW137,MAX(0,$F$17+BW137-O136-BX137))</f>
        <v/>
      </c>
      <c r="CA137">
        <f>IF(P136&lt;=0,0,P136*$E$18/12)</f>
        <v/>
      </c>
      <c r="CB137">
        <f>IF(P136&lt;=0,0,MIN(P136+CA137,$F$18+BZ137))</f>
        <v/>
      </c>
      <c r="CC137">
        <f>IF(P136&lt;=0,BZ137,MAX(0,$F$18+BZ137-P136-CA137))</f>
        <v/>
      </c>
      <c r="CD137">
        <f>IF(Q136&lt;=0,0,Q136*$E$19/12)</f>
        <v/>
      </c>
      <c r="CE137">
        <f>IF(Q136&lt;=0,0,MIN(Q136+CD137,$F$19+CC137))</f>
        <v/>
      </c>
      <c r="CF137">
        <f>IF(Q136&lt;=0,CC137,MAX(0,$F$19+CC137-Q136-CD137))</f>
        <v/>
      </c>
      <c r="CG137">
        <f>IF(R136&lt;=0,0,R136*$E$20/12)</f>
        <v/>
      </c>
      <c r="CH137">
        <f>IF(R136&lt;=0,0,MIN(R136+CG137,$F$20+CF137))</f>
        <v/>
      </c>
      <c r="CI137">
        <f>IF(R136&lt;=0,CF137,MAX(0,$F$20+CF137-R136-CG137))</f>
        <v/>
      </c>
      <c r="CJ137">
        <f>IF(S136&lt;=0,0,S136*$E$21/12)</f>
        <v/>
      </c>
      <c r="CK137">
        <f>IF(S136&lt;=0,0,MIN(S136+CJ137,$F$21+CI137))</f>
        <v/>
      </c>
      <c r="CL137">
        <f>IF(S136&lt;=0,CI137,MAX(0,$F$21+CI137-S136-CJ137))</f>
        <v/>
      </c>
      <c r="CM137">
        <f>IF(T136&lt;=0,0,T136*$E$22/12)</f>
        <v/>
      </c>
      <c r="CN137">
        <f>IF(T136&lt;=0,0,MIN(T136+CM137,$F$22+CL137))</f>
        <v/>
      </c>
      <c r="CO137">
        <f>IF(T136&lt;=0,CL137,MAX(0,$F$22+CL137-T136-CM137))</f>
        <v/>
      </c>
      <c r="CP137">
        <f>IF(U136&lt;=0,0,U136*$E$23/12)</f>
        <v/>
      </c>
      <c r="CQ137">
        <f>IF(U136&lt;=0,0,MIN(U136+CP137,$F$23+CO137))</f>
        <v/>
      </c>
      <c r="CR137">
        <f>IF(U136&lt;=0,CO137,MAX(0,$F$23+CO137-U136-CP137))</f>
        <v/>
      </c>
      <c r="CS137">
        <f>IF(V136&lt;=0,0,V136*$E$24/12)</f>
        <v/>
      </c>
      <c r="CT137">
        <f>IF(V136&lt;=0,0,MIN(V136+CS137,$F$24+CR137))</f>
        <v/>
      </c>
      <c r="CU137">
        <f>IF(V136&lt;=0,CR137,MAX(0,$F$24+CR137-V136-CS137))</f>
        <v/>
      </c>
    </row>
    <row r="138">
      <c r="B138" s="39" t="n">
        <v>112</v>
      </c>
      <c r="C138" s="13">
        <f>IF(C137&lt;=0,0,MAX(0,C137+AN138-AO138))</f>
        <v/>
      </c>
      <c r="D138" s="13">
        <f>IF(D137&lt;=0,0,MAX(0,D137+AQ138-AR138))</f>
        <v/>
      </c>
      <c r="E138" s="13">
        <f>IF(E137&lt;=0,0,MAX(0,E137+AT138-AU138))</f>
        <v/>
      </c>
      <c r="F138" s="13">
        <f>IF(F137&lt;=0,0,MAX(0,F137+AW138-AX138))</f>
        <v/>
      </c>
      <c r="G138" s="13">
        <f>IF(G137&lt;=0,0,MAX(0,G137+AZ138-BA138))</f>
        <v/>
      </c>
      <c r="H138" s="13">
        <f>IF(H137&lt;=0,0,MAX(0,H137+BC138-BD138))</f>
        <v/>
      </c>
      <c r="I138" s="13">
        <f>IF(I137&lt;=0,0,MAX(0,I137+BF138-BG138))</f>
        <v/>
      </c>
      <c r="J138" s="13">
        <f>IF(J137&lt;=0,0,MAX(0,J137+BI138-BJ138))</f>
        <v/>
      </c>
      <c r="K138" s="13">
        <f>IF(K137&lt;=0,0,MAX(0,K137+BL138-BM138))</f>
        <v/>
      </c>
      <c r="L138" s="13">
        <f>IF(L137&lt;=0,0,MAX(0,L137+BO138-BP138))</f>
        <v/>
      </c>
      <c r="M138" s="13">
        <f>IF(M137&lt;=0,0,MAX(0,M137+BR138-BS138))</f>
        <v/>
      </c>
      <c r="N138" s="13">
        <f>IF(N137&lt;=0,0,MAX(0,N137+BU138-BV138))</f>
        <v/>
      </c>
      <c r="O138" s="13">
        <f>IF(O137&lt;=0,0,MAX(0,O137+BX138-BY138))</f>
        <v/>
      </c>
      <c r="P138" s="13">
        <f>IF(P137&lt;=0,0,MAX(0,P137+CA138-CB138))</f>
        <v/>
      </c>
      <c r="Q138" s="13">
        <f>IF(Q137&lt;=0,0,MAX(0,Q137+CD138-CE138))</f>
        <v/>
      </c>
      <c r="R138" s="13">
        <f>IF(R137&lt;=0,0,MAX(0,R137+CG138-CH138))</f>
        <v/>
      </c>
      <c r="S138" s="13">
        <f>IF(S137&lt;=0,0,MAX(0,S137+CJ138-CK138))</f>
        <v/>
      </c>
      <c r="T138" s="13">
        <f>IF(T137&lt;=0,0,MAX(0,T137+CM138-CN138))</f>
        <v/>
      </c>
      <c r="U138" s="13">
        <f>IF(U137&lt;=0,0,MAX(0,U137+CP138-CQ138))</f>
        <v/>
      </c>
      <c r="V138" s="13">
        <f>IF(V137&lt;=0,0,MAX(0,V137+CS138-CT138))</f>
        <v/>
      </c>
      <c r="W138" s="13">
        <f>AO138+AR138+AU138+AX138+BA138+BD138+BG138+BJ138+BM138+BP138+BS138+BV138+BY138+CB138+CE138+CH138+CK138+CN138+CQ138+CT138</f>
        <v/>
      </c>
      <c r="X138" s="13">
        <f>AN138+AQ138+AT138+AW138+AZ138+BC138+BF138+BI138+BL138+BO138+BR138+BU138+BX138+CA138+CD138+CG138+CJ138+CM138+CP138+CS138</f>
        <v/>
      </c>
      <c r="Y138" s="27">
        <f>C138+D138+E138+F138+G138+H138+I138+J138+K138+L138+M138+N138+O138+P138+Q138+R138+S138+T138+U138+V138</f>
        <v/>
      </c>
      <c r="AN138">
        <f>IF(C137&lt;=0,0,C137*$E$5/12)</f>
        <v/>
      </c>
      <c r="AO138">
        <f>IF(C137&lt;=0,0,MIN(C137+AN138,$F$5+(Dashboard!$C$11+IF(C137&lt;=0,$F$5,0)+IF(D137&lt;=0,$F$6,0)+IF(E137&lt;=0,$F$7,0)+IF(F137&lt;=0,$F$8,0)+IF(G137&lt;=0,$F$9,0)+IF(H137&lt;=0,$F$10,0)+IF(I137&lt;=0,$F$11,0)+IF(J137&lt;=0,$F$12,0)+IF(K137&lt;=0,$F$13,0)+IF(L137&lt;=0,$F$14,0)+IF(M137&lt;=0,$F$15,0)+IF(N137&lt;=0,$F$16,0)+IF(O137&lt;=0,$F$17,0)+IF(P137&lt;=0,$F$18,0)+IF(Q137&lt;=0,$F$19,0)+IF(R137&lt;=0,$F$20,0)+IF(S137&lt;=0,$F$21,0)+IF(T137&lt;=0,$F$22,0)+IF(U137&lt;=0,$F$23,0)+IF(V137&lt;=0,$F$24,0))))</f>
        <v/>
      </c>
      <c r="AP138">
        <f>IF(C137&lt;=0,(Dashboard!$C$11+IF(C137&lt;=0,$F$5,0)+IF(D137&lt;=0,$F$6,0)+IF(E137&lt;=0,$F$7,0)+IF(F137&lt;=0,$F$8,0)+IF(G137&lt;=0,$F$9,0)+IF(H137&lt;=0,$F$10,0)+IF(I137&lt;=0,$F$11,0)+IF(J137&lt;=0,$F$12,0)+IF(K137&lt;=0,$F$13,0)+IF(L137&lt;=0,$F$14,0)+IF(M137&lt;=0,$F$15,0)+IF(N137&lt;=0,$F$16,0)+IF(O137&lt;=0,$F$17,0)+IF(P137&lt;=0,$F$18,0)+IF(Q137&lt;=0,$F$19,0)+IF(R137&lt;=0,$F$20,0)+IF(S137&lt;=0,$F$21,0)+IF(T137&lt;=0,$F$22,0)+IF(U137&lt;=0,$F$23,0)+IF(V137&lt;=0,$F$24,0)),MAX(0,$F$5+(Dashboard!$C$11+IF(C137&lt;=0,$F$5,0)+IF(D137&lt;=0,$F$6,0)+IF(E137&lt;=0,$F$7,0)+IF(F137&lt;=0,$F$8,0)+IF(G137&lt;=0,$F$9,0)+IF(H137&lt;=0,$F$10,0)+IF(I137&lt;=0,$F$11,0)+IF(J137&lt;=0,$F$12,0)+IF(K137&lt;=0,$F$13,0)+IF(L137&lt;=0,$F$14,0)+IF(M137&lt;=0,$F$15,0)+IF(N137&lt;=0,$F$16,0)+IF(O137&lt;=0,$F$17,0)+IF(P137&lt;=0,$F$18,0)+IF(Q137&lt;=0,$F$19,0)+IF(R137&lt;=0,$F$20,0)+IF(S137&lt;=0,$F$21,0)+IF(T137&lt;=0,$F$22,0)+IF(U137&lt;=0,$F$23,0)+IF(V137&lt;=0,$F$24,0))-C137-AN138))</f>
        <v/>
      </c>
      <c r="AQ138">
        <f>IF(D137&lt;=0,0,D137*$E$6/12)</f>
        <v/>
      </c>
      <c r="AR138">
        <f>IF(D137&lt;=0,0,MIN(D137+AQ138,$F$6+AP138))</f>
        <v/>
      </c>
      <c r="AS138">
        <f>IF(D137&lt;=0,AP138,MAX(0,$F$6+AP138-D137-AQ138))</f>
        <v/>
      </c>
      <c r="AT138">
        <f>IF(E137&lt;=0,0,E137*$E$7/12)</f>
        <v/>
      </c>
      <c r="AU138">
        <f>IF(E137&lt;=0,0,MIN(E137+AT138,$F$7+AS138))</f>
        <v/>
      </c>
      <c r="AV138">
        <f>IF(E137&lt;=0,AS138,MAX(0,$F$7+AS138-E137-AT138))</f>
        <v/>
      </c>
      <c r="AW138">
        <f>IF(F137&lt;=0,0,F137*$E$8/12)</f>
        <v/>
      </c>
      <c r="AX138">
        <f>IF(F137&lt;=0,0,MIN(F137+AW138,$F$8+AV138))</f>
        <v/>
      </c>
      <c r="AY138">
        <f>IF(F137&lt;=0,AV138,MAX(0,$F$8+AV138-F137-AW138))</f>
        <v/>
      </c>
      <c r="AZ138">
        <f>IF(G137&lt;=0,0,G137*$E$9/12)</f>
        <v/>
      </c>
      <c r="BA138">
        <f>IF(G137&lt;=0,0,MIN(G137+AZ138,$F$9+AY138))</f>
        <v/>
      </c>
      <c r="BB138">
        <f>IF(G137&lt;=0,AY138,MAX(0,$F$9+AY138-G137-AZ138))</f>
        <v/>
      </c>
      <c r="BC138">
        <f>IF(H137&lt;=0,0,H137*$E$10/12)</f>
        <v/>
      </c>
      <c r="BD138">
        <f>IF(H137&lt;=0,0,MIN(H137+BC138,$F$10+BB138))</f>
        <v/>
      </c>
      <c r="BE138">
        <f>IF(H137&lt;=0,BB138,MAX(0,$F$10+BB138-H137-BC138))</f>
        <v/>
      </c>
      <c r="BF138">
        <f>IF(I137&lt;=0,0,I137*$E$11/12)</f>
        <v/>
      </c>
      <c r="BG138">
        <f>IF(I137&lt;=0,0,MIN(I137+BF138,$F$11+BE138))</f>
        <v/>
      </c>
      <c r="BH138">
        <f>IF(I137&lt;=0,BE138,MAX(0,$F$11+BE138-I137-BF138))</f>
        <v/>
      </c>
      <c r="BI138">
        <f>IF(J137&lt;=0,0,J137*$E$12/12)</f>
        <v/>
      </c>
      <c r="BJ138">
        <f>IF(J137&lt;=0,0,MIN(J137+BI138,$F$12+BH138))</f>
        <v/>
      </c>
      <c r="BK138">
        <f>IF(J137&lt;=0,BH138,MAX(0,$F$12+BH138-J137-BI138))</f>
        <v/>
      </c>
      <c r="BL138">
        <f>IF(K137&lt;=0,0,K137*$E$13/12)</f>
        <v/>
      </c>
      <c r="BM138">
        <f>IF(K137&lt;=0,0,MIN(K137+BL138,$F$13+BK138))</f>
        <v/>
      </c>
      <c r="BN138">
        <f>IF(K137&lt;=0,BK138,MAX(0,$F$13+BK138-K137-BL138))</f>
        <v/>
      </c>
      <c r="BO138">
        <f>IF(L137&lt;=0,0,L137*$E$14/12)</f>
        <v/>
      </c>
      <c r="BP138">
        <f>IF(L137&lt;=0,0,MIN(L137+BO138,$F$14+BN138))</f>
        <v/>
      </c>
      <c r="BQ138">
        <f>IF(L137&lt;=0,BN138,MAX(0,$F$14+BN138-L137-BO138))</f>
        <v/>
      </c>
      <c r="BR138">
        <f>IF(M137&lt;=0,0,M137*$E$15/12)</f>
        <v/>
      </c>
      <c r="BS138">
        <f>IF(M137&lt;=0,0,MIN(M137+BR138,$F$15+BQ138))</f>
        <v/>
      </c>
      <c r="BT138">
        <f>IF(M137&lt;=0,BQ138,MAX(0,$F$15+BQ138-M137-BR138))</f>
        <v/>
      </c>
      <c r="BU138">
        <f>IF(N137&lt;=0,0,N137*$E$16/12)</f>
        <v/>
      </c>
      <c r="BV138">
        <f>IF(N137&lt;=0,0,MIN(N137+BU138,$F$16+BT138))</f>
        <v/>
      </c>
      <c r="BW138">
        <f>IF(N137&lt;=0,BT138,MAX(0,$F$16+BT138-N137-BU138))</f>
        <v/>
      </c>
      <c r="BX138">
        <f>IF(O137&lt;=0,0,O137*$E$17/12)</f>
        <v/>
      </c>
      <c r="BY138">
        <f>IF(O137&lt;=0,0,MIN(O137+BX138,$F$17+BW138))</f>
        <v/>
      </c>
      <c r="BZ138">
        <f>IF(O137&lt;=0,BW138,MAX(0,$F$17+BW138-O137-BX138))</f>
        <v/>
      </c>
      <c r="CA138">
        <f>IF(P137&lt;=0,0,P137*$E$18/12)</f>
        <v/>
      </c>
      <c r="CB138">
        <f>IF(P137&lt;=0,0,MIN(P137+CA138,$F$18+BZ138))</f>
        <v/>
      </c>
      <c r="CC138">
        <f>IF(P137&lt;=0,BZ138,MAX(0,$F$18+BZ138-P137-CA138))</f>
        <v/>
      </c>
      <c r="CD138">
        <f>IF(Q137&lt;=0,0,Q137*$E$19/12)</f>
        <v/>
      </c>
      <c r="CE138">
        <f>IF(Q137&lt;=0,0,MIN(Q137+CD138,$F$19+CC138))</f>
        <v/>
      </c>
      <c r="CF138">
        <f>IF(Q137&lt;=0,CC138,MAX(0,$F$19+CC138-Q137-CD138))</f>
        <v/>
      </c>
      <c r="CG138">
        <f>IF(R137&lt;=0,0,R137*$E$20/12)</f>
        <v/>
      </c>
      <c r="CH138">
        <f>IF(R137&lt;=0,0,MIN(R137+CG138,$F$20+CF138))</f>
        <v/>
      </c>
      <c r="CI138">
        <f>IF(R137&lt;=0,CF138,MAX(0,$F$20+CF138-R137-CG138))</f>
        <v/>
      </c>
      <c r="CJ138">
        <f>IF(S137&lt;=0,0,S137*$E$21/12)</f>
        <v/>
      </c>
      <c r="CK138">
        <f>IF(S137&lt;=0,0,MIN(S137+CJ138,$F$21+CI138))</f>
        <v/>
      </c>
      <c r="CL138">
        <f>IF(S137&lt;=0,CI138,MAX(0,$F$21+CI138-S137-CJ138))</f>
        <v/>
      </c>
      <c r="CM138">
        <f>IF(T137&lt;=0,0,T137*$E$22/12)</f>
        <v/>
      </c>
      <c r="CN138">
        <f>IF(T137&lt;=0,0,MIN(T137+CM138,$F$22+CL138))</f>
        <v/>
      </c>
      <c r="CO138">
        <f>IF(T137&lt;=0,CL138,MAX(0,$F$22+CL138-T137-CM138))</f>
        <v/>
      </c>
      <c r="CP138">
        <f>IF(U137&lt;=0,0,U137*$E$23/12)</f>
        <v/>
      </c>
      <c r="CQ138">
        <f>IF(U137&lt;=0,0,MIN(U137+CP138,$F$23+CO138))</f>
        <v/>
      </c>
      <c r="CR138">
        <f>IF(U137&lt;=0,CO138,MAX(0,$F$23+CO138-U137-CP138))</f>
        <v/>
      </c>
      <c r="CS138">
        <f>IF(V137&lt;=0,0,V137*$E$24/12)</f>
        <v/>
      </c>
      <c r="CT138">
        <f>IF(V137&lt;=0,0,MIN(V137+CS138,$F$24+CR138))</f>
        <v/>
      </c>
      <c r="CU138">
        <f>IF(V137&lt;=0,CR138,MAX(0,$F$24+CR138-V137-CS138))</f>
        <v/>
      </c>
    </row>
    <row r="139">
      <c r="B139" s="39" t="n">
        <v>113</v>
      </c>
      <c r="C139" s="13">
        <f>IF(C138&lt;=0,0,MAX(0,C138+AN139-AO139))</f>
        <v/>
      </c>
      <c r="D139" s="13">
        <f>IF(D138&lt;=0,0,MAX(0,D138+AQ139-AR139))</f>
        <v/>
      </c>
      <c r="E139" s="13">
        <f>IF(E138&lt;=0,0,MAX(0,E138+AT139-AU139))</f>
        <v/>
      </c>
      <c r="F139" s="13">
        <f>IF(F138&lt;=0,0,MAX(0,F138+AW139-AX139))</f>
        <v/>
      </c>
      <c r="G139" s="13">
        <f>IF(G138&lt;=0,0,MAX(0,G138+AZ139-BA139))</f>
        <v/>
      </c>
      <c r="H139" s="13">
        <f>IF(H138&lt;=0,0,MAX(0,H138+BC139-BD139))</f>
        <v/>
      </c>
      <c r="I139" s="13">
        <f>IF(I138&lt;=0,0,MAX(0,I138+BF139-BG139))</f>
        <v/>
      </c>
      <c r="J139" s="13">
        <f>IF(J138&lt;=0,0,MAX(0,J138+BI139-BJ139))</f>
        <v/>
      </c>
      <c r="K139" s="13">
        <f>IF(K138&lt;=0,0,MAX(0,K138+BL139-BM139))</f>
        <v/>
      </c>
      <c r="L139" s="13">
        <f>IF(L138&lt;=0,0,MAX(0,L138+BO139-BP139))</f>
        <v/>
      </c>
      <c r="M139" s="13">
        <f>IF(M138&lt;=0,0,MAX(0,M138+BR139-BS139))</f>
        <v/>
      </c>
      <c r="N139" s="13">
        <f>IF(N138&lt;=0,0,MAX(0,N138+BU139-BV139))</f>
        <v/>
      </c>
      <c r="O139" s="13">
        <f>IF(O138&lt;=0,0,MAX(0,O138+BX139-BY139))</f>
        <v/>
      </c>
      <c r="P139" s="13">
        <f>IF(P138&lt;=0,0,MAX(0,P138+CA139-CB139))</f>
        <v/>
      </c>
      <c r="Q139" s="13">
        <f>IF(Q138&lt;=0,0,MAX(0,Q138+CD139-CE139))</f>
        <v/>
      </c>
      <c r="R139" s="13">
        <f>IF(R138&lt;=0,0,MAX(0,R138+CG139-CH139))</f>
        <v/>
      </c>
      <c r="S139" s="13">
        <f>IF(S138&lt;=0,0,MAX(0,S138+CJ139-CK139))</f>
        <v/>
      </c>
      <c r="T139" s="13">
        <f>IF(T138&lt;=0,0,MAX(0,T138+CM139-CN139))</f>
        <v/>
      </c>
      <c r="U139" s="13">
        <f>IF(U138&lt;=0,0,MAX(0,U138+CP139-CQ139))</f>
        <v/>
      </c>
      <c r="V139" s="13">
        <f>IF(V138&lt;=0,0,MAX(0,V138+CS139-CT139))</f>
        <v/>
      </c>
      <c r="W139" s="13">
        <f>AO139+AR139+AU139+AX139+BA139+BD139+BG139+BJ139+BM139+BP139+BS139+BV139+BY139+CB139+CE139+CH139+CK139+CN139+CQ139+CT139</f>
        <v/>
      </c>
      <c r="X139" s="13">
        <f>AN139+AQ139+AT139+AW139+AZ139+BC139+BF139+BI139+BL139+BO139+BR139+BU139+BX139+CA139+CD139+CG139+CJ139+CM139+CP139+CS139</f>
        <v/>
      </c>
      <c r="Y139" s="27">
        <f>C139+D139+E139+F139+G139+H139+I139+J139+K139+L139+M139+N139+O139+P139+Q139+R139+S139+T139+U139+V139</f>
        <v/>
      </c>
      <c r="AN139">
        <f>IF(C138&lt;=0,0,C138*$E$5/12)</f>
        <v/>
      </c>
      <c r="AO139">
        <f>IF(C138&lt;=0,0,MIN(C138+AN139,$F$5+(Dashboard!$C$11+IF(C138&lt;=0,$F$5,0)+IF(D138&lt;=0,$F$6,0)+IF(E138&lt;=0,$F$7,0)+IF(F138&lt;=0,$F$8,0)+IF(G138&lt;=0,$F$9,0)+IF(H138&lt;=0,$F$10,0)+IF(I138&lt;=0,$F$11,0)+IF(J138&lt;=0,$F$12,0)+IF(K138&lt;=0,$F$13,0)+IF(L138&lt;=0,$F$14,0)+IF(M138&lt;=0,$F$15,0)+IF(N138&lt;=0,$F$16,0)+IF(O138&lt;=0,$F$17,0)+IF(P138&lt;=0,$F$18,0)+IF(Q138&lt;=0,$F$19,0)+IF(R138&lt;=0,$F$20,0)+IF(S138&lt;=0,$F$21,0)+IF(T138&lt;=0,$F$22,0)+IF(U138&lt;=0,$F$23,0)+IF(V138&lt;=0,$F$24,0))))</f>
        <v/>
      </c>
      <c r="AP139">
        <f>IF(C138&lt;=0,(Dashboard!$C$11+IF(C138&lt;=0,$F$5,0)+IF(D138&lt;=0,$F$6,0)+IF(E138&lt;=0,$F$7,0)+IF(F138&lt;=0,$F$8,0)+IF(G138&lt;=0,$F$9,0)+IF(H138&lt;=0,$F$10,0)+IF(I138&lt;=0,$F$11,0)+IF(J138&lt;=0,$F$12,0)+IF(K138&lt;=0,$F$13,0)+IF(L138&lt;=0,$F$14,0)+IF(M138&lt;=0,$F$15,0)+IF(N138&lt;=0,$F$16,0)+IF(O138&lt;=0,$F$17,0)+IF(P138&lt;=0,$F$18,0)+IF(Q138&lt;=0,$F$19,0)+IF(R138&lt;=0,$F$20,0)+IF(S138&lt;=0,$F$21,0)+IF(T138&lt;=0,$F$22,0)+IF(U138&lt;=0,$F$23,0)+IF(V138&lt;=0,$F$24,0)),MAX(0,$F$5+(Dashboard!$C$11+IF(C138&lt;=0,$F$5,0)+IF(D138&lt;=0,$F$6,0)+IF(E138&lt;=0,$F$7,0)+IF(F138&lt;=0,$F$8,0)+IF(G138&lt;=0,$F$9,0)+IF(H138&lt;=0,$F$10,0)+IF(I138&lt;=0,$F$11,0)+IF(J138&lt;=0,$F$12,0)+IF(K138&lt;=0,$F$13,0)+IF(L138&lt;=0,$F$14,0)+IF(M138&lt;=0,$F$15,0)+IF(N138&lt;=0,$F$16,0)+IF(O138&lt;=0,$F$17,0)+IF(P138&lt;=0,$F$18,0)+IF(Q138&lt;=0,$F$19,0)+IF(R138&lt;=0,$F$20,0)+IF(S138&lt;=0,$F$21,0)+IF(T138&lt;=0,$F$22,0)+IF(U138&lt;=0,$F$23,0)+IF(V138&lt;=0,$F$24,0))-C138-AN139))</f>
        <v/>
      </c>
      <c r="AQ139">
        <f>IF(D138&lt;=0,0,D138*$E$6/12)</f>
        <v/>
      </c>
      <c r="AR139">
        <f>IF(D138&lt;=0,0,MIN(D138+AQ139,$F$6+AP139))</f>
        <v/>
      </c>
      <c r="AS139">
        <f>IF(D138&lt;=0,AP139,MAX(0,$F$6+AP139-D138-AQ139))</f>
        <v/>
      </c>
      <c r="AT139">
        <f>IF(E138&lt;=0,0,E138*$E$7/12)</f>
        <v/>
      </c>
      <c r="AU139">
        <f>IF(E138&lt;=0,0,MIN(E138+AT139,$F$7+AS139))</f>
        <v/>
      </c>
      <c r="AV139">
        <f>IF(E138&lt;=0,AS139,MAX(0,$F$7+AS139-E138-AT139))</f>
        <v/>
      </c>
      <c r="AW139">
        <f>IF(F138&lt;=0,0,F138*$E$8/12)</f>
        <v/>
      </c>
      <c r="AX139">
        <f>IF(F138&lt;=0,0,MIN(F138+AW139,$F$8+AV139))</f>
        <v/>
      </c>
      <c r="AY139">
        <f>IF(F138&lt;=0,AV139,MAX(0,$F$8+AV139-F138-AW139))</f>
        <v/>
      </c>
      <c r="AZ139">
        <f>IF(G138&lt;=0,0,G138*$E$9/12)</f>
        <v/>
      </c>
      <c r="BA139">
        <f>IF(G138&lt;=0,0,MIN(G138+AZ139,$F$9+AY139))</f>
        <v/>
      </c>
      <c r="BB139">
        <f>IF(G138&lt;=0,AY139,MAX(0,$F$9+AY139-G138-AZ139))</f>
        <v/>
      </c>
      <c r="BC139">
        <f>IF(H138&lt;=0,0,H138*$E$10/12)</f>
        <v/>
      </c>
      <c r="BD139">
        <f>IF(H138&lt;=0,0,MIN(H138+BC139,$F$10+BB139))</f>
        <v/>
      </c>
      <c r="BE139">
        <f>IF(H138&lt;=0,BB139,MAX(0,$F$10+BB139-H138-BC139))</f>
        <v/>
      </c>
      <c r="BF139">
        <f>IF(I138&lt;=0,0,I138*$E$11/12)</f>
        <v/>
      </c>
      <c r="BG139">
        <f>IF(I138&lt;=0,0,MIN(I138+BF139,$F$11+BE139))</f>
        <v/>
      </c>
      <c r="BH139">
        <f>IF(I138&lt;=0,BE139,MAX(0,$F$11+BE139-I138-BF139))</f>
        <v/>
      </c>
      <c r="BI139">
        <f>IF(J138&lt;=0,0,J138*$E$12/12)</f>
        <v/>
      </c>
      <c r="BJ139">
        <f>IF(J138&lt;=0,0,MIN(J138+BI139,$F$12+BH139))</f>
        <v/>
      </c>
      <c r="BK139">
        <f>IF(J138&lt;=0,BH139,MAX(0,$F$12+BH139-J138-BI139))</f>
        <v/>
      </c>
      <c r="BL139">
        <f>IF(K138&lt;=0,0,K138*$E$13/12)</f>
        <v/>
      </c>
      <c r="BM139">
        <f>IF(K138&lt;=0,0,MIN(K138+BL139,$F$13+BK139))</f>
        <v/>
      </c>
      <c r="BN139">
        <f>IF(K138&lt;=0,BK139,MAX(0,$F$13+BK139-K138-BL139))</f>
        <v/>
      </c>
      <c r="BO139">
        <f>IF(L138&lt;=0,0,L138*$E$14/12)</f>
        <v/>
      </c>
      <c r="BP139">
        <f>IF(L138&lt;=0,0,MIN(L138+BO139,$F$14+BN139))</f>
        <v/>
      </c>
      <c r="BQ139">
        <f>IF(L138&lt;=0,BN139,MAX(0,$F$14+BN139-L138-BO139))</f>
        <v/>
      </c>
      <c r="BR139">
        <f>IF(M138&lt;=0,0,M138*$E$15/12)</f>
        <v/>
      </c>
      <c r="BS139">
        <f>IF(M138&lt;=0,0,MIN(M138+BR139,$F$15+BQ139))</f>
        <v/>
      </c>
      <c r="BT139">
        <f>IF(M138&lt;=0,BQ139,MAX(0,$F$15+BQ139-M138-BR139))</f>
        <v/>
      </c>
      <c r="BU139">
        <f>IF(N138&lt;=0,0,N138*$E$16/12)</f>
        <v/>
      </c>
      <c r="BV139">
        <f>IF(N138&lt;=0,0,MIN(N138+BU139,$F$16+BT139))</f>
        <v/>
      </c>
      <c r="BW139">
        <f>IF(N138&lt;=0,BT139,MAX(0,$F$16+BT139-N138-BU139))</f>
        <v/>
      </c>
      <c r="BX139">
        <f>IF(O138&lt;=0,0,O138*$E$17/12)</f>
        <v/>
      </c>
      <c r="BY139">
        <f>IF(O138&lt;=0,0,MIN(O138+BX139,$F$17+BW139))</f>
        <v/>
      </c>
      <c r="BZ139">
        <f>IF(O138&lt;=0,BW139,MAX(0,$F$17+BW139-O138-BX139))</f>
        <v/>
      </c>
      <c r="CA139">
        <f>IF(P138&lt;=0,0,P138*$E$18/12)</f>
        <v/>
      </c>
      <c r="CB139">
        <f>IF(P138&lt;=0,0,MIN(P138+CA139,$F$18+BZ139))</f>
        <v/>
      </c>
      <c r="CC139">
        <f>IF(P138&lt;=0,BZ139,MAX(0,$F$18+BZ139-P138-CA139))</f>
        <v/>
      </c>
      <c r="CD139">
        <f>IF(Q138&lt;=0,0,Q138*$E$19/12)</f>
        <v/>
      </c>
      <c r="CE139">
        <f>IF(Q138&lt;=0,0,MIN(Q138+CD139,$F$19+CC139))</f>
        <v/>
      </c>
      <c r="CF139">
        <f>IF(Q138&lt;=0,CC139,MAX(0,$F$19+CC139-Q138-CD139))</f>
        <v/>
      </c>
      <c r="CG139">
        <f>IF(R138&lt;=0,0,R138*$E$20/12)</f>
        <v/>
      </c>
      <c r="CH139">
        <f>IF(R138&lt;=0,0,MIN(R138+CG139,$F$20+CF139))</f>
        <v/>
      </c>
      <c r="CI139">
        <f>IF(R138&lt;=0,CF139,MAX(0,$F$20+CF139-R138-CG139))</f>
        <v/>
      </c>
      <c r="CJ139">
        <f>IF(S138&lt;=0,0,S138*$E$21/12)</f>
        <v/>
      </c>
      <c r="CK139">
        <f>IF(S138&lt;=0,0,MIN(S138+CJ139,$F$21+CI139))</f>
        <v/>
      </c>
      <c r="CL139">
        <f>IF(S138&lt;=0,CI139,MAX(0,$F$21+CI139-S138-CJ139))</f>
        <v/>
      </c>
      <c r="CM139">
        <f>IF(T138&lt;=0,0,T138*$E$22/12)</f>
        <v/>
      </c>
      <c r="CN139">
        <f>IF(T138&lt;=0,0,MIN(T138+CM139,$F$22+CL139))</f>
        <v/>
      </c>
      <c r="CO139">
        <f>IF(T138&lt;=0,CL139,MAX(0,$F$22+CL139-T138-CM139))</f>
        <v/>
      </c>
      <c r="CP139">
        <f>IF(U138&lt;=0,0,U138*$E$23/12)</f>
        <v/>
      </c>
      <c r="CQ139">
        <f>IF(U138&lt;=0,0,MIN(U138+CP139,$F$23+CO139))</f>
        <v/>
      </c>
      <c r="CR139">
        <f>IF(U138&lt;=0,CO139,MAX(0,$F$23+CO139-U138-CP139))</f>
        <v/>
      </c>
      <c r="CS139">
        <f>IF(V138&lt;=0,0,V138*$E$24/12)</f>
        <v/>
      </c>
      <c r="CT139">
        <f>IF(V138&lt;=0,0,MIN(V138+CS139,$F$24+CR139))</f>
        <v/>
      </c>
      <c r="CU139">
        <f>IF(V138&lt;=0,CR139,MAX(0,$F$24+CR139-V138-CS139))</f>
        <v/>
      </c>
    </row>
    <row r="140">
      <c r="B140" s="39" t="n">
        <v>114</v>
      </c>
      <c r="C140" s="13">
        <f>IF(C139&lt;=0,0,MAX(0,C139+AN140-AO140))</f>
        <v/>
      </c>
      <c r="D140" s="13">
        <f>IF(D139&lt;=0,0,MAX(0,D139+AQ140-AR140))</f>
        <v/>
      </c>
      <c r="E140" s="13">
        <f>IF(E139&lt;=0,0,MAX(0,E139+AT140-AU140))</f>
        <v/>
      </c>
      <c r="F140" s="13">
        <f>IF(F139&lt;=0,0,MAX(0,F139+AW140-AX140))</f>
        <v/>
      </c>
      <c r="G140" s="13">
        <f>IF(G139&lt;=0,0,MAX(0,G139+AZ140-BA140))</f>
        <v/>
      </c>
      <c r="H140" s="13">
        <f>IF(H139&lt;=0,0,MAX(0,H139+BC140-BD140))</f>
        <v/>
      </c>
      <c r="I140" s="13">
        <f>IF(I139&lt;=0,0,MAX(0,I139+BF140-BG140))</f>
        <v/>
      </c>
      <c r="J140" s="13">
        <f>IF(J139&lt;=0,0,MAX(0,J139+BI140-BJ140))</f>
        <v/>
      </c>
      <c r="K140" s="13">
        <f>IF(K139&lt;=0,0,MAX(0,K139+BL140-BM140))</f>
        <v/>
      </c>
      <c r="L140" s="13">
        <f>IF(L139&lt;=0,0,MAX(0,L139+BO140-BP140))</f>
        <v/>
      </c>
      <c r="M140" s="13">
        <f>IF(M139&lt;=0,0,MAX(0,M139+BR140-BS140))</f>
        <v/>
      </c>
      <c r="N140" s="13">
        <f>IF(N139&lt;=0,0,MAX(0,N139+BU140-BV140))</f>
        <v/>
      </c>
      <c r="O140" s="13">
        <f>IF(O139&lt;=0,0,MAX(0,O139+BX140-BY140))</f>
        <v/>
      </c>
      <c r="P140" s="13">
        <f>IF(P139&lt;=0,0,MAX(0,P139+CA140-CB140))</f>
        <v/>
      </c>
      <c r="Q140" s="13">
        <f>IF(Q139&lt;=0,0,MAX(0,Q139+CD140-CE140))</f>
        <v/>
      </c>
      <c r="R140" s="13">
        <f>IF(R139&lt;=0,0,MAX(0,R139+CG140-CH140))</f>
        <v/>
      </c>
      <c r="S140" s="13">
        <f>IF(S139&lt;=0,0,MAX(0,S139+CJ140-CK140))</f>
        <v/>
      </c>
      <c r="T140" s="13">
        <f>IF(T139&lt;=0,0,MAX(0,T139+CM140-CN140))</f>
        <v/>
      </c>
      <c r="U140" s="13">
        <f>IF(U139&lt;=0,0,MAX(0,U139+CP140-CQ140))</f>
        <v/>
      </c>
      <c r="V140" s="13">
        <f>IF(V139&lt;=0,0,MAX(0,V139+CS140-CT140))</f>
        <v/>
      </c>
      <c r="W140" s="13">
        <f>AO140+AR140+AU140+AX140+BA140+BD140+BG140+BJ140+BM140+BP140+BS140+BV140+BY140+CB140+CE140+CH140+CK140+CN140+CQ140+CT140</f>
        <v/>
      </c>
      <c r="X140" s="13">
        <f>AN140+AQ140+AT140+AW140+AZ140+BC140+BF140+BI140+BL140+BO140+BR140+BU140+BX140+CA140+CD140+CG140+CJ140+CM140+CP140+CS140</f>
        <v/>
      </c>
      <c r="Y140" s="27">
        <f>C140+D140+E140+F140+G140+H140+I140+J140+K140+L140+M140+N140+O140+P140+Q140+R140+S140+T140+U140+V140</f>
        <v/>
      </c>
      <c r="AN140">
        <f>IF(C139&lt;=0,0,C139*$E$5/12)</f>
        <v/>
      </c>
      <c r="AO140">
        <f>IF(C139&lt;=0,0,MIN(C139+AN140,$F$5+(Dashboard!$C$11+IF(C139&lt;=0,$F$5,0)+IF(D139&lt;=0,$F$6,0)+IF(E139&lt;=0,$F$7,0)+IF(F139&lt;=0,$F$8,0)+IF(G139&lt;=0,$F$9,0)+IF(H139&lt;=0,$F$10,0)+IF(I139&lt;=0,$F$11,0)+IF(J139&lt;=0,$F$12,0)+IF(K139&lt;=0,$F$13,0)+IF(L139&lt;=0,$F$14,0)+IF(M139&lt;=0,$F$15,0)+IF(N139&lt;=0,$F$16,0)+IF(O139&lt;=0,$F$17,0)+IF(P139&lt;=0,$F$18,0)+IF(Q139&lt;=0,$F$19,0)+IF(R139&lt;=0,$F$20,0)+IF(S139&lt;=0,$F$21,0)+IF(T139&lt;=0,$F$22,0)+IF(U139&lt;=0,$F$23,0)+IF(V139&lt;=0,$F$24,0))))</f>
        <v/>
      </c>
      <c r="AP140">
        <f>IF(C139&lt;=0,(Dashboard!$C$11+IF(C139&lt;=0,$F$5,0)+IF(D139&lt;=0,$F$6,0)+IF(E139&lt;=0,$F$7,0)+IF(F139&lt;=0,$F$8,0)+IF(G139&lt;=0,$F$9,0)+IF(H139&lt;=0,$F$10,0)+IF(I139&lt;=0,$F$11,0)+IF(J139&lt;=0,$F$12,0)+IF(K139&lt;=0,$F$13,0)+IF(L139&lt;=0,$F$14,0)+IF(M139&lt;=0,$F$15,0)+IF(N139&lt;=0,$F$16,0)+IF(O139&lt;=0,$F$17,0)+IF(P139&lt;=0,$F$18,0)+IF(Q139&lt;=0,$F$19,0)+IF(R139&lt;=0,$F$20,0)+IF(S139&lt;=0,$F$21,0)+IF(T139&lt;=0,$F$22,0)+IF(U139&lt;=0,$F$23,0)+IF(V139&lt;=0,$F$24,0)),MAX(0,$F$5+(Dashboard!$C$11+IF(C139&lt;=0,$F$5,0)+IF(D139&lt;=0,$F$6,0)+IF(E139&lt;=0,$F$7,0)+IF(F139&lt;=0,$F$8,0)+IF(G139&lt;=0,$F$9,0)+IF(H139&lt;=0,$F$10,0)+IF(I139&lt;=0,$F$11,0)+IF(J139&lt;=0,$F$12,0)+IF(K139&lt;=0,$F$13,0)+IF(L139&lt;=0,$F$14,0)+IF(M139&lt;=0,$F$15,0)+IF(N139&lt;=0,$F$16,0)+IF(O139&lt;=0,$F$17,0)+IF(P139&lt;=0,$F$18,0)+IF(Q139&lt;=0,$F$19,0)+IF(R139&lt;=0,$F$20,0)+IF(S139&lt;=0,$F$21,0)+IF(T139&lt;=0,$F$22,0)+IF(U139&lt;=0,$F$23,0)+IF(V139&lt;=0,$F$24,0))-C139-AN140))</f>
        <v/>
      </c>
      <c r="AQ140">
        <f>IF(D139&lt;=0,0,D139*$E$6/12)</f>
        <v/>
      </c>
      <c r="AR140">
        <f>IF(D139&lt;=0,0,MIN(D139+AQ140,$F$6+AP140))</f>
        <v/>
      </c>
      <c r="AS140">
        <f>IF(D139&lt;=0,AP140,MAX(0,$F$6+AP140-D139-AQ140))</f>
        <v/>
      </c>
      <c r="AT140">
        <f>IF(E139&lt;=0,0,E139*$E$7/12)</f>
        <v/>
      </c>
      <c r="AU140">
        <f>IF(E139&lt;=0,0,MIN(E139+AT140,$F$7+AS140))</f>
        <v/>
      </c>
      <c r="AV140">
        <f>IF(E139&lt;=0,AS140,MAX(0,$F$7+AS140-E139-AT140))</f>
        <v/>
      </c>
      <c r="AW140">
        <f>IF(F139&lt;=0,0,F139*$E$8/12)</f>
        <v/>
      </c>
      <c r="AX140">
        <f>IF(F139&lt;=0,0,MIN(F139+AW140,$F$8+AV140))</f>
        <v/>
      </c>
      <c r="AY140">
        <f>IF(F139&lt;=0,AV140,MAX(0,$F$8+AV140-F139-AW140))</f>
        <v/>
      </c>
      <c r="AZ140">
        <f>IF(G139&lt;=0,0,G139*$E$9/12)</f>
        <v/>
      </c>
      <c r="BA140">
        <f>IF(G139&lt;=0,0,MIN(G139+AZ140,$F$9+AY140))</f>
        <v/>
      </c>
      <c r="BB140">
        <f>IF(G139&lt;=0,AY140,MAX(0,$F$9+AY140-G139-AZ140))</f>
        <v/>
      </c>
      <c r="BC140">
        <f>IF(H139&lt;=0,0,H139*$E$10/12)</f>
        <v/>
      </c>
      <c r="BD140">
        <f>IF(H139&lt;=0,0,MIN(H139+BC140,$F$10+BB140))</f>
        <v/>
      </c>
      <c r="BE140">
        <f>IF(H139&lt;=0,BB140,MAX(0,$F$10+BB140-H139-BC140))</f>
        <v/>
      </c>
      <c r="BF140">
        <f>IF(I139&lt;=0,0,I139*$E$11/12)</f>
        <v/>
      </c>
      <c r="BG140">
        <f>IF(I139&lt;=0,0,MIN(I139+BF140,$F$11+BE140))</f>
        <v/>
      </c>
      <c r="BH140">
        <f>IF(I139&lt;=0,BE140,MAX(0,$F$11+BE140-I139-BF140))</f>
        <v/>
      </c>
      <c r="BI140">
        <f>IF(J139&lt;=0,0,J139*$E$12/12)</f>
        <v/>
      </c>
      <c r="BJ140">
        <f>IF(J139&lt;=0,0,MIN(J139+BI140,$F$12+BH140))</f>
        <v/>
      </c>
      <c r="BK140">
        <f>IF(J139&lt;=0,BH140,MAX(0,$F$12+BH140-J139-BI140))</f>
        <v/>
      </c>
      <c r="BL140">
        <f>IF(K139&lt;=0,0,K139*$E$13/12)</f>
        <v/>
      </c>
      <c r="BM140">
        <f>IF(K139&lt;=0,0,MIN(K139+BL140,$F$13+BK140))</f>
        <v/>
      </c>
      <c r="BN140">
        <f>IF(K139&lt;=0,BK140,MAX(0,$F$13+BK140-K139-BL140))</f>
        <v/>
      </c>
      <c r="BO140">
        <f>IF(L139&lt;=0,0,L139*$E$14/12)</f>
        <v/>
      </c>
      <c r="BP140">
        <f>IF(L139&lt;=0,0,MIN(L139+BO140,$F$14+BN140))</f>
        <v/>
      </c>
      <c r="BQ140">
        <f>IF(L139&lt;=0,BN140,MAX(0,$F$14+BN140-L139-BO140))</f>
        <v/>
      </c>
      <c r="BR140">
        <f>IF(M139&lt;=0,0,M139*$E$15/12)</f>
        <v/>
      </c>
      <c r="BS140">
        <f>IF(M139&lt;=0,0,MIN(M139+BR140,$F$15+BQ140))</f>
        <v/>
      </c>
      <c r="BT140">
        <f>IF(M139&lt;=0,BQ140,MAX(0,$F$15+BQ140-M139-BR140))</f>
        <v/>
      </c>
      <c r="BU140">
        <f>IF(N139&lt;=0,0,N139*$E$16/12)</f>
        <v/>
      </c>
      <c r="BV140">
        <f>IF(N139&lt;=0,0,MIN(N139+BU140,$F$16+BT140))</f>
        <v/>
      </c>
      <c r="BW140">
        <f>IF(N139&lt;=0,BT140,MAX(0,$F$16+BT140-N139-BU140))</f>
        <v/>
      </c>
      <c r="BX140">
        <f>IF(O139&lt;=0,0,O139*$E$17/12)</f>
        <v/>
      </c>
      <c r="BY140">
        <f>IF(O139&lt;=0,0,MIN(O139+BX140,$F$17+BW140))</f>
        <v/>
      </c>
      <c r="BZ140">
        <f>IF(O139&lt;=0,BW140,MAX(0,$F$17+BW140-O139-BX140))</f>
        <v/>
      </c>
      <c r="CA140">
        <f>IF(P139&lt;=0,0,P139*$E$18/12)</f>
        <v/>
      </c>
      <c r="CB140">
        <f>IF(P139&lt;=0,0,MIN(P139+CA140,$F$18+BZ140))</f>
        <v/>
      </c>
      <c r="CC140">
        <f>IF(P139&lt;=0,BZ140,MAX(0,$F$18+BZ140-P139-CA140))</f>
        <v/>
      </c>
      <c r="CD140">
        <f>IF(Q139&lt;=0,0,Q139*$E$19/12)</f>
        <v/>
      </c>
      <c r="CE140">
        <f>IF(Q139&lt;=0,0,MIN(Q139+CD140,$F$19+CC140))</f>
        <v/>
      </c>
      <c r="CF140">
        <f>IF(Q139&lt;=0,CC140,MAX(0,$F$19+CC140-Q139-CD140))</f>
        <v/>
      </c>
      <c r="CG140">
        <f>IF(R139&lt;=0,0,R139*$E$20/12)</f>
        <v/>
      </c>
      <c r="CH140">
        <f>IF(R139&lt;=0,0,MIN(R139+CG140,$F$20+CF140))</f>
        <v/>
      </c>
      <c r="CI140">
        <f>IF(R139&lt;=0,CF140,MAX(0,$F$20+CF140-R139-CG140))</f>
        <v/>
      </c>
      <c r="CJ140">
        <f>IF(S139&lt;=0,0,S139*$E$21/12)</f>
        <v/>
      </c>
      <c r="CK140">
        <f>IF(S139&lt;=0,0,MIN(S139+CJ140,$F$21+CI140))</f>
        <v/>
      </c>
      <c r="CL140">
        <f>IF(S139&lt;=0,CI140,MAX(0,$F$21+CI140-S139-CJ140))</f>
        <v/>
      </c>
      <c r="CM140">
        <f>IF(T139&lt;=0,0,T139*$E$22/12)</f>
        <v/>
      </c>
      <c r="CN140">
        <f>IF(T139&lt;=0,0,MIN(T139+CM140,$F$22+CL140))</f>
        <v/>
      </c>
      <c r="CO140">
        <f>IF(T139&lt;=0,CL140,MAX(0,$F$22+CL140-T139-CM140))</f>
        <v/>
      </c>
      <c r="CP140">
        <f>IF(U139&lt;=0,0,U139*$E$23/12)</f>
        <v/>
      </c>
      <c r="CQ140">
        <f>IF(U139&lt;=0,0,MIN(U139+CP140,$F$23+CO140))</f>
        <v/>
      </c>
      <c r="CR140">
        <f>IF(U139&lt;=0,CO140,MAX(0,$F$23+CO140-U139-CP140))</f>
        <v/>
      </c>
      <c r="CS140">
        <f>IF(V139&lt;=0,0,V139*$E$24/12)</f>
        <v/>
      </c>
      <c r="CT140">
        <f>IF(V139&lt;=0,0,MIN(V139+CS140,$F$24+CR140))</f>
        <v/>
      </c>
      <c r="CU140">
        <f>IF(V139&lt;=0,CR140,MAX(0,$F$24+CR140-V139-CS140))</f>
        <v/>
      </c>
    </row>
    <row r="141">
      <c r="B141" s="39" t="n">
        <v>115</v>
      </c>
      <c r="C141" s="13">
        <f>IF(C140&lt;=0,0,MAX(0,C140+AN141-AO141))</f>
        <v/>
      </c>
      <c r="D141" s="13">
        <f>IF(D140&lt;=0,0,MAX(0,D140+AQ141-AR141))</f>
        <v/>
      </c>
      <c r="E141" s="13">
        <f>IF(E140&lt;=0,0,MAX(0,E140+AT141-AU141))</f>
        <v/>
      </c>
      <c r="F141" s="13">
        <f>IF(F140&lt;=0,0,MAX(0,F140+AW141-AX141))</f>
        <v/>
      </c>
      <c r="G141" s="13">
        <f>IF(G140&lt;=0,0,MAX(0,G140+AZ141-BA141))</f>
        <v/>
      </c>
      <c r="H141" s="13">
        <f>IF(H140&lt;=0,0,MAX(0,H140+BC141-BD141))</f>
        <v/>
      </c>
      <c r="I141" s="13">
        <f>IF(I140&lt;=0,0,MAX(0,I140+BF141-BG141))</f>
        <v/>
      </c>
      <c r="J141" s="13">
        <f>IF(J140&lt;=0,0,MAX(0,J140+BI141-BJ141))</f>
        <v/>
      </c>
      <c r="K141" s="13">
        <f>IF(K140&lt;=0,0,MAX(0,K140+BL141-BM141))</f>
        <v/>
      </c>
      <c r="L141" s="13">
        <f>IF(L140&lt;=0,0,MAX(0,L140+BO141-BP141))</f>
        <v/>
      </c>
      <c r="M141" s="13">
        <f>IF(M140&lt;=0,0,MAX(0,M140+BR141-BS141))</f>
        <v/>
      </c>
      <c r="N141" s="13">
        <f>IF(N140&lt;=0,0,MAX(0,N140+BU141-BV141))</f>
        <v/>
      </c>
      <c r="O141" s="13">
        <f>IF(O140&lt;=0,0,MAX(0,O140+BX141-BY141))</f>
        <v/>
      </c>
      <c r="P141" s="13">
        <f>IF(P140&lt;=0,0,MAX(0,P140+CA141-CB141))</f>
        <v/>
      </c>
      <c r="Q141" s="13">
        <f>IF(Q140&lt;=0,0,MAX(0,Q140+CD141-CE141))</f>
        <v/>
      </c>
      <c r="R141" s="13">
        <f>IF(R140&lt;=0,0,MAX(0,R140+CG141-CH141))</f>
        <v/>
      </c>
      <c r="S141" s="13">
        <f>IF(S140&lt;=0,0,MAX(0,S140+CJ141-CK141))</f>
        <v/>
      </c>
      <c r="T141" s="13">
        <f>IF(T140&lt;=0,0,MAX(0,T140+CM141-CN141))</f>
        <v/>
      </c>
      <c r="U141" s="13">
        <f>IF(U140&lt;=0,0,MAX(0,U140+CP141-CQ141))</f>
        <v/>
      </c>
      <c r="V141" s="13">
        <f>IF(V140&lt;=0,0,MAX(0,V140+CS141-CT141))</f>
        <v/>
      </c>
      <c r="W141" s="13">
        <f>AO141+AR141+AU141+AX141+BA141+BD141+BG141+BJ141+BM141+BP141+BS141+BV141+BY141+CB141+CE141+CH141+CK141+CN141+CQ141+CT141</f>
        <v/>
      </c>
      <c r="X141" s="13">
        <f>AN141+AQ141+AT141+AW141+AZ141+BC141+BF141+BI141+BL141+BO141+BR141+BU141+BX141+CA141+CD141+CG141+CJ141+CM141+CP141+CS141</f>
        <v/>
      </c>
      <c r="Y141" s="27">
        <f>C141+D141+E141+F141+G141+H141+I141+J141+K141+L141+M141+N141+O141+P141+Q141+R141+S141+T141+U141+V141</f>
        <v/>
      </c>
      <c r="AN141">
        <f>IF(C140&lt;=0,0,C140*$E$5/12)</f>
        <v/>
      </c>
      <c r="AO141">
        <f>IF(C140&lt;=0,0,MIN(C140+AN141,$F$5+(Dashboard!$C$11+IF(C140&lt;=0,$F$5,0)+IF(D140&lt;=0,$F$6,0)+IF(E140&lt;=0,$F$7,0)+IF(F140&lt;=0,$F$8,0)+IF(G140&lt;=0,$F$9,0)+IF(H140&lt;=0,$F$10,0)+IF(I140&lt;=0,$F$11,0)+IF(J140&lt;=0,$F$12,0)+IF(K140&lt;=0,$F$13,0)+IF(L140&lt;=0,$F$14,0)+IF(M140&lt;=0,$F$15,0)+IF(N140&lt;=0,$F$16,0)+IF(O140&lt;=0,$F$17,0)+IF(P140&lt;=0,$F$18,0)+IF(Q140&lt;=0,$F$19,0)+IF(R140&lt;=0,$F$20,0)+IF(S140&lt;=0,$F$21,0)+IF(T140&lt;=0,$F$22,0)+IF(U140&lt;=0,$F$23,0)+IF(V140&lt;=0,$F$24,0))))</f>
        <v/>
      </c>
      <c r="AP141">
        <f>IF(C140&lt;=0,(Dashboard!$C$11+IF(C140&lt;=0,$F$5,0)+IF(D140&lt;=0,$F$6,0)+IF(E140&lt;=0,$F$7,0)+IF(F140&lt;=0,$F$8,0)+IF(G140&lt;=0,$F$9,0)+IF(H140&lt;=0,$F$10,0)+IF(I140&lt;=0,$F$11,0)+IF(J140&lt;=0,$F$12,0)+IF(K140&lt;=0,$F$13,0)+IF(L140&lt;=0,$F$14,0)+IF(M140&lt;=0,$F$15,0)+IF(N140&lt;=0,$F$16,0)+IF(O140&lt;=0,$F$17,0)+IF(P140&lt;=0,$F$18,0)+IF(Q140&lt;=0,$F$19,0)+IF(R140&lt;=0,$F$20,0)+IF(S140&lt;=0,$F$21,0)+IF(T140&lt;=0,$F$22,0)+IF(U140&lt;=0,$F$23,0)+IF(V140&lt;=0,$F$24,0)),MAX(0,$F$5+(Dashboard!$C$11+IF(C140&lt;=0,$F$5,0)+IF(D140&lt;=0,$F$6,0)+IF(E140&lt;=0,$F$7,0)+IF(F140&lt;=0,$F$8,0)+IF(G140&lt;=0,$F$9,0)+IF(H140&lt;=0,$F$10,0)+IF(I140&lt;=0,$F$11,0)+IF(J140&lt;=0,$F$12,0)+IF(K140&lt;=0,$F$13,0)+IF(L140&lt;=0,$F$14,0)+IF(M140&lt;=0,$F$15,0)+IF(N140&lt;=0,$F$16,0)+IF(O140&lt;=0,$F$17,0)+IF(P140&lt;=0,$F$18,0)+IF(Q140&lt;=0,$F$19,0)+IF(R140&lt;=0,$F$20,0)+IF(S140&lt;=0,$F$21,0)+IF(T140&lt;=0,$F$22,0)+IF(U140&lt;=0,$F$23,0)+IF(V140&lt;=0,$F$24,0))-C140-AN141))</f>
        <v/>
      </c>
      <c r="AQ141">
        <f>IF(D140&lt;=0,0,D140*$E$6/12)</f>
        <v/>
      </c>
      <c r="AR141">
        <f>IF(D140&lt;=0,0,MIN(D140+AQ141,$F$6+AP141))</f>
        <v/>
      </c>
      <c r="AS141">
        <f>IF(D140&lt;=0,AP141,MAX(0,$F$6+AP141-D140-AQ141))</f>
        <v/>
      </c>
      <c r="AT141">
        <f>IF(E140&lt;=0,0,E140*$E$7/12)</f>
        <v/>
      </c>
      <c r="AU141">
        <f>IF(E140&lt;=0,0,MIN(E140+AT141,$F$7+AS141))</f>
        <v/>
      </c>
      <c r="AV141">
        <f>IF(E140&lt;=0,AS141,MAX(0,$F$7+AS141-E140-AT141))</f>
        <v/>
      </c>
      <c r="AW141">
        <f>IF(F140&lt;=0,0,F140*$E$8/12)</f>
        <v/>
      </c>
      <c r="AX141">
        <f>IF(F140&lt;=0,0,MIN(F140+AW141,$F$8+AV141))</f>
        <v/>
      </c>
      <c r="AY141">
        <f>IF(F140&lt;=0,AV141,MAX(0,$F$8+AV141-F140-AW141))</f>
        <v/>
      </c>
      <c r="AZ141">
        <f>IF(G140&lt;=0,0,G140*$E$9/12)</f>
        <v/>
      </c>
      <c r="BA141">
        <f>IF(G140&lt;=0,0,MIN(G140+AZ141,$F$9+AY141))</f>
        <v/>
      </c>
      <c r="BB141">
        <f>IF(G140&lt;=0,AY141,MAX(0,$F$9+AY141-G140-AZ141))</f>
        <v/>
      </c>
      <c r="BC141">
        <f>IF(H140&lt;=0,0,H140*$E$10/12)</f>
        <v/>
      </c>
      <c r="BD141">
        <f>IF(H140&lt;=0,0,MIN(H140+BC141,$F$10+BB141))</f>
        <v/>
      </c>
      <c r="BE141">
        <f>IF(H140&lt;=0,BB141,MAX(0,$F$10+BB141-H140-BC141))</f>
        <v/>
      </c>
      <c r="BF141">
        <f>IF(I140&lt;=0,0,I140*$E$11/12)</f>
        <v/>
      </c>
      <c r="BG141">
        <f>IF(I140&lt;=0,0,MIN(I140+BF141,$F$11+BE141))</f>
        <v/>
      </c>
      <c r="BH141">
        <f>IF(I140&lt;=0,BE141,MAX(0,$F$11+BE141-I140-BF141))</f>
        <v/>
      </c>
      <c r="BI141">
        <f>IF(J140&lt;=0,0,J140*$E$12/12)</f>
        <v/>
      </c>
      <c r="BJ141">
        <f>IF(J140&lt;=0,0,MIN(J140+BI141,$F$12+BH141))</f>
        <v/>
      </c>
      <c r="BK141">
        <f>IF(J140&lt;=0,BH141,MAX(0,$F$12+BH141-J140-BI141))</f>
        <v/>
      </c>
      <c r="BL141">
        <f>IF(K140&lt;=0,0,K140*$E$13/12)</f>
        <v/>
      </c>
      <c r="BM141">
        <f>IF(K140&lt;=0,0,MIN(K140+BL141,$F$13+BK141))</f>
        <v/>
      </c>
      <c r="BN141">
        <f>IF(K140&lt;=0,BK141,MAX(0,$F$13+BK141-K140-BL141))</f>
        <v/>
      </c>
      <c r="BO141">
        <f>IF(L140&lt;=0,0,L140*$E$14/12)</f>
        <v/>
      </c>
      <c r="BP141">
        <f>IF(L140&lt;=0,0,MIN(L140+BO141,$F$14+BN141))</f>
        <v/>
      </c>
      <c r="BQ141">
        <f>IF(L140&lt;=0,BN141,MAX(0,$F$14+BN141-L140-BO141))</f>
        <v/>
      </c>
      <c r="BR141">
        <f>IF(M140&lt;=0,0,M140*$E$15/12)</f>
        <v/>
      </c>
      <c r="BS141">
        <f>IF(M140&lt;=0,0,MIN(M140+BR141,$F$15+BQ141))</f>
        <v/>
      </c>
      <c r="BT141">
        <f>IF(M140&lt;=0,BQ141,MAX(0,$F$15+BQ141-M140-BR141))</f>
        <v/>
      </c>
      <c r="BU141">
        <f>IF(N140&lt;=0,0,N140*$E$16/12)</f>
        <v/>
      </c>
      <c r="BV141">
        <f>IF(N140&lt;=0,0,MIN(N140+BU141,$F$16+BT141))</f>
        <v/>
      </c>
      <c r="BW141">
        <f>IF(N140&lt;=0,BT141,MAX(0,$F$16+BT141-N140-BU141))</f>
        <v/>
      </c>
      <c r="BX141">
        <f>IF(O140&lt;=0,0,O140*$E$17/12)</f>
        <v/>
      </c>
      <c r="BY141">
        <f>IF(O140&lt;=0,0,MIN(O140+BX141,$F$17+BW141))</f>
        <v/>
      </c>
      <c r="BZ141">
        <f>IF(O140&lt;=0,BW141,MAX(0,$F$17+BW141-O140-BX141))</f>
        <v/>
      </c>
      <c r="CA141">
        <f>IF(P140&lt;=0,0,P140*$E$18/12)</f>
        <v/>
      </c>
      <c r="CB141">
        <f>IF(P140&lt;=0,0,MIN(P140+CA141,$F$18+BZ141))</f>
        <v/>
      </c>
      <c r="CC141">
        <f>IF(P140&lt;=0,BZ141,MAX(0,$F$18+BZ141-P140-CA141))</f>
        <v/>
      </c>
      <c r="CD141">
        <f>IF(Q140&lt;=0,0,Q140*$E$19/12)</f>
        <v/>
      </c>
      <c r="CE141">
        <f>IF(Q140&lt;=0,0,MIN(Q140+CD141,$F$19+CC141))</f>
        <v/>
      </c>
      <c r="CF141">
        <f>IF(Q140&lt;=0,CC141,MAX(0,$F$19+CC141-Q140-CD141))</f>
        <v/>
      </c>
      <c r="CG141">
        <f>IF(R140&lt;=0,0,R140*$E$20/12)</f>
        <v/>
      </c>
      <c r="CH141">
        <f>IF(R140&lt;=0,0,MIN(R140+CG141,$F$20+CF141))</f>
        <v/>
      </c>
      <c r="CI141">
        <f>IF(R140&lt;=0,CF141,MAX(0,$F$20+CF141-R140-CG141))</f>
        <v/>
      </c>
      <c r="CJ141">
        <f>IF(S140&lt;=0,0,S140*$E$21/12)</f>
        <v/>
      </c>
      <c r="CK141">
        <f>IF(S140&lt;=0,0,MIN(S140+CJ141,$F$21+CI141))</f>
        <v/>
      </c>
      <c r="CL141">
        <f>IF(S140&lt;=0,CI141,MAX(0,$F$21+CI141-S140-CJ141))</f>
        <v/>
      </c>
      <c r="CM141">
        <f>IF(T140&lt;=0,0,T140*$E$22/12)</f>
        <v/>
      </c>
      <c r="CN141">
        <f>IF(T140&lt;=0,0,MIN(T140+CM141,$F$22+CL141))</f>
        <v/>
      </c>
      <c r="CO141">
        <f>IF(T140&lt;=0,CL141,MAX(0,$F$22+CL141-T140-CM141))</f>
        <v/>
      </c>
      <c r="CP141">
        <f>IF(U140&lt;=0,0,U140*$E$23/12)</f>
        <v/>
      </c>
      <c r="CQ141">
        <f>IF(U140&lt;=0,0,MIN(U140+CP141,$F$23+CO141))</f>
        <v/>
      </c>
      <c r="CR141">
        <f>IF(U140&lt;=0,CO141,MAX(0,$F$23+CO141-U140-CP141))</f>
        <v/>
      </c>
      <c r="CS141">
        <f>IF(V140&lt;=0,0,V140*$E$24/12)</f>
        <v/>
      </c>
      <c r="CT141">
        <f>IF(V140&lt;=0,0,MIN(V140+CS141,$F$24+CR141))</f>
        <v/>
      </c>
      <c r="CU141">
        <f>IF(V140&lt;=0,CR141,MAX(0,$F$24+CR141-V140-CS141))</f>
        <v/>
      </c>
    </row>
    <row r="142">
      <c r="B142" s="39" t="n">
        <v>116</v>
      </c>
      <c r="C142" s="13">
        <f>IF(C141&lt;=0,0,MAX(0,C141+AN142-AO142))</f>
        <v/>
      </c>
      <c r="D142" s="13">
        <f>IF(D141&lt;=0,0,MAX(0,D141+AQ142-AR142))</f>
        <v/>
      </c>
      <c r="E142" s="13">
        <f>IF(E141&lt;=0,0,MAX(0,E141+AT142-AU142))</f>
        <v/>
      </c>
      <c r="F142" s="13">
        <f>IF(F141&lt;=0,0,MAX(0,F141+AW142-AX142))</f>
        <v/>
      </c>
      <c r="G142" s="13">
        <f>IF(G141&lt;=0,0,MAX(0,G141+AZ142-BA142))</f>
        <v/>
      </c>
      <c r="H142" s="13">
        <f>IF(H141&lt;=0,0,MAX(0,H141+BC142-BD142))</f>
        <v/>
      </c>
      <c r="I142" s="13">
        <f>IF(I141&lt;=0,0,MAX(0,I141+BF142-BG142))</f>
        <v/>
      </c>
      <c r="J142" s="13">
        <f>IF(J141&lt;=0,0,MAX(0,J141+BI142-BJ142))</f>
        <v/>
      </c>
      <c r="K142" s="13">
        <f>IF(K141&lt;=0,0,MAX(0,K141+BL142-BM142))</f>
        <v/>
      </c>
      <c r="L142" s="13">
        <f>IF(L141&lt;=0,0,MAX(0,L141+BO142-BP142))</f>
        <v/>
      </c>
      <c r="M142" s="13">
        <f>IF(M141&lt;=0,0,MAX(0,M141+BR142-BS142))</f>
        <v/>
      </c>
      <c r="N142" s="13">
        <f>IF(N141&lt;=0,0,MAX(0,N141+BU142-BV142))</f>
        <v/>
      </c>
      <c r="O142" s="13">
        <f>IF(O141&lt;=0,0,MAX(0,O141+BX142-BY142))</f>
        <v/>
      </c>
      <c r="P142" s="13">
        <f>IF(P141&lt;=0,0,MAX(0,P141+CA142-CB142))</f>
        <v/>
      </c>
      <c r="Q142" s="13">
        <f>IF(Q141&lt;=0,0,MAX(0,Q141+CD142-CE142))</f>
        <v/>
      </c>
      <c r="R142" s="13">
        <f>IF(R141&lt;=0,0,MAX(0,R141+CG142-CH142))</f>
        <v/>
      </c>
      <c r="S142" s="13">
        <f>IF(S141&lt;=0,0,MAX(0,S141+CJ142-CK142))</f>
        <v/>
      </c>
      <c r="T142" s="13">
        <f>IF(T141&lt;=0,0,MAX(0,T141+CM142-CN142))</f>
        <v/>
      </c>
      <c r="U142" s="13">
        <f>IF(U141&lt;=0,0,MAX(0,U141+CP142-CQ142))</f>
        <v/>
      </c>
      <c r="V142" s="13">
        <f>IF(V141&lt;=0,0,MAX(0,V141+CS142-CT142))</f>
        <v/>
      </c>
      <c r="W142" s="13">
        <f>AO142+AR142+AU142+AX142+BA142+BD142+BG142+BJ142+BM142+BP142+BS142+BV142+BY142+CB142+CE142+CH142+CK142+CN142+CQ142+CT142</f>
        <v/>
      </c>
      <c r="X142" s="13">
        <f>AN142+AQ142+AT142+AW142+AZ142+BC142+BF142+BI142+BL142+BO142+BR142+BU142+BX142+CA142+CD142+CG142+CJ142+CM142+CP142+CS142</f>
        <v/>
      </c>
      <c r="Y142" s="27">
        <f>C142+D142+E142+F142+G142+H142+I142+J142+K142+L142+M142+N142+O142+P142+Q142+R142+S142+T142+U142+V142</f>
        <v/>
      </c>
      <c r="AN142">
        <f>IF(C141&lt;=0,0,C141*$E$5/12)</f>
        <v/>
      </c>
      <c r="AO142">
        <f>IF(C141&lt;=0,0,MIN(C141+AN142,$F$5+(Dashboard!$C$11+IF(C141&lt;=0,$F$5,0)+IF(D141&lt;=0,$F$6,0)+IF(E141&lt;=0,$F$7,0)+IF(F141&lt;=0,$F$8,0)+IF(G141&lt;=0,$F$9,0)+IF(H141&lt;=0,$F$10,0)+IF(I141&lt;=0,$F$11,0)+IF(J141&lt;=0,$F$12,0)+IF(K141&lt;=0,$F$13,0)+IF(L141&lt;=0,$F$14,0)+IF(M141&lt;=0,$F$15,0)+IF(N141&lt;=0,$F$16,0)+IF(O141&lt;=0,$F$17,0)+IF(P141&lt;=0,$F$18,0)+IF(Q141&lt;=0,$F$19,0)+IF(R141&lt;=0,$F$20,0)+IF(S141&lt;=0,$F$21,0)+IF(T141&lt;=0,$F$22,0)+IF(U141&lt;=0,$F$23,0)+IF(V141&lt;=0,$F$24,0))))</f>
        <v/>
      </c>
      <c r="AP142">
        <f>IF(C141&lt;=0,(Dashboard!$C$11+IF(C141&lt;=0,$F$5,0)+IF(D141&lt;=0,$F$6,0)+IF(E141&lt;=0,$F$7,0)+IF(F141&lt;=0,$F$8,0)+IF(G141&lt;=0,$F$9,0)+IF(H141&lt;=0,$F$10,0)+IF(I141&lt;=0,$F$11,0)+IF(J141&lt;=0,$F$12,0)+IF(K141&lt;=0,$F$13,0)+IF(L141&lt;=0,$F$14,0)+IF(M141&lt;=0,$F$15,0)+IF(N141&lt;=0,$F$16,0)+IF(O141&lt;=0,$F$17,0)+IF(P141&lt;=0,$F$18,0)+IF(Q141&lt;=0,$F$19,0)+IF(R141&lt;=0,$F$20,0)+IF(S141&lt;=0,$F$21,0)+IF(T141&lt;=0,$F$22,0)+IF(U141&lt;=0,$F$23,0)+IF(V141&lt;=0,$F$24,0)),MAX(0,$F$5+(Dashboard!$C$11+IF(C141&lt;=0,$F$5,0)+IF(D141&lt;=0,$F$6,0)+IF(E141&lt;=0,$F$7,0)+IF(F141&lt;=0,$F$8,0)+IF(G141&lt;=0,$F$9,0)+IF(H141&lt;=0,$F$10,0)+IF(I141&lt;=0,$F$11,0)+IF(J141&lt;=0,$F$12,0)+IF(K141&lt;=0,$F$13,0)+IF(L141&lt;=0,$F$14,0)+IF(M141&lt;=0,$F$15,0)+IF(N141&lt;=0,$F$16,0)+IF(O141&lt;=0,$F$17,0)+IF(P141&lt;=0,$F$18,0)+IF(Q141&lt;=0,$F$19,0)+IF(R141&lt;=0,$F$20,0)+IF(S141&lt;=0,$F$21,0)+IF(T141&lt;=0,$F$22,0)+IF(U141&lt;=0,$F$23,0)+IF(V141&lt;=0,$F$24,0))-C141-AN142))</f>
        <v/>
      </c>
      <c r="AQ142">
        <f>IF(D141&lt;=0,0,D141*$E$6/12)</f>
        <v/>
      </c>
      <c r="AR142">
        <f>IF(D141&lt;=0,0,MIN(D141+AQ142,$F$6+AP142))</f>
        <v/>
      </c>
      <c r="AS142">
        <f>IF(D141&lt;=0,AP142,MAX(0,$F$6+AP142-D141-AQ142))</f>
        <v/>
      </c>
      <c r="AT142">
        <f>IF(E141&lt;=0,0,E141*$E$7/12)</f>
        <v/>
      </c>
      <c r="AU142">
        <f>IF(E141&lt;=0,0,MIN(E141+AT142,$F$7+AS142))</f>
        <v/>
      </c>
      <c r="AV142">
        <f>IF(E141&lt;=0,AS142,MAX(0,$F$7+AS142-E141-AT142))</f>
        <v/>
      </c>
      <c r="AW142">
        <f>IF(F141&lt;=0,0,F141*$E$8/12)</f>
        <v/>
      </c>
      <c r="AX142">
        <f>IF(F141&lt;=0,0,MIN(F141+AW142,$F$8+AV142))</f>
        <v/>
      </c>
      <c r="AY142">
        <f>IF(F141&lt;=0,AV142,MAX(0,$F$8+AV142-F141-AW142))</f>
        <v/>
      </c>
      <c r="AZ142">
        <f>IF(G141&lt;=0,0,G141*$E$9/12)</f>
        <v/>
      </c>
      <c r="BA142">
        <f>IF(G141&lt;=0,0,MIN(G141+AZ142,$F$9+AY142))</f>
        <v/>
      </c>
      <c r="BB142">
        <f>IF(G141&lt;=0,AY142,MAX(0,$F$9+AY142-G141-AZ142))</f>
        <v/>
      </c>
      <c r="BC142">
        <f>IF(H141&lt;=0,0,H141*$E$10/12)</f>
        <v/>
      </c>
      <c r="BD142">
        <f>IF(H141&lt;=0,0,MIN(H141+BC142,$F$10+BB142))</f>
        <v/>
      </c>
      <c r="BE142">
        <f>IF(H141&lt;=0,BB142,MAX(0,$F$10+BB142-H141-BC142))</f>
        <v/>
      </c>
      <c r="BF142">
        <f>IF(I141&lt;=0,0,I141*$E$11/12)</f>
        <v/>
      </c>
      <c r="BG142">
        <f>IF(I141&lt;=0,0,MIN(I141+BF142,$F$11+BE142))</f>
        <v/>
      </c>
      <c r="BH142">
        <f>IF(I141&lt;=0,BE142,MAX(0,$F$11+BE142-I141-BF142))</f>
        <v/>
      </c>
      <c r="BI142">
        <f>IF(J141&lt;=0,0,J141*$E$12/12)</f>
        <v/>
      </c>
      <c r="BJ142">
        <f>IF(J141&lt;=0,0,MIN(J141+BI142,$F$12+BH142))</f>
        <v/>
      </c>
      <c r="BK142">
        <f>IF(J141&lt;=0,BH142,MAX(0,$F$12+BH142-J141-BI142))</f>
        <v/>
      </c>
      <c r="BL142">
        <f>IF(K141&lt;=0,0,K141*$E$13/12)</f>
        <v/>
      </c>
      <c r="BM142">
        <f>IF(K141&lt;=0,0,MIN(K141+BL142,$F$13+BK142))</f>
        <v/>
      </c>
      <c r="BN142">
        <f>IF(K141&lt;=0,BK142,MAX(0,$F$13+BK142-K141-BL142))</f>
        <v/>
      </c>
      <c r="BO142">
        <f>IF(L141&lt;=0,0,L141*$E$14/12)</f>
        <v/>
      </c>
      <c r="BP142">
        <f>IF(L141&lt;=0,0,MIN(L141+BO142,$F$14+BN142))</f>
        <v/>
      </c>
      <c r="BQ142">
        <f>IF(L141&lt;=0,BN142,MAX(0,$F$14+BN142-L141-BO142))</f>
        <v/>
      </c>
      <c r="BR142">
        <f>IF(M141&lt;=0,0,M141*$E$15/12)</f>
        <v/>
      </c>
      <c r="BS142">
        <f>IF(M141&lt;=0,0,MIN(M141+BR142,$F$15+BQ142))</f>
        <v/>
      </c>
      <c r="BT142">
        <f>IF(M141&lt;=0,BQ142,MAX(0,$F$15+BQ142-M141-BR142))</f>
        <v/>
      </c>
      <c r="BU142">
        <f>IF(N141&lt;=0,0,N141*$E$16/12)</f>
        <v/>
      </c>
      <c r="BV142">
        <f>IF(N141&lt;=0,0,MIN(N141+BU142,$F$16+BT142))</f>
        <v/>
      </c>
      <c r="BW142">
        <f>IF(N141&lt;=0,BT142,MAX(0,$F$16+BT142-N141-BU142))</f>
        <v/>
      </c>
      <c r="BX142">
        <f>IF(O141&lt;=0,0,O141*$E$17/12)</f>
        <v/>
      </c>
      <c r="BY142">
        <f>IF(O141&lt;=0,0,MIN(O141+BX142,$F$17+BW142))</f>
        <v/>
      </c>
      <c r="BZ142">
        <f>IF(O141&lt;=0,BW142,MAX(0,$F$17+BW142-O141-BX142))</f>
        <v/>
      </c>
      <c r="CA142">
        <f>IF(P141&lt;=0,0,P141*$E$18/12)</f>
        <v/>
      </c>
      <c r="CB142">
        <f>IF(P141&lt;=0,0,MIN(P141+CA142,$F$18+BZ142))</f>
        <v/>
      </c>
      <c r="CC142">
        <f>IF(P141&lt;=0,BZ142,MAX(0,$F$18+BZ142-P141-CA142))</f>
        <v/>
      </c>
      <c r="CD142">
        <f>IF(Q141&lt;=0,0,Q141*$E$19/12)</f>
        <v/>
      </c>
      <c r="CE142">
        <f>IF(Q141&lt;=0,0,MIN(Q141+CD142,$F$19+CC142))</f>
        <v/>
      </c>
      <c r="CF142">
        <f>IF(Q141&lt;=0,CC142,MAX(0,$F$19+CC142-Q141-CD142))</f>
        <v/>
      </c>
      <c r="CG142">
        <f>IF(R141&lt;=0,0,R141*$E$20/12)</f>
        <v/>
      </c>
      <c r="CH142">
        <f>IF(R141&lt;=0,0,MIN(R141+CG142,$F$20+CF142))</f>
        <v/>
      </c>
      <c r="CI142">
        <f>IF(R141&lt;=0,CF142,MAX(0,$F$20+CF142-R141-CG142))</f>
        <v/>
      </c>
      <c r="CJ142">
        <f>IF(S141&lt;=0,0,S141*$E$21/12)</f>
        <v/>
      </c>
      <c r="CK142">
        <f>IF(S141&lt;=0,0,MIN(S141+CJ142,$F$21+CI142))</f>
        <v/>
      </c>
      <c r="CL142">
        <f>IF(S141&lt;=0,CI142,MAX(0,$F$21+CI142-S141-CJ142))</f>
        <v/>
      </c>
      <c r="CM142">
        <f>IF(T141&lt;=0,0,T141*$E$22/12)</f>
        <v/>
      </c>
      <c r="CN142">
        <f>IF(T141&lt;=0,0,MIN(T141+CM142,$F$22+CL142))</f>
        <v/>
      </c>
      <c r="CO142">
        <f>IF(T141&lt;=0,CL142,MAX(0,$F$22+CL142-T141-CM142))</f>
        <v/>
      </c>
      <c r="CP142">
        <f>IF(U141&lt;=0,0,U141*$E$23/12)</f>
        <v/>
      </c>
      <c r="CQ142">
        <f>IF(U141&lt;=0,0,MIN(U141+CP142,$F$23+CO142))</f>
        <v/>
      </c>
      <c r="CR142">
        <f>IF(U141&lt;=0,CO142,MAX(0,$F$23+CO142-U141-CP142))</f>
        <v/>
      </c>
      <c r="CS142">
        <f>IF(V141&lt;=0,0,V141*$E$24/12)</f>
        <v/>
      </c>
      <c r="CT142">
        <f>IF(V141&lt;=0,0,MIN(V141+CS142,$F$24+CR142))</f>
        <v/>
      </c>
      <c r="CU142">
        <f>IF(V141&lt;=0,CR142,MAX(0,$F$24+CR142-V141-CS142))</f>
        <v/>
      </c>
    </row>
    <row r="143">
      <c r="B143" s="39" t="n">
        <v>117</v>
      </c>
      <c r="C143" s="13">
        <f>IF(C142&lt;=0,0,MAX(0,C142+AN143-AO143))</f>
        <v/>
      </c>
      <c r="D143" s="13">
        <f>IF(D142&lt;=0,0,MAX(0,D142+AQ143-AR143))</f>
        <v/>
      </c>
      <c r="E143" s="13">
        <f>IF(E142&lt;=0,0,MAX(0,E142+AT143-AU143))</f>
        <v/>
      </c>
      <c r="F143" s="13">
        <f>IF(F142&lt;=0,0,MAX(0,F142+AW143-AX143))</f>
        <v/>
      </c>
      <c r="G143" s="13">
        <f>IF(G142&lt;=0,0,MAX(0,G142+AZ143-BA143))</f>
        <v/>
      </c>
      <c r="H143" s="13">
        <f>IF(H142&lt;=0,0,MAX(0,H142+BC143-BD143))</f>
        <v/>
      </c>
      <c r="I143" s="13">
        <f>IF(I142&lt;=0,0,MAX(0,I142+BF143-BG143))</f>
        <v/>
      </c>
      <c r="J143" s="13">
        <f>IF(J142&lt;=0,0,MAX(0,J142+BI143-BJ143))</f>
        <v/>
      </c>
      <c r="K143" s="13">
        <f>IF(K142&lt;=0,0,MAX(0,K142+BL143-BM143))</f>
        <v/>
      </c>
      <c r="L143" s="13">
        <f>IF(L142&lt;=0,0,MAX(0,L142+BO143-BP143))</f>
        <v/>
      </c>
      <c r="M143" s="13">
        <f>IF(M142&lt;=0,0,MAX(0,M142+BR143-BS143))</f>
        <v/>
      </c>
      <c r="N143" s="13">
        <f>IF(N142&lt;=0,0,MAX(0,N142+BU143-BV143))</f>
        <v/>
      </c>
      <c r="O143" s="13">
        <f>IF(O142&lt;=0,0,MAX(0,O142+BX143-BY143))</f>
        <v/>
      </c>
      <c r="P143" s="13">
        <f>IF(P142&lt;=0,0,MAX(0,P142+CA143-CB143))</f>
        <v/>
      </c>
      <c r="Q143" s="13">
        <f>IF(Q142&lt;=0,0,MAX(0,Q142+CD143-CE143))</f>
        <v/>
      </c>
      <c r="R143" s="13">
        <f>IF(R142&lt;=0,0,MAX(0,R142+CG143-CH143))</f>
        <v/>
      </c>
      <c r="S143" s="13">
        <f>IF(S142&lt;=0,0,MAX(0,S142+CJ143-CK143))</f>
        <v/>
      </c>
      <c r="T143" s="13">
        <f>IF(T142&lt;=0,0,MAX(0,T142+CM143-CN143))</f>
        <v/>
      </c>
      <c r="U143" s="13">
        <f>IF(U142&lt;=0,0,MAX(0,U142+CP143-CQ143))</f>
        <v/>
      </c>
      <c r="V143" s="13">
        <f>IF(V142&lt;=0,0,MAX(0,V142+CS143-CT143))</f>
        <v/>
      </c>
      <c r="W143" s="13">
        <f>AO143+AR143+AU143+AX143+BA143+BD143+BG143+BJ143+BM143+BP143+BS143+BV143+BY143+CB143+CE143+CH143+CK143+CN143+CQ143+CT143</f>
        <v/>
      </c>
      <c r="X143" s="13">
        <f>AN143+AQ143+AT143+AW143+AZ143+BC143+BF143+BI143+BL143+BO143+BR143+BU143+BX143+CA143+CD143+CG143+CJ143+CM143+CP143+CS143</f>
        <v/>
      </c>
      <c r="Y143" s="27">
        <f>C143+D143+E143+F143+G143+H143+I143+J143+K143+L143+M143+N143+O143+P143+Q143+R143+S143+T143+U143+V143</f>
        <v/>
      </c>
      <c r="AN143">
        <f>IF(C142&lt;=0,0,C142*$E$5/12)</f>
        <v/>
      </c>
      <c r="AO143">
        <f>IF(C142&lt;=0,0,MIN(C142+AN143,$F$5+(Dashboard!$C$11+IF(C142&lt;=0,$F$5,0)+IF(D142&lt;=0,$F$6,0)+IF(E142&lt;=0,$F$7,0)+IF(F142&lt;=0,$F$8,0)+IF(G142&lt;=0,$F$9,0)+IF(H142&lt;=0,$F$10,0)+IF(I142&lt;=0,$F$11,0)+IF(J142&lt;=0,$F$12,0)+IF(K142&lt;=0,$F$13,0)+IF(L142&lt;=0,$F$14,0)+IF(M142&lt;=0,$F$15,0)+IF(N142&lt;=0,$F$16,0)+IF(O142&lt;=0,$F$17,0)+IF(P142&lt;=0,$F$18,0)+IF(Q142&lt;=0,$F$19,0)+IF(R142&lt;=0,$F$20,0)+IF(S142&lt;=0,$F$21,0)+IF(T142&lt;=0,$F$22,0)+IF(U142&lt;=0,$F$23,0)+IF(V142&lt;=0,$F$24,0))))</f>
        <v/>
      </c>
      <c r="AP143">
        <f>IF(C142&lt;=0,(Dashboard!$C$11+IF(C142&lt;=0,$F$5,0)+IF(D142&lt;=0,$F$6,0)+IF(E142&lt;=0,$F$7,0)+IF(F142&lt;=0,$F$8,0)+IF(G142&lt;=0,$F$9,0)+IF(H142&lt;=0,$F$10,0)+IF(I142&lt;=0,$F$11,0)+IF(J142&lt;=0,$F$12,0)+IF(K142&lt;=0,$F$13,0)+IF(L142&lt;=0,$F$14,0)+IF(M142&lt;=0,$F$15,0)+IF(N142&lt;=0,$F$16,0)+IF(O142&lt;=0,$F$17,0)+IF(P142&lt;=0,$F$18,0)+IF(Q142&lt;=0,$F$19,0)+IF(R142&lt;=0,$F$20,0)+IF(S142&lt;=0,$F$21,0)+IF(T142&lt;=0,$F$22,0)+IF(U142&lt;=0,$F$23,0)+IF(V142&lt;=0,$F$24,0)),MAX(0,$F$5+(Dashboard!$C$11+IF(C142&lt;=0,$F$5,0)+IF(D142&lt;=0,$F$6,0)+IF(E142&lt;=0,$F$7,0)+IF(F142&lt;=0,$F$8,0)+IF(G142&lt;=0,$F$9,0)+IF(H142&lt;=0,$F$10,0)+IF(I142&lt;=0,$F$11,0)+IF(J142&lt;=0,$F$12,0)+IF(K142&lt;=0,$F$13,0)+IF(L142&lt;=0,$F$14,0)+IF(M142&lt;=0,$F$15,0)+IF(N142&lt;=0,$F$16,0)+IF(O142&lt;=0,$F$17,0)+IF(P142&lt;=0,$F$18,0)+IF(Q142&lt;=0,$F$19,0)+IF(R142&lt;=0,$F$20,0)+IF(S142&lt;=0,$F$21,0)+IF(T142&lt;=0,$F$22,0)+IF(U142&lt;=0,$F$23,0)+IF(V142&lt;=0,$F$24,0))-C142-AN143))</f>
        <v/>
      </c>
      <c r="AQ143">
        <f>IF(D142&lt;=0,0,D142*$E$6/12)</f>
        <v/>
      </c>
      <c r="AR143">
        <f>IF(D142&lt;=0,0,MIN(D142+AQ143,$F$6+AP143))</f>
        <v/>
      </c>
      <c r="AS143">
        <f>IF(D142&lt;=0,AP143,MAX(0,$F$6+AP143-D142-AQ143))</f>
        <v/>
      </c>
      <c r="AT143">
        <f>IF(E142&lt;=0,0,E142*$E$7/12)</f>
        <v/>
      </c>
      <c r="AU143">
        <f>IF(E142&lt;=0,0,MIN(E142+AT143,$F$7+AS143))</f>
        <v/>
      </c>
      <c r="AV143">
        <f>IF(E142&lt;=0,AS143,MAX(0,$F$7+AS143-E142-AT143))</f>
        <v/>
      </c>
      <c r="AW143">
        <f>IF(F142&lt;=0,0,F142*$E$8/12)</f>
        <v/>
      </c>
      <c r="AX143">
        <f>IF(F142&lt;=0,0,MIN(F142+AW143,$F$8+AV143))</f>
        <v/>
      </c>
      <c r="AY143">
        <f>IF(F142&lt;=0,AV143,MAX(0,$F$8+AV143-F142-AW143))</f>
        <v/>
      </c>
      <c r="AZ143">
        <f>IF(G142&lt;=0,0,G142*$E$9/12)</f>
        <v/>
      </c>
      <c r="BA143">
        <f>IF(G142&lt;=0,0,MIN(G142+AZ143,$F$9+AY143))</f>
        <v/>
      </c>
      <c r="BB143">
        <f>IF(G142&lt;=0,AY143,MAX(0,$F$9+AY143-G142-AZ143))</f>
        <v/>
      </c>
      <c r="BC143">
        <f>IF(H142&lt;=0,0,H142*$E$10/12)</f>
        <v/>
      </c>
      <c r="BD143">
        <f>IF(H142&lt;=0,0,MIN(H142+BC143,$F$10+BB143))</f>
        <v/>
      </c>
      <c r="BE143">
        <f>IF(H142&lt;=0,BB143,MAX(0,$F$10+BB143-H142-BC143))</f>
        <v/>
      </c>
      <c r="BF143">
        <f>IF(I142&lt;=0,0,I142*$E$11/12)</f>
        <v/>
      </c>
      <c r="BG143">
        <f>IF(I142&lt;=0,0,MIN(I142+BF143,$F$11+BE143))</f>
        <v/>
      </c>
      <c r="BH143">
        <f>IF(I142&lt;=0,BE143,MAX(0,$F$11+BE143-I142-BF143))</f>
        <v/>
      </c>
      <c r="BI143">
        <f>IF(J142&lt;=0,0,J142*$E$12/12)</f>
        <v/>
      </c>
      <c r="BJ143">
        <f>IF(J142&lt;=0,0,MIN(J142+BI143,$F$12+BH143))</f>
        <v/>
      </c>
      <c r="BK143">
        <f>IF(J142&lt;=0,BH143,MAX(0,$F$12+BH143-J142-BI143))</f>
        <v/>
      </c>
      <c r="BL143">
        <f>IF(K142&lt;=0,0,K142*$E$13/12)</f>
        <v/>
      </c>
      <c r="BM143">
        <f>IF(K142&lt;=0,0,MIN(K142+BL143,$F$13+BK143))</f>
        <v/>
      </c>
      <c r="BN143">
        <f>IF(K142&lt;=0,BK143,MAX(0,$F$13+BK143-K142-BL143))</f>
        <v/>
      </c>
      <c r="BO143">
        <f>IF(L142&lt;=0,0,L142*$E$14/12)</f>
        <v/>
      </c>
      <c r="BP143">
        <f>IF(L142&lt;=0,0,MIN(L142+BO143,$F$14+BN143))</f>
        <v/>
      </c>
      <c r="BQ143">
        <f>IF(L142&lt;=0,BN143,MAX(0,$F$14+BN143-L142-BO143))</f>
        <v/>
      </c>
      <c r="BR143">
        <f>IF(M142&lt;=0,0,M142*$E$15/12)</f>
        <v/>
      </c>
      <c r="BS143">
        <f>IF(M142&lt;=0,0,MIN(M142+BR143,$F$15+BQ143))</f>
        <v/>
      </c>
      <c r="BT143">
        <f>IF(M142&lt;=0,BQ143,MAX(0,$F$15+BQ143-M142-BR143))</f>
        <v/>
      </c>
      <c r="BU143">
        <f>IF(N142&lt;=0,0,N142*$E$16/12)</f>
        <v/>
      </c>
      <c r="BV143">
        <f>IF(N142&lt;=0,0,MIN(N142+BU143,$F$16+BT143))</f>
        <v/>
      </c>
      <c r="BW143">
        <f>IF(N142&lt;=0,BT143,MAX(0,$F$16+BT143-N142-BU143))</f>
        <v/>
      </c>
      <c r="BX143">
        <f>IF(O142&lt;=0,0,O142*$E$17/12)</f>
        <v/>
      </c>
      <c r="BY143">
        <f>IF(O142&lt;=0,0,MIN(O142+BX143,$F$17+BW143))</f>
        <v/>
      </c>
      <c r="BZ143">
        <f>IF(O142&lt;=0,BW143,MAX(0,$F$17+BW143-O142-BX143))</f>
        <v/>
      </c>
      <c r="CA143">
        <f>IF(P142&lt;=0,0,P142*$E$18/12)</f>
        <v/>
      </c>
      <c r="CB143">
        <f>IF(P142&lt;=0,0,MIN(P142+CA143,$F$18+BZ143))</f>
        <v/>
      </c>
      <c r="CC143">
        <f>IF(P142&lt;=0,BZ143,MAX(0,$F$18+BZ143-P142-CA143))</f>
        <v/>
      </c>
      <c r="CD143">
        <f>IF(Q142&lt;=0,0,Q142*$E$19/12)</f>
        <v/>
      </c>
      <c r="CE143">
        <f>IF(Q142&lt;=0,0,MIN(Q142+CD143,$F$19+CC143))</f>
        <v/>
      </c>
      <c r="CF143">
        <f>IF(Q142&lt;=0,CC143,MAX(0,$F$19+CC143-Q142-CD143))</f>
        <v/>
      </c>
      <c r="CG143">
        <f>IF(R142&lt;=0,0,R142*$E$20/12)</f>
        <v/>
      </c>
      <c r="CH143">
        <f>IF(R142&lt;=0,0,MIN(R142+CG143,$F$20+CF143))</f>
        <v/>
      </c>
      <c r="CI143">
        <f>IF(R142&lt;=0,CF143,MAX(0,$F$20+CF143-R142-CG143))</f>
        <v/>
      </c>
      <c r="CJ143">
        <f>IF(S142&lt;=0,0,S142*$E$21/12)</f>
        <v/>
      </c>
      <c r="CK143">
        <f>IF(S142&lt;=0,0,MIN(S142+CJ143,$F$21+CI143))</f>
        <v/>
      </c>
      <c r="CL143">
        <f>IF(S142&lt;=0,CI143,MAX(0,$F$21+CI143-S142-CJ143))</f>
        <v/>
      </c>
      <c r="CM143">
        <f>IF(T142&lt;=0,0,T142*$E$22/12)</f>
        <v/>
      </c>
      <c r="CN143">
        <f>IF(T142&lt;=0,0,MIN(T142+CM143,$F$22+CL143))</f>
        <v/>
      </c>
      <c r="CO143">
        <f>IF(T142&lt;=0,CL143,MAX(0,$F$22+CL143-T142-CM143))</f>
        <v/>
      </c>
      <c r="CP143">
        <f>IF(U142&lt;=0,0,U142*$E$23/12)</f>
        <v/>
      </c>
      <c r="CQ143">
        <f>IF(U142&lt;=0,0,MIN(U142+CP143,$F$23+CO143))</f>
        <v/>
      </c>
      <c r="CR143">
        <f>IF(U142&lt;=0,CO143,MAX(0,$F$23+CO143-U142-CP143))</f>
        <v/>
      </c>
      <c r="CS143">
        <f>IF(V142&lt;=0,0,V142*$E$24/12)</f>
        <v/>
      </c>
      <c r="CT143">
        <f>IF(V142&lt;=0,0,MIN(V142+CS143,$F$24+CR143))</f>
        <v/>
      </c>
      <c r="CU143">
        <f>IF(V142&lt;=0,CR143,MAX(0,$F$24+CR143-V142-CS143))</f>
        <v/>
      </c>
    </row>
    <row r="144">
      <c r="B144" s="39" t="n">
        <v>118</v>
      </c>
      <c r="C144" s="13">
        <f>IF(C143&lt;=0,0,MAX(0,C143+AN144-AO144))</f>
        <v/>
      </c>
      <c r="D144" s="13">
        <f>IF(D143&lt;=0,0,MAX(0,D143+AQ144-AR144))</f>
        <v/>
      </c>
      <c r="E144" s="13">
        <f>IF(E143&lt;=0,0,MAX(0,E143+AT144-AU144))</f>
        <v/>
      </c>
      <c r="F144" s="13">
        <f>IF(F143&lt;=0,0,MAX(0,F143+AW144-AX144))</f>
        <v/>
      </c>
      <c r="G144" s="13">
        <f>IF(G143&lt;=0,0,MAX(0,G143+AZ144-BA144))</f>
        <v/>
      </c>
      <c r="H144" s="13">
        <f>IF(H143&lt;=0,0,MAX(0,H143+BC144-BD144))</f>
        <v/>
      </c>
      <c r="I144" s="13">
        <f>IF(I143&lt;=0,0,MAX(0,I143+BF144-BG144))</f>
        <v/>
      </c>
      <c r="J144" s="13">
        <f>IF(J143&lt;=0,0,MAX(0,J143+BI144-BJ144))</f>
        <v/>
      </c>
      <c r="K144" s="13">
        <f>IF(K143&lt;=0,0,MAX(0,K143+BL144-BM144))</f>
        <v/>
      </c>
      <c r="L144" s="13">
        <f>IF(L143&lt;=0,0,MAX(0,L143+BO144-BP144))</f>
        <v/>
      </c>
      <c r="M144" s="13">
        <f>IF(M143&lt;=0,0,MAX(0,M143+BR144-BS144))</f>
        <v/>
      </c>
      <c r="N144" s="13">
        <f>IF(N143&lt;=0,0,MAX(0,N143+BU144-BV144))</f>
        <v/>
      </c>
      <c r="O144" s="13">
        <f>IF(O143&lt;=0,0,MAX(0,O143+BX144-BY144))</f>
        <v/>
      </c>
      <c r="P144" s="13">
        <f>IF(P143&lt;=0,0,MAX(0,P143+CA144-CB144))</f>
        <v/>
      </c>
      <c r="Q144" s="13">
        <f>IF(Q143&lt;=0,0,MAX(0,Q143+CD144-CE144))</f>
        <v/>
      </c>
      <c r="R144" s="13">
        <f>IF(R143&lt;=0,0,MAX(0,R143+CG144-CH144))</f>
        <v/>
      </c>
      <c r="S144" s="13">
        <f>IF(S143&lt;=0,0,MAX(0,S143+CJ144-CK144))</f>
        <v/>
      </c>
      <c r="T144" s="13">
        <f>IF(T143&lt;=0,0,MAX(0,T143+CM144-CN144))</f>
        <v/>
      </c>
      <c r="U144" s="13">
        <f>IF(U143&lt;=0,0,MAX(0,U143+CP144-CQ144))</f>
        <v/>
      </c>
      <c r="V144" s="13">
        <f>IF(V143&lt;=0,0,MAX(0,V143+CS144-CT144))</f>
        <v/>
      </c>
      <c r="W144" s="13">
        <f>AO144+AR144+AU144+AX144+BA144+BD144+BG144+BJ144+BM144+BP144+BS144+BV144+BY144+CB144+CE144+CH144+CK144+CN144+CQ144+CT144</f>
        <v/>
      </c>
      <c r="X144" s="13">
        <f>AN144+AQ144+AT144+AW144+AZ144+BC144+BF144+BI144+BL144+BO144+BR144+BU144+BX144+CA144+CD144+CG144+CJ144+CM144+CP144+CS144</f>
        <v/>
      </c>
      <c r="Y144" s="27">
        <f>C144+D144+E144+F144+G144+H144+I144+J144+K144+L144+M144+N144+O144+P144+Q144+R144+S144+T144+U144+V144</f>
        <v/>
      </c>
      <c r="AN144">
        <f>IF(C143&lt;=0,0,C143*$E$5/12)</f>
        <v/>
      </c>
      <c r="AO144">
        <f>IF(C143&lt;=0,0,MIN(C143+AN144,$F$5+(Dashboard!$C$11+IF(C143&lt;=0,$F$5,0)+IF(D143&lt;=0,$F$6,0)+IF(E143&lt;=0,$F$7,0)+IF(F143&lt;=0,$F$8,0)+IF(G143&lt;=0,$F$9,0)+IF(H143&lt;=0,$F$10,0)+IF(I143&lt;=0,$F$11,0)+IF(J143&lt;=0,$F$12,0)+IF(K143&lt;=0,$F$13,0)+IF(L143&lt;=0,$F$14,0)+IF(M143&lt;=0,$F$15,0)+IF(N143&lt;=0,$F$16,0)+IF(O143&lt;=0,$F$17,0)+IF(P143&lt;=0,$F$18,0)+IF(Q143&lt;=0,$F$19,0)+IF(R143&lt;=0,$F$20,0)+IF(S143&lt;=0,$F$21,0)+IF(T143&lt;=0,$F$22,0)+IF(U143&lt;=0,$F$23,0)+IF(V143&lt;=0,$F$24,0))))</f>
        <v/>
      </c>
      <c r="AP144">
        <f>IF(C143&lt;=0,(Dashboard!$C$11+IF(C143&lt;=0,$F$5,0)+IF(D143&lt;=0,$F$6,0)+IF(E143&lt;=0,$F$7,0)+IF(F143&lt;=0,$F$8,0)+IF(G143&lt;=0,$F$9,0)+IF(H143&lt;=0,$F$10,0)+IF(I143&lt;=0,$F$11,0)+IF(J143&lt;=0,$F$12,0)+IF(K143&lt;=0,$F$13,0)+IF(L143&lt;=0,$F$14,0)+IF(M143&lt;=0,$F$15,0)+IF(N143&lt;=0,$F$16,0)+IF(O143&lt;=0,$F$17,0)+IF(P143&lt;=0,$F$18,0)+IF(Q143&lt;=0,$F$19,0)+IF(R143&lt;=0,$F$20,0)+IF(S143&lt;=0,$F$21,0)+IF(T143&lt;=0,$F$22,0)+IF(U143&lt;=0,$F$23,0)+IF(V143&lt;=0,$F$24,0)),MAX(0,$F$5+(Dashboard!$C$11+IF(C143&lt;=0,$F$5,0)+IF(D143&lt;=0,$F$6,0)+IF(E143&lt;=0,$F$7,0)+IF(F143&lt;=0,$F$8,0)+IF(G143&lt;=0,$F$9,0)+IF(H143&lt;=0,$F$10,0)+IF(I143&lt;=0,$F$11,0)+IF(J143&lt;=0,$F$12,0)+IF(K143&lt;=0,$F$13,0)+IF(L143&lt;=0,$F$14,0)+IF(M143&lt;=0,$F$15,0)+IF(N143&lt;=0,$F$16,0)+IF(O143&lt;=0,$F$17,0)+IF(P143&lt;=0,$F$18,0)+IF(Q143&lt;=0,$F$19,0)+IF(R143&lt;=0,$F$20,0)+IF(S143&lt;=0,$F$21,0)+IF(T143&lt;=0,$F$22,0)+IF(U143&lt;=0,$F$23,0)+IF(V143&lt;=0,$F$24,0))-C143-AN144))</f>
        <v/>
      </c>
      <c r="AQ144">
        <f>IF(D143&lt;=0,0,D143*$E$6/12)</f>
        <v/>
      </c>
      <c r="AR144">
        <f>IF(D143&lt;=0,0,MIN(D143+AQ144,$F$6+AP144))</f>
        <v/>
      </c>
      <c r="AS144">
        <f>IF(D143&lt;=0,AP144,MAX(0,$F$6+AP144-D143-AQ144))</f>
        <v/>
      </c>
      <c r="AT144">
        <f>IF(E143&lt;=0,0,E143*$E$7/12)</f>
        <v/>
      </c>
      <c r="AU144">
        <f>IF(E143&lt;=0,0,MIN(E143+AT144,$F$7+AS144))</f>
        <v/>
      </c>
      <c r="AV144">
        <f>IF(E143&lt;=0,AS144,MAX(0,$F$7+AS144-E143-AT144))</f>
        <v/>
      </c>
      <c r="AW144">
        <f>IF(F143&lt;=0,0,F143*$E$8/12)</f>
        <v/>
      </c>
      <c r="AX144">
        <f>IF(F143&lt;=0,0,MIN(F143+AW144,$F$8+AV144))</f>
        <v/>
      </c>
      <c r="AY144">
        <f>IF(F143&lt;=0,AV144,MAX(0,$F$8+AV144-F143-AW144))</f>
        <v/>
      </c>
      <c r="AZ144">
        <f>IF(G143&lt;=0,0,G143*$E$9/12)</f>
        <v/>
      </c>
      <c r="BA144">
        <f>IF(G143&lt;=0,0,MIN(G143+AZ144,$F$9+AY144))</f>
        <v/>
      </c>
      <c r="BB144">
        <f>IF(G143&lt;=0,AY144,MAX(0,$F$9+AY144-G143-AZ144))</f>
        <v/>
      </c>
      <c r="BC144">
        <f>IF(H143&lt;=0,0,H143*$E$10/12)</f>
        <v/>
      </c>
      <c r="BD144">
        <f>IF(H143&lt;=0,0,MIN(H143+BC144,$F$10+BB144))</f>
        <v/>
      </c>
      <c r="BE144">
        <f>IF(H143&lt;=0,BB144,MAX(0,$F$10+BB144-H143-BC144))</f>
        <v/>
      </c>
      <c r="BF144">
        <f>IF(I143&lt;=0,0,I143*$E$11/12)</f>
        <v/>
      </c>
      <c r="BG144">
        <f>IF(I143&lt;=0,0,MIN(I143+BF144,$F$11+BE144))</f>
        <v/>
      </c>
      <c r="BH144">
        <f>IF(I143&lt;=0,BE144,MAX(0,$F$11+BE144-I143-BF144))</f>
        <v/>
      </c>
      <c r="BI144">
        <f>IF(J143&lt;=0,0,J143*$E$12/12)</f>
        <v/>
      </c>
      <c r="BJ144">
        <f>IF(J143&lt;=0,0,MIN(J143+BI144,$F$12+BH144))</f>
        <v/>
      </c>
      <c r="BK144">
        <f>IF(J143&lt;=0,BH144,MAX(0,$F$12+BH144-J143-BI144))</f>
        <v/>
      </c>
      <c r="BL144">
        <f>IF(K143&lt;=0,0,K143*$E$13/12)</f>
        <v/>
      </c>
      <c r="BM144">
        <f>IF(K143&lt;=0,0,MIN(K143+BL144,$F$13+BK144))</f>
        <v/>
      </c>
      <c r="BN144">
        <f>IF(K143&lt;=0,BK144,MAX(0,$F$13+BK144-K143-BL144))</f>
        <v/>
      </c>
      <c r="BO144">
        <f>IF(L143&lt;=0,0,L143*$E$14/12)</f>
        <v/>
      </c>
      <c r="BP144">
        <f>IF(L143&lt;=0,0,MIN(L143+BO144,$F$14+BN144))</f>
        <v/>
      </c>
      <c r="BQ144">
        <f>IF(L143&lt;=0,BN144,MAX(0,$F$14+BN144-L143-BO144))</f>
        <v/>
      </c>
      <c r="BR144">
        <f>IF(M143&lt;=0,0,M143*$E$15/12)</f>
        <v/>
      </c>
      <c r="BS144">
        <f>IF(M143&lt;=0,0,MIN(M143+BR144,$F$15+BQ144))</f>
        <v/>
      </c>
      <c r="BT144">
        <f>IF(M143&lt;=0,BQ144,MAX(0,$F$15+BQ144-M143-BR144))</f>
        <v/>
      </c>
      <c r="BU144">
        <f>IF(N143&lt;=0,0,N143*$E$16/12)</f>
        <v/>
      </c>
      <c r="BV144">
        <f>IF(N143&lt;=0,0,MIN(N143+BU144,$F$16+BT144))</f>
        <v/>
      </c>
      <c r="BW144">
        <f>IF(N143&lt;=0,BT144,MAX(0,$F$16+BT144-N143-BU144))</f>
        <v/>
      </c>
      <c r="BX144">
        <f>IF(O143&lt;=0,0,O143*$E$17/12)</f>
        <v/>
      </c>
      <c r="BY144">
        <f>IF(O143&lt;=0,0,MIN(O143+BX144,$F$17+BW144))</f>
        <v/>
      </c>
      <c r="BZ144">
        <f>IF(O143&lt;=0,BW144,MAX(0,$F$17+BW144-O143-BX144))</f>
        <v/>
      </c>
      <c r="CA144">
        <f>IF(P143&lt;=0,0,P143*$E$18/12)</f>
        <v/>
      </c>
      <c r="CB144">
        <f>IF(P143&lt;=0,0,MIN(P143+CA144,$F$18+BZ144))</f>
        <v/>
      </c>
      <c r="CC144">
        <f>IF(P143&lt;=0,BZ144,MAX(0,$F$18+BZ144-P143-CA144))</f>
        <v/>
      </c>
      <c r="CD144">
        <f>IF(Q143&lt;=0,0,Q143*$E$19/12)</f>
        <v/>
      </c>
      <c r="CE144">
        <f>IF(Q143&lt;=0,0,MIN(Q143+CD144,$F$19+CC144))</f>
        <v/>
      </c>
      <c r="CF144">
        <f>IF(Q143&lt;=0,CC144,MAX(0,$F$19+CC144-Q143-CD144))</f>
        <v/>
      </c>
      <c r="CG144">
        <f>IF(R143&lt;=0,0,R143*$E$20/12)</f>
        <v/>
      </c>
      <c r="CH144">
        <f>IF(R143&lt;=0,0,MIN(R143+CG144,$F$20+CF144))</f>
        <v/>
      </c>
      <c r="CI144">
        <f>IF(R143&lt;=0,CF144,MAX(0,$F$20+CF144-R143-CG144))</f>
        <v/>
      </c>
      <c r="CJ144">
        <f>IF(S143&lt;=0,0,S143*$E$21/12)</f>
        <v/>
      </c>
      <c r="CK144">
        <f>IF(S143&lt;=0,0,MIN(S143+CJ144,$F$21+CI144))</f>
        <v/>
      </c>
      <c r="CL144">
        <f>IF(S143&lt;=0,CI144,MAX(0,$F$21+CI144-S143-CJ144))</f>
        <v/>
      </c>
      <c r="CM144">
        <f>IF(T143&lt;=0,0,T143*$E$22/12)</f>
        <v/>
      </c>
      <c r="CN144">
        <f>IF(T143&lt;=0,0,MIN(T143+CM144,$F$22+CL144))</f>
        <v/>
      </c>
      <c r="CO144">
        <f>IF(T143&lt;=0,CL144,MAX(0,$F$22+CL144-T143-CM144))</f>
        <v/>
      </c>
      <c r="CP144">
        <f>IF(U143&lt;=0,0,U143*$E$23/12)</f>
        <v/>
      </c>
      <c r="CQ144">
        <f>IF(U143&lt;=0,0,MIN(U143+CP144,$F$23+CO144))</f>
        <v/>
      </c>
      <c r="CR144">
        <f>IF(U143&lt;=0,CO144,MAX(0,$F$23+CO144-U143-CP144))</f>
        <v/>
      </c>
      <c r="CS144">
        <f>IF(V143&lt;=0,0,V143*$E$24/12)</f>
        <v/>
      </c>
      <c r="CT144">
        <f>IF(V143&lt;=0,0,MIN(V143+CS144,$F$24+CR144))</f>
        <v/>
      </c>
      <c r="CU144">
        <f>IF(V143&lt;=0,CR144,MAX(0,$F$24+CR144-V143-CS144))</f>
        <v/>
      </c>
    </row>
    <row r="145">
      <c r="B145" s="39" t="n">
        <v>119</v>
      </c>
      <c r="C145" s="13">
        <f>IF(C144&lt;=0,0,MAX(0,C144+AN145-AO145))</f>
        <v/>
      </c>
      <c r="D145" s="13">
        <f>IF(D144&lt;=0,0,MAX(0,D144+AQ145-AR145))</f>
        <v/>
      </c>
      <c r="E145" s="13">
        <f>IF(E144&lt;=0,0,MAX(0,E144+AT145-AU145))</f>
        <v/>
      </c>
      <c r="F145" s="13">
        <f>IF(F144&lt;=0,0,MAX(0,F144+AW145-AX145))</f>
        <v/>
      </c>
      <c r="G145" s="13">
        <f>IF(G144&lt;=0,0,MAX(0,G144+AZ145-BA145))</f>
        <v/>
      </c>
      <c r="H145" s="13">
        <f>IF(H144&lt;=0,0,MAX(0,H144+BC145-BD145))</f>
        <v/>
      </c>
      <c r="I145" s="13">
        <f>IF(I144&lt;=0,0,MAX(0,I144+BF145-BG145))</f>
        <v/>
      </c>
      <c r="J145" s="13">
        <f>IF(J144&lt;=0,0,MAX(0,J144+BI145-BJ145))</f>
        <v/>
      </c>
      <c r="K145" s="13">
        <f>IF(K144&lt;=0,0,MAX(0,K144+BL145-BM145))</f>
        <v/>
      </c>
      <c r="L145" s="13">
        <f>IF(L144&lt;=0,0,MAX(0,L144+BO145-BP145))</f>
        <v/>
      </c>
      <c r="M145" s="13">
        <f>IF(M144&lt;=0,0,MAX(0,M144+BR145-BS145))</f>
        <v/>
      </c>
      <c r="N145" s="13">
        <f>IF(N144&lt;=0,0,MAX(0,N144+BU145-BV145))</f>
        <v/>
      </c>
      <c r="O145" s="13">
        <f>IF(O144&lt;=0,0,MAX(0,O144+BX145-BY145))</f>
        <v/>
      </c>
      <c r="P145" s="13">
        <f>IF(P144&lt;=0,0,MAX(0,P144+CA145-CB145))</f>
        <v/>
      </c>
      <c r="Q145" s="13">
        <f>IF(Q144&lt;=0,0,MAX(0,Q144+CD145-CE145))</f>
        <v/>
      </c>
      <c r="R145" s="13">
        <f>IF(R144&lt;=0,0,MAX(0,R144+CG145-CH145))</f>
        <v/>
      </c>
      <c r="S145" s="13">
        <f>IF(S144&lt;=0,0,MAX(0,S144+CJ145-CK145))</f>
        <v/>
      </c>
      <c r="T145" s="13">
        <f>IF(T144&lt;=0,0,MAX(0,T144+CM145-CN145))</f>
        <v/>
      </c>
      <c r="U145" s="13">
        <f>IF(U144&lt;=0,0,MAX(0,U144+CP145-CQ145))</f>
        <v/>
      </c>
      <c r="V145" s="13">
        <f>IF(V144&lt;=0,0,MAX(0,V144+CS145-CT145))</f>
        <v/>
      </c>
      <c r="W145" s="13">
        <f>AO145+AR145+AU145+AX145+BA145+BD145+BG145+BJ145+BM145+BP145+BS145+BV145+BY145+CB145+CE145+CH145+CK145+CN145+CQ145+CT145</f>
        <v/>
      </c>
      <c r="X145" s="13">
        <f>AN145+AQ145+AT145+AW145+AZ145+BC145+BF145+BI145+BL145+BO145+BR145+BU145+BX145+CA145+CD145+CG145+CJ145+CM145+CP145+CS145</f>
        <v/>
      </c>
      <c r="Y145" s="27">
        <f>C145+D145+E145+F145+G145+H145+I145+J145+K145+L145+M145+N145+O145+P145+Q145+R145+S145+T145+U145+V145</f>
        <v/>
      </c>
      <c r="AN145">
        <f>IF(C144&lt;=0,0,C144*$E$5/12)</f>
        <v/>
      </c>
      <c r="AO145">
        <f>IF(C144&lt;=0,0,MIN(C144+AN145,$F$5+(Dashboard!$C$11+IF(C144&lt;=0,$F$5,0)+IF(D144&lt;=0,$F$6,0)+IF(E144&lt;=0,$F$7,0)+IF(F144&lt;=0,$F$8,0)+IF(G144&lt;=0,$F$9,0)+IF(H144&lt;=0,$F$10,0)+IF(I144&lt;=0,$F$11,0)+IF(J144&lt;=0,$F$12,0)+IF(K144&lt;=0,$F$13,0)+IF(L144&lt;=0,$F$14,0)+IF(M144&lt;=0,$F$15,0)+IF(N144&lt;=0,$F$16,0)+IF(O144&lt;=0,$F$17,0)+IF(P144&lt;=0,$F$18,0)+IF(Q144&lt;=0,$F$19,0)+IF(R144&lt;=0,$F$20,0)+IF(S144&lt;=0,$F$21,0)+IF(T144&lt;=0,$F$22,0)+IF(U144&lt;=0,$F$23,0)+IF(V144&lt;=0,$F$24,0))))</f>
        <v/>
      </c>
      <c r="AP145">
        <f>IF(C144&lt;=0,(Dashboard!$C$11+IF(C144&lt;=0,$F$5,0)+IF(D144&lt;=0,$F$6,0)+IF(E144&lt;=0,$F$7,0)+IF(F144&lt;=0,$F$8,0)+IF(G144&lt;=0,$F$9,0)+IF(H144&lt;=0,$F$10,0)+IF(I144&lt;=0,$F$11,0)+IF(J144&lt;=0,$F$12,0)+IF(K144&lt;=0,$F$13,0)+IF(L144&lt;=0,$F$14,0)+IF(M144&lt;=0,$F$15,0)+IF(N144&lt;=0,$F$16,0)+IF(O144&lt;=0,$F$17,0)+IF(P144&lt;=0,$F$18,0)+IF(Q144&lt;=0,$F$19,0)+IF(R144&lt;=0,$F$20,0)+IF(S144&lt;=0,$F$21,0)+IF(T144&lt;=0,$F$22,0)+IF(U144&lt;=0,$F$23,0)+IF(V144&lt;=0,$F$24,0)),MAX(0,$F$5+(Dashboard!$C$11+IF(C144&lt;=0,$F$5,0)+IF(D144&lt;=0,$F$6,0)+IF(E144&lt;=0,$F$7,0)+IF(F144&lt;=0,$F$8,0)+IF(G144&lt;=0,$F$9,0)+IF(H144&lt;=0,$F$10,0)+IF(I144&lt;=0,$F$11,0)+IF(J144&lt;=0,$F$12,0)+IF(K144&lt;=0,$F$13,0)+IF(L144&lt;=0,$F$14,0)+IF(M144&lt;=0,$F$15,0)+IF(N144&lt;=0,$F$16,0)+IF(O144&lt;=0,$F$17,0)+IF(P144&lt;=0,$F$18,0)+IF(Q144&lt;=0,$F$19,0)+IF(R144&lt;=0,$F$20,0)+IF(S144&lt;=0,$F$21,0)+IF(T144&lt;=0,$F$22,0)+IF(U144&lt;=0,$F$23,0)+IF(V144&lt;=0,$F$24,0))-C144-AN145))</f>
        <v/>
      </c>
      <c r="AQ145">
        <f>IF(D144&lt;=0,0,D144*$E$6/12)</f>
        <v/>
      </c>
      <c r="AR145">
        <f>IF(D144&lt;=0,0,MIN(D144+AQ145,$F$6+AP145))</f>
        <v/>
      </c>
      <c r="AS145">
        <f>IF(D144&lt;=0,AP145,MAX(0,$F$6+AP145-D144-AQ145))</f>
        <v/>
      </c>
      <c r="AT145">
        <f>IF(E144&lt;=0,0,E144*$E$7/12)</f>
        <v/>
      </c>
      <c r="AU145">
        <f>IF(E144&lt;=0,0,MIN(E144+AT145,$F$7+AS145))</f>
        <v/>
      </c>
      <c r="AV145">
        <f>IF(E144&lt;=0,AS145,MAX(0,$F$7+AS145-E144-AT145))</f>
        <v/>
      </c>
      <c r="AW145">
        <f>IF(F144&lt;=0,0,F144*$E$8/12)</f>
        <v/>
      </c>
      <c r="AX145">
        <f>IF(F144&lt;=0,0,MIN(F144+AW145,$F$8+AV145))</f>
        <v/>
      </c>
      <c r="AY145">
        <f>IF(F144&lt;=0,AV145,MAX(0,$F$8+AV145-F144-AW145))</f>
        <v/>
      </c>
      <c r="AZ145">
        <f>IF(G144&lt;=0,0,G144*$E$9/12)</f>
        <v/>
      </c>
      <c r="BA145">
        <f>IF(G144&lt;=0,0,MIN(G144+AZ145,$F$9+AY145))</f>
        <v/>
      </c>
      <c r="BB145">
        <f>IF(G144&lt;=0,AY145,MAX(0,$F$9+AY145-G144-AZ145))</f>
        <v/>
      </c>
      <c r="BC145">
        <f>IF(H144&lt;=0,0,H144*$E$10/12)</f>
        <v/>
      </c>
      <c r="BD145">
        <f>IF(H144&lt;=0,0,MIN(H144+BC145,$F$10+BB145))</f>
        <v/>
      </c>
      <c r="BE145">
        <f>IF(H144&lt;=0,BB145,MAX(0,$F$10+BB145-H144-BC145))</f>
        <v/>
      </c>
      <c r="BF145">
        <f>IF(I144&lt;=0,0,I144*$E$11/12)</f>
        <v/>
      </c>
      <c r="BG145">
        <f>IF(I144&lt;=0,0,MIN(I144+BF145,$F$11+BE145))</f>
        <v/>
      </c>
      <c r="BH145">
        <f>IF(I144&lt;=0,BE145,MAX(0,$F$11+BE145-I144-BF145))</f>
        <v/>
      </c>
      <c r="BI145">
        <f>IF(J144&lt;=0,0,J144*$E$12/12)</f>
        <v/>
      </c>
      <c r="BJ145">
        <f>IF(J144&lt;=0,0,MIN(J144+BI145,$F$12+BH145))</f>
        <v/>
      </c>
      <c r="BK145">
        <f>IF(J144&lt;=0,BH145,MAX(0,$F$12+BH145-J144-BI145))</f>
        <v/>
      </c>
      <c r="BL145">
        <f>IF(K144&lt;=0,0,K144*$E$13/12)</f>
        <v/>
      </c>
      <c r="BM145">
        <f>IF(K144&lt;=0,0,MIN(K144+BL145,$F$13+BK145))</f>
        <v/>
      </c>
      <c r="BN145">
        <f>IF(K144&lt;=0,BK145,MAX(0,$F$13+BK145-K144-BL145))</f>
        <v/>
      </c>
      <c r="BO145">
        <f>IF(L144&lt;=0,0,L144*$E$14/12)</f>
        <v/>
      </c>
      <c r="BP145">
        <f>IF(L144&lt;=0,0,MIN(L144+BO145,$F$14+BN145))</f>
        <v/>
      </c>
      <c r="BQ145">
        <f>IF(L144&lt;=0,BN145,MAX(0,$F$14+BN145-L144-BO145))</f>
        <v/>
      </c>
      <c r="BR145">
        <f>IF(M144&lt;=0,0,M144*$E$15/12)</f>
        <v/>
      </c>
      <c r="BS145">
        <f>IF(M144&lt;=0,0,MIN(M144+BR145,$F$15+BQ145))</f>
        <v/>
      </c>
      <c r="BT145">
        <f>IF(M144&lt;=0,BQ145,MAX(0,$F$15+BQ145-M144-BR145))</f>
        <v/>
      </c>
      <c r="BU145">
        <f>IF(N144&lt;=0,0,N144*$E$16/12)</f>
        <v/>
      </c>
      <c r="BV145">
        <f>IF(N144&lt;=0,0,MIN(N144+BU145,$F$16+BT145))</f>
        <v/>
      </c>
      <c r="BW145">
        <f>IF(N144&lt;=0,BT145,MAX(0,$F$16+BT145-N144-BU145))</f>
        <v/>
      </c>
      <c r="BX145">
        <f>IF(O144&lt;=0,0,O144*$E$17/12)</f>
        <v/>
      </c>
      <c r="BY145">
        <f>IF(O144&lt;=0,0,MIN(O144+BX145,$F$17+BW145))</f>
        <v/>
      </c>
      <c r="BZ145">
        <f>IF(O144&lt;=0,BW145,MAX(0,$F$17+BW145-O144-BX145))</f>
        <v/>
      </c>
      <c r="CA145">
        <f>IF(P144&lt;=0,0,P144*$E$18/12)</f>
        <v/>
      </c>
      <c r="CB145">
        <f>IF(P144&lt;=0,0,MIN(P144+CA145,$F$18+BZ145))</f>
        <v/>
      </c>
      <c r="CC145">
        <f>IF(P144&lt;=0,BZ145,MAX(0,$F$18+BZ145-P144-CA145))</f>
        <v/>
      </c>
      <c r="CD145">
        <f>IF(Q144&lt;=0,0,Q144*$E$19/12)</f>
        <v/>
      </c>
      <c r="CE145">
        <f>IF(Q144&lt;=0,0,MIN(Q144+CD145,$F$19+CC145))</f>
        <v/>
      </c>
      <c r="CF145">
        <f>IF(Q144&lt;=0,CC145,MAX(0,$F$19+CC145-Q144-CD145))</f>
        <v/>
      </c>
      <c r="CG145">
        <f>IF(R144&lt;=0,0,R144*$E$20/12)</f>
        <v/>
      </c>
      <c r="CH145">
        <f>IF(R144&lt;=0,0,MIN(R144+CG145,$F$20+CF145))</f>
        <v/>
      </c>
      <c r="CI145">
        <f>IF(R144&lt;=0,CF145,MAX(0,$F$20+CF145-R144-CG145))</f>
        <v/>
      </c>
      <c r="CJ145">
        <f>IF(S144&lt;=0,0,S144*$E$21/12)</f>
        <v/>
      </c>
      <c r="CK145">
        <f>IF(S144&lt;=0,0,MIN(S144+CJ145,$F$21+CI145))</f>
        <v/>
      </c>
      <c r="CL145">
        <f>IF(S144&lt;=0,CI145,MAX(0,$F$21+CI145-S144-CJ145))</f>
        <v/>
      </c>
      <c r="CM145">
        <f>IF(T144&lt;=0,0,T144*$E$22/12)</f>
        <v/>
      </c>
      <c r="CN145">
        <f>IF(T144&lt;=0,0,MIN(T144+CM145,$F$22+CL145))</f>
        <v/>
      </c>
      <c r="CO145">
        <f>IF(T144&lt;=0,CL145,MAX(0,$F$22+CL145-T144-CM145))</f>
        <v/>
      </c>
      <c r="CP145">
        <f>IF(U144&lt;=0,0,U144*$E$23/12)</f>
        <v/>
      </c>
      <c r="CQ145">
        <f>IF(U144&lt;=0,0,MIN(U144+CP145,$F$23+CO145))</f>
        <v/>
      </c>
      <c r="CR145">
        <f>IF(U144&lt;=0,CO145,MAX(0,$F$23+CO145-U144-CP145))</f>
        <v/>
      </c>
      <c r="CS145">
        <f>IF(V144&lt;=0,0,V144*$E$24/12)</f>
        <v/>
      </c>
      <c r="CT145">
        <f>IF(V144&lt;=0,0,MIN(V144+CS145,$F$24+CR145))</f>
        <v/>
      </c>
      <c r="CU145">
        <f>IF(V144&lt;=0,CR145,MAX(0,$F$24+CR145-V144-CS145))</f>
        <v/>
      </c>
    </row>
    <row r="146">
      <c r="B146" s="39" t="n">
        <v>120</v>
      </c>
      <c r="C146" s="13">
        <f>IF(C145&lt;=0,0,MAX(0,C145+AN146-AO146))</f>
        <v/>
      </c>
      <c r="D146" s="13">
        <f>IF(D145&lt;=0,0,MAX(0,D145+AQ146-AR146))</f>
        <v/>
      </c>
      <c r="E146" s="13">
        <f>IF(E145&lt;=0,0,MAX(0,E145+AT146-AU146))</f>
        <v/>
      </c>
      <c r="F146" s="13">
        <f>IF(F145&lt;=0,0,MAX(0,F145+AW146-AX146))</f>
        <v/>
      </c>
      <c r="G146" s="13">
        <f>IF(G145&lt;=0,0,MAX(0,G145+AZ146-BA146))</f>
        <v/>
      </c>
      <c r="H146" s="13">
        <f>IF(H145&lt;=0,0,MAX(0,H145+BC146-BD146))</f>
        <v/>
      </c>
      <c r="I146" s="13">
        <f>IF(I145&lt;=0,0,MAX(0,I145+BF146-BG146))</f>
        <v/>
      </c>
      <c r="J146" s="13">
        <f>IF(J145&lt;=0,0,MAX(0,J145+BI146-BJ146))</f>
        <v/>
      </c>
      <c r="K146" s="13">
        <f>IF(K145&lt;=0,0,MAX(0,K145+BL146-BM146))</f>
        <v/>
      </c>
      <c r="L146" s="13">
        <f>IF(L145&lt;=0,0,MAX(0,L145+BO146-BP146))</f>
        <v/>
      </c>
      <c r="M146" s="13">
        <f>IF(M145&lt;=0,0,MAX(0,M145+BR146-BS146))</f>
        <v/>
      </c>
      <c r="N146" s="13">
        <f>IF(N145&lt;=0,0,MAX(0,N145+BU146-BV146))</f>
        <v/>
      </c>
      <c r="O146" s="13">
        <f>IF(O145&lt;=0,0,MAX(0,O145+BX146-BY146))</f>
        <v/>
      </c>
      <c r="P146" s="13">
        <f>IF(P145&lt;=0,0,MAX(0,P145+CA146-CB146))</f>
        <v/>
      </c>
      <c r="Q146" s="13">
        <f>IF(Q145&lt;=0,0,MAX(0,Q145+CD146-CE146))</f>
        <v/>
      </c>
      <c r="R146" s="13">
        <f>IF(R145&lt;=0,0,MAX(0,R145+CG146-CH146))</f>
        <v/>
      </c>
      <c r="S146" s="13">
        <f>IF(S145&lt;=0,0,MAX(0,S145+CJ146-CK146))</f>
        <v/>
      </c>
      <c r="T146" s="13">
        <f>IF(T145&lt;=0,0,MAX(0,T145+CM146-CN146))</f>
        <v/>
      </c>
      <c r="U146" s="13">
        <f>IF(U145&lt;=0,0,MAX(0,U145+CP146-CQ146))</f>
        <v/>
      </c>
      <c r="V146" s="13">
        <f>IF(V145&lt;=0,0,MAX(0,V145+CS146-CT146))</f>
        <v/>
      </c>
      <c r="W146" s="13">
        <f>AO146+AR146+AU146+AX146+BA146+BD146+BG146+BJ146+BM146+BP146+BS146+BV146+BY146+CB146+CE146+CH146+CK146+CN146+CQ146+CT146</f>
        <v/>
      </c>
      <c r="X146" s="13">
        <f>AN146+AQ146+AT146+AW146+AZ146+BC146+BF146+BI146+BL146+BO146+BR146+BU146+BX146+CA146+CD146+CG146+CJ146+CM146+CP146+CS146</f>
        <v/>
      </c>
      <c r="Y146" s="27">
        <f>C146+D146+E146+F146+G146+H146+I146+J146+K146+L146+M146+N146+O146+P146+Q146+R146+S146+T146+U146+V146</f>
        <v/>
      </c>
      <c r="AN146">
        <f>IF(C145&lt;=0,0,C145*$E$5/12)</f>
        <v/>
      </c>
      <c r="AO146">
        <f>IF(C145&lt;=0,0,MIN(C145+AN146,$F$5+(Dashboard!$C$11+IF(C145&lt;=0,$F$5,0)+IF(D145&lt;=0,$F$6,0)+IF(E145&lt;=0,$F$7,0)+IF(F145&lt;=0,$F$8,0)+IF(G145&lt;=0,$F$9,0)+IF(H145&lt;=0,$F$10,0)+IF(I145&lt;=0,$F$11,0)+IF(J145&lt;=0,$F$12,0)+IF(K145&lt;=0,$F$13,0)+IF(L145&lt;=0,$F$14,0)+IF(M145&lt;=0,$F$15,0)+IF(N145&lt;=0,$F$16,0)+IF(O145&lt;=0,$F$17,0)+IF(P145&lt;=0,$F$18,0)+IF(Q145&lt;=0,$F$19,0)+IF(R145&lt;=0,$F$20,0)+IF(S145&lt;=0,$F$21,0)+IF(T145&lt;=0,$F$22,0)+IF(U145&lt;=0,$F$23,0)+IF(V145&lt;=0,$F$24,0))))</f>
        <v/>
      </c>
      <c r="AP146">
        <f>IF(C145&lt;=0,(Dashboard!$C$11+IF(C145&lt;=0,$F$5,0)+IF(D145&lt;=0,$F$6,0)+IF(E145&lt;=0,$F$7,0)+IF(F145&lt;=0,$F$8,0)+IF(G145&lt;=0,$F$9,0)+IF(H145&lt;=0,$F$10,0)+IF(I145&lt;=0,$F$11,0)+IF(J145&lt;=0,$F$12,0)+IF(K145&lt;=0,$F$13,0)+IF(L145&lt;=0,$F$14,0)+IF(M145&lt;=0,$F$15,0)+IF(N145&lt;=0,$F$16,0)+IF(O145&lt;=0,$F$17,0)+IF(P145&lt;=0,$F$18,0)+IF(Q145&lt;=0,$F$19,0)+IF(R145&lt;=0,$F$20,0)+IF(S145&lt;=0,$F$21,0)+IF(T145&lt;=0,$F$22,0)+IF(U145&lt;=0,$F$23,0)+IF(V145&lt;=0,$F$24,0)),MAX(0,$F$5+(Dashboard!$C$11+IF(C145&lt;=0,$F$5,0)+IF(D145&lt;=0,$F$6,0)+IF(E145&lt;=0,$F$7,0)+IF(F145&lt;=0,$F$8,0)+IF(G145&lt;=0,$F$9,0)+IF(H145&lt;=0,$F$10,0)+IF(I145&lt;=0,$F$11,0)+IF(J145&lt;=0,$F$12,0)+IF(K145&lt;=0,$F$13,0)+IF(L145&lt;=0,$F$14,0)+IF(M145&lt;=0,$F$15,0)+IF(N145&lt;=0,$F$16,0)+IF(O145&lt;=0,$F$17,0)+IF(P145&lt;=0,$F$18,0)+IF(Q145&lt;=0,$F$19,0)+IF(R145&lt;=0,$F$20,0)+IF(S145&lt;=0,$F$21,0)+IF(T145&lt;=0,$F$22,0)+IF(U145&lt;=0,$F$23,0)+IF(V145&lt;=0,$F$24,0))-C145-AN146))</f>
        <v/>
      </c>
      <c r="AQ146">
        <f>IF(D145&lt;=0,0,D145*$E$6/12)</f>
        <v/>
      </c>
      <c r="AR146">
        <f>IF(D145&lt;=0,0,MIN(D145+AQ146,$F$6+AP146))</f>
        <v/>
      </c>
      <c r="AS146">
        <f>IF(D145&lt;=0,AP146,MAX(0,$F$6+AP146-D145-AQ146))</f>
        <v/>
      </c>
      <c r="AT146">
        <f>IF(E145&lt;=0,0,E145*$E$7/12)</f>
        <v/>
      </c>
      <c r="AU146">
        <f>IF(E145&lt;=0,0,MIN(E145+AT146,$F$7+AS146))</f>
        <v/>
      </c>
      <c r="AV146">
        <f>IF(E145&lt;=0,AS146,MAX(0,$F$7+AS146-E145-AT146))</f>
        <v/>
      </c>
      <c r="AW146">
        <f>IF(F145&lt;=0,0,F145*$E$8/12)</f>
        <v/>
      </c>
      <c r="AX146">
        <f>IF(F145&lt;=0,0,MIN(F145+AW146,$F$8+AV146))</f>
        <v/>
      </c>
      <c r="AY146">
        <f>IF(F145&lt;=0,AV146,MAX(0,$F$8+AV146-F145-AW146))</f>
        <v/>
      </c>
      <c r="AZ146">
        <f>IF(G145&lt;=0,0,G145*$E$9/12)</f>
        <v/>
      </c>
      <c r="BA146">
        <f>IF(G145&lt;=0,0,MIN(G145+AZ146,$F$9+AY146))</f>
        <v/>
      </c>
      <c r="BB146">
        <f>IF(G145&lt;=0,AY146,MAX(0,$F$9+AY146-G145-AZ146))</f>
        <v/>
      </c>
      <c r="BC146">
        <f>IF(H145&lt;=0,0,H145*$E$10/12)</f>
        <v/>
      </c>
      <c r="BD146">
        <f>IF(H145&lt;=0,0,MIN(H145+BC146,$F$10+BB146))</f>
        <v/>
      </c>
      <c r="BE146">
        <f>IF(H145&lt;=0,BB146,MAX(0,$F$10+BB146-H145-BC146))</f>
        <v/>
      </c>
      <c r="BF146">
        <f>IF(I145&lt;=0,0,I145*$E$11/12)</f>
        <v/>
      </c>
      <c r="BG146">
        <f>IF(I145&lt;=0,0,MIN(I145+BF146,$F$11+BE146))</f>
        <v/>
      </c>
      <c r="BH146">
        <f>IF(I145&lt;=0,BE146,MAX(0,$F$11+BE146-I145-BF146))</f>
        <v/>
      </c>
      <c r="BI146">
        <f>IF(J145&lt;=0,0,J145*$E$12/12)</f>
        <v/>
      </c>
      <c r="BJ146">
        <f>IF(J145&lt;=0,0,MIN(J145+BI146,$F$12+BH146))</f>
        <v/>
      </c>
      <c r="BK146">
        <f>IF(J145&lt;=0,BH146,MAX(0,$F$12+BH146-J145-BI146))</f>
        <v/>
      </c>
      <c r="BL146">
        <f>IF(K145&lt;=0,0,K145*$E$13/12)</f>
        <v/>
      </c>
      <c r="BM146">
        <f>IF(K145&lt;=0,0,MIN(K145+BL146,$F$13+BK146))</f>
        <v/>
      </c>
      <c r="BN146">
        <f>IF(K145&lt;=0,BK146,MAX(0,$F$13+BK146-K145-BL146))</f>
        <v/>
      </c>
      <c r="BO146">
        <f>IF(L145&lt;=0,0,L145*$E$14/12)</f>
        <v/>
      </c>
      <c r="BP146">
        <f>IF(L145&lt;=0,0,MIN(L145+BO146,$F$14+BN146))</f>
        <v/>
      </c>
      <c r="BQ146">
        <f>IF(L145&lt;=0,BN146,MAX(0,$F$14+BN146-L145-BO146))</f>
        <v/>
      </c>
      <c r="BR146">
        <f>IF(M145&lt;=0,0,M145*$E$15/12)</f>
        <v/>
      </c>
      <c r="BS146">
        <f>IF(M145&lt;=0,0,MIN(M145+BR146,$F$15+BQ146))</f>
        <v/>
      </c>
      <c r="BT146">
        <f>IF(M145&lt;=0,BQ146,MAX(0,$F$15+BQ146-M145-BR146))</f>
        <v/>
      </c>
      <c r="BU146">
        <f>IF(N145&lt;=0,0,N145*$E$16/12)</f>
        <v/>
      </c>
      <c r="BV146">
        <f>IF(N145&lt;=0,0,MIN(N145+BU146,$F$16+BT146))</f>
        <v/>
      </c>
      <c r="BW146">
        <f>IF(N145&lt;=0,BT146,MAX(0,$F$16+BT146-N145-BU146))</f>
        <v/>
      </c>
      <c r="BX146">
        <f>IF(O145&lt;=0,0,O145*$E$17/12)</f>
        <v/>
      </c>
      <c r="BY146">
        <f>IF(O145&lt;=0,0,MIN(O145+BX146,$F$17+BW146))</f>
        <v/>
      </c>
      <c r="BZ146">
        <f>IF(O145&lt;=0,BW146,MAX(0,$F$17+BW146-O145-BX146))</f>
        <v/>
      </c>
      <c r="CA146">
        <f>IF(P145&lt;=0,0,P145*$E$18/12)</f>
        <v/>
      </c>
      <c r="CB146">
        <f>IF(P145&lt;=0,0,MIN(P145+CA146,$F$18+BZ146))</f>
        <v/>
      </c>
      <c r="CC146">
        <f>IF(P145&lt;=0,BZ146,MAX(0,$F$18+BZ146-P145-CA146))</f>
        <v/>
      </c>
      <c r="CD146">
        <f>IF(Q145&lt;=0,0,Q145*$E$19/12)</f>
        <v/>
      </c>
      <c r="CE146">
        <f>IF(Q145&lt;=0,0,MIN(Q145+CD146,$F$19+CC146))</f>
        <v/>
      </c>
      <c r="CF146">
        <f>IF(Q145&lt;=0,CC146,MAX(0,$F$19+CC146-Q145-CD146))</f>
        <v/>
      </c>
      <c r="CG146">
        <f>IF(R145&lt;=0,0,R145*$E$20/12)</f>
        <v/>
      </c>
      <c r="CH146">
        <f>IF(R145&lt;=0,0,MIN(R145+CG146,$F$20+CF146))</f>
        <v/>
      </c>
      <c r="CI146">
        <f>IF(R145&lt;=0,CF146,MAX(0,$F$20+CF146-R145-CG146))</f>
        <v/>
      </c>
      <c r="CJ146">
        <f>IF(S145&lt;=0,0,S145*$E$21/12)</f>
        <v/>
      </c>
      <c r="CK146">
        <f>IF(S145&lt;=0,0,MIN(S145+CJ146,$F$21+CI146))</f>
        <v/>
      </c>
      <c r="CL146">
        <f>IF(S145&lt;=0,CI146,MAX(0,$F$21+CI146-S145-CJ146))</f>
        <v/>
      </c>
      <c r="CM146">
        <f>IF(T145&lt;=0,0,T145*$E$22/12)</f>
        <v/>
      </c>
      <c r="CN146">
        <f>IF(T145&lt;=0,0,MIN(T145+CM146,$F$22+CL146))</f>
        <v/>
      </c>
      <c r="CO146">
        <f>IF(T145&lt;=0,CL146,MAX(0,$F$22+CL146-T145-CM146))</f>
        <v/>
      </c>
      <c r="CP146">
        <f>IF(U145&lt;=0,0,U145*$E$23/12)</f>
        <v/>
      </c>
      <c r="CQ146">
        <f>IF(U145&lt;=0,0,MIN(U145+CP146,$F$23+CO146))</f>
        <v/>
      </c>
      <c r="CR146">
        <f>IF(U145&lt;=0,CO146,MAX(0,$F$23+CO146-U145-CP146))</f>
        <v/>
      </c>
      <c r="CS146">
        <f>IF(V145&lt;=0,0,V145*$E$24/12)</f>
        <v/>
      </c>
      <c r="CT146">
        <f>IF(V145&lt;=0,0,MIN(V145+CS146,$F$24+CR146))</f>
        <v/>
      </c>
      <c r="CU146">
        <f>IF(V145&lt;=0,CR146,MAX(0,$F$24+CR146-V145-CS146))</f>
        <v/>
      </c>
    </row>
  </sheetData>
  <mergeCells count="2">
    <mergeCell ref="B1:Y1"/>
    <mergeCell ref="B2:Y2"/>
  </mergeCells>
  <conditionalFormatting sqref="C27:C146">
    <cfRule type="expression" priority="1" dxfId="1">
      <formula>AND(C27=0,$D$5&gt;0)</formula>
    </cfRule>
  </conditionalFormatting>
  <conditionalFormatting sqref="D27:D146">
    <cfRule type="expression" priority="2" dxfId="1">
      <formula>AND(D27=0,$D$6&gt;0)</formula>
    </cfRule>
  </conditionalFormatting>
  <conditionalFormatting sqref="E27:E146">
    <cfRule type="expression" priority="3" dxfId="1">
      <formula>AND(E27=0,$D$7&gt;0)</formula>
    </cfRule>
  </conditionalFormatting>
  <conditionalFormatting sqref="F27:F146">
    <cfRule type="expression" priority="4" dxfId="1">
      <formula>AND(F27=0,$D$8&gt;0)</formula>
    </cfRule>
  </conditionalFormatting>
  <conditionalFormatting sqref="G27:G146">
    <cfRule type="expression" priority="5" dxfId="1">
      <formula>AND(G27=0,$D$9&gt;0)</formula>
    </cfRule>
  </conditionalFormatting>
  <conditionalFormatting sqref="H27:H146">
    <cfRule type="expression" priority="6" dxfId="1">
      <formula>AND(H27=0,$D$10&gt;0)</formula>
    </cfRule>
  </conditionalFormatting>
  <conditionalFormatting sqref="I27:I146">
    <cfRule type="expression" priority="7" dxfId="1">
      <formula>AND(I27=0,$D$11&gt;0)</formula>
    </cfRule>
  </conditionalFormatting>
  <conditionalFormatting sqref="J27:J146">
    <cfRule type="expression" priority="8" dxfId="1">
      <formula>AND(J27=0,$D$12&gt;0)</formula>
    </cfRule>
  </conditionalFormatting>
  <conditionalFormatting sqref="K27:K146">
    <cfRule type="expression" priority="9" dxfId="1">
      <formula>AND(K27=0,$D$13&gt;0)</formula>
    </cfRule>
  </conditionalFormatting>
  <conditionalFormatting sqref="L27:L146">
    <cfRule type="expression" priority="10" dxfId="1">
      <formula>AND(L27=0,$D$14&gt;0)</formula>
    </cfRule>
  </conditionalFormatting>
  <conditionalFormatting sqref="M27:M146">
    <cfRule type="expression" priority="11" dxfId="1">
      <formula>AND(M27=0,$D$15&gt;0)</formula>
    </cfRule>
  </conditionalFormatting>
  <conditionalFormatting sqref="N27:N146">
    <cfRule type="expression" priority="12" dxfId="1">
      <formula>AND(N27=0,$D$16&gt;0)</formula>
    </cfRule>
  </conditionalFormatting>
  <conditionalFormatting sqref="O27:O146">
    <cfRule type="expression" priority="13" dxfId="1">
      <formula>AND(O27=0,$D$17&gt;0)</formula>
    </cfRule>
  </conditionalFormatting>
  <conditionalFormatting sqref="P27:P146">
    <cfRule type="expression" priority="14" dxfId="1">
      <formula>AND(P27=0,$D$18&gt;0)</formula>
    </cfRule>
  </conditionalFormatting>
  <conditionalFormatting sqref="Q27:Q146">
    <cfRule type="expression" priority="15" dxfId="1">
      <formula>AND(Q27=0,$D$19&gt;0)</formula>
    </cfRule>
  </conditionalFormatting>
  <conditionalFormatting sqref="R27:R146">
    <cfRule type="expression" priority="16" dxfId="1">
      <formula>AND(R27=0,$D$20&gt;0)</formula>
    </cfRule>
  </conditionalFormatting>
  <conditionalFormatting sqref="S27:S146">
    <cfRule type="expression" priority="17" dxfId="1">
      <formula>AND(S27=0,$D$21&gt;0)</formula>
    </cfRule>
  </conditionalFormatting>
  <conditionalFormatting sqref="T27:T146">
    <cfRule type="expression" priority="18" dxfId="1">
      <formula>AND(T27=0,$D$22&gt;0)</formula>
    </cfRule>
  </conditionalFormatting>
  <conditionalFormatting sqref="U27:U146">
    <cfRule type="expression" priority="19" dxfId="1">
      <formula>AND(U27=0,$D$23&gt;0)</formula>
    </cfRule>
  </conditionalFormatting>
  <conditionalFormatting sqref="V27:V146">
    <cfRule type="expression" priority="20" dxfId="1">
      <formula>AND(V27=0,$D$24&gt;0)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59E0B"/>
    <outlinePr summaryBelow="1" summaryRight="1"/>
    <pageSetUpPr/>
  </sheetPr>
  <dimension ref="B1:D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22" customWidth="1" min="3" max="3"/>
    <col width="22" customWidth="1" min="4" max="4"/>
    <col width="4" customWidth="1" min="5" max="5"/>
  </cols>
  <sheetData>
    <row r="1">
      <c r="B1" s="29" t="inlineStr">
        <is>
          <t>METHOD COMPARISON</t>
        </is>
      </c>
    </row>
    <row r="2">
      <c r="B2" s="2" t="inlineStr">
        <is>
          <t>Snowball vs. Avalanche -- side by side</t>
        </is>
      </c>
    </row>
    <row r="4">
      <c r="B4" s="8" t="inlineStr">
        <is>
          <t>Metric</t>
        </is>
      </c>
      <c r="C4" s="8" t="inlineStr">
        <is>
          <t>Snowball</t>
        </is>
      </c>
      <c r="D4" s="8" t="inlineStr">
        <is>
          <t>Avalanche</t>
        </is>
      </c>
    </row>
    <row r="5">
      <c r="B5" s="11" t="inlineStr">
        <is>
          <t>Total Months to Payoff</t>
        </is>
      </c>
      <c r="C5" s="14">
        <f>IFERROR(MATCH(TRUE,INDEX('Snowball Plan'!Y27:Y146&lt;=0,0),0),120)</f>
        <v/>
      </c>
      <c r="D5" s="14">
        <f>IFERROR(MATCH(TRUE,INDEX('Avalanche Plan'!Y27:Y146&lt;=0,0),0),120)</f>
        <v/>
      </c>
    </row>
    <row r="6">
      <c r="B6" s="11" t="inlineStr">
        <is>
          <t>Total Interest Paid</t>
        </is>
      </c>
      <c r="C6" s="43">
        <f>SUM('Snowball Plan'!X27:X146)</f>
        <v/>
      </c>
      <c r="D6" s="43">
        <f>SUM('Avalanche Plan'!X27:X146)</f>
        <v/>
      </c>
    </row>
    <row r="7">
      <c r="B7" s="11" t="inlineStr">
        <is>
          <t>Total Amount Paid</t>
        </is>
      </c>
      <c r="C7" s="13">
        <f>SUM('Snowball Plan'!W27:W146)</f>
        <v/>
      </c>
      <c r="D7" s="13">
        <f>SUM('Avalanche Plan'!W27:W146)</f>
        <v/>
      </c>
    </row>
    <row r="9">
      <c r="B9" s="44" t="inlineStr">
        <is>
          <t>Interest Saved (Best Method)</t>
        </is>
      </c>
      <c r="C9" s="22">
        <f>ABS(C6-D6)</f>
        <v/>
      </c>
    </row>
    <row r="10">
      <c r="B10" s="45" t="inlineStr">
        <is>
          <t>Recommended Method</t>
        </is>
      </c>
      <c r="C10" s="24">
        <f>IF(C6&lt;D6,"Snowball saves more!",IF(D6&lt;C6,"Avalanche saves more!","Tied -- both are equal!"))</f>
        <v/>
      </c>
    </row>
    <row r="11">
      <c r="B11" s="46" t="inlineStr">
        <is>
          <t>Best Months to Payoff</t>
        </is>
      </c>
      <c r="C11" s="47">
        <f>MIN(C5,D5)</f>
        <v/>
      </c>
    </row>
    <row r="13">
      <c r="B13" s="8" t="inlineStr">
        <is>
          <t>DETAILED BREAKDOWN</t>
        </is>
      </c>
      <c r="C13" s="9" t="n"/>
      <c r="D13" s="10" t="n"/>
    </row>
    <row r="14">
      <c r="B14" s="48" t="inlineStr">
        <is>
          <t>Detail</t>
        </is>
      </c>
      <c r="C14" s="48" t="inlineStr">
        <is>
          <t>Snowball</t>
        </is>
      </c>
      <c r="D14" s="48" t="inlineStr">
        <is>
          <t>Avalanche</t>
        </is>
      </c>
    </row>
    <row r="15">
      <c r="B15" s="46" t="inlineStr">
        <is>
          <t>Months Difference</t>
        </is>
      </c>
      <c r="C15" s="14">
        <f>ABS(C5-D5)</f>
        <v/>
      </c>
    </row>
    <row r="16">
      <c r="B16" s="46" t="inlineStr">
        <is>
          <t>Interest Difference</t>
        </is>
      </c>
      <c r="C16" s="13">
        <f>ABS(C6-D6)</f>
        <v/>
      </c>
    </row>
    <row r="17">
      <c r="B17" s="46" t="inlineStr">
        <is>
          <t>Total Paid Difference</t>
        </is>
      </c>
      <c r="C17" s="13">
        <f>ABS(C7-D7)</f>
        <v/>
      </c>
    </row>
    <row r="19">
      <c r="B19" s="49" t="inlineStr">
        <is>
          <t>NOTE: The Avalanche method typically saves the most on interest. The Snowball method pays off individual debts faster for psychological wins. Choose the method that keeps YOU motivated!</t>
        </is>
      </c>
    </row>
    <row r="20"/>
    <row r="21"/>
  </sheetData>
  <mergeCells count="10">
    <mergeCell ref="C10:D10"/>
    <mergeCell ref="C16:D16"/>
    <mergeCell ref="C15:D15"/>
    <mergeCell ref="B19:D21"/>
    <mergeCell ref="B1:D1"/>
    <mergeCell ref="C11:D11"/>
    <mergeCell ref="B13:D13"/>
    <mergeCell ref="C9:D9"/>
    <mergeCell ref="C17:D17"/>
    <mergeCell ref="B2:D2"/>
  </mergeCells>
  <conditionalFormatting sqref="C5">
    <cfRule type="cellIs" priority="1" operator="lessThan" dxfId="2">
      <formula>D5</formula>
    </cfRule>
  </conditionalFormatting>
  <conditionalFormatting sqref="D5">
    <cfRule type="cellIs" priority="2" operator="lessThan" dxfId="2">
      <formula>C5</formula>
    </cfRule>
  </conditionalFormatting>
  <conditionalFormatting sqref="C6">
    <cfRule type="cellIs" priority="3" operator="lessThan" dxfId="2">
      <formula>D6</formula>
    </cfRule>
  </conditionalFormatting>
  <conditionalFormatting sqref="D6">
    <cfRule type="cellIs" priority="4" operator="lessThan" dxfId="2">
      <formula>C6</formula>
    </cfRule>
  </conditionalFormatting>
  <conditionalFormatting sqref="C7">
    <cfRule type="cellIs" priority="5" operator="lessThan" dxfId="2">
      <formula>D7</formula>
    </cfRule>
  </conditionalFormatting>
  <conditionalFormatting sqref="D7">
    <cfRule type="cellIs" priority="6" operator="lessThan" dxfId="2">
      <formula>C7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2026-02-21T04:07:23Z</dcterms:created>
  <dcterms:modified xmlns:dcterms="http://purl.org/dc/terms/" xmlns:xsi="http://www.w3.org/2001/XMLSchema-instance" xsi:type="dcterms:W3CDTF">2026-02-21T04:07:23Z</dcterms:modified>
</cp:coreProperties>
</file>