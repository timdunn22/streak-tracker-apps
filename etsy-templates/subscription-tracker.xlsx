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ll Subscriptions" sheetId="3" state="visible" r:id="rId3"/>
    <sheet xmlns:r="http://schemas.openxmlformats.org/officeDocument/2006/relationships" name="Renewal Calendar" sheetId="4" state="visible" r:id="rId4"/>
    <sheet xmlns:r="http://schemas.openxmlformats.org/officeDocument/2006/relationships" name="Annual Summary" sheetId="5" state="visible" r:id="rId5"/>
    <sheet xmlns:r="http://schemas.openxmlformats.org/officeDocument/2006/relationships" name="Cancellation Log" sheetId="6" state="visible" r:id="rId6"/>
  </sheets>
  <definedNames>
    <definedName name="_xlnm.Print_Area" localSheetId="0">'Instructions'!$A$1:$B$53</definedName>
    <definedName name="_xlnm._FilterDatabase" localSheetId="2" hidden="1">'All Subscriptions'!$A$3:$J$103</definedName>
    <definedName name="_xlnm._FilterDatabase" localSheetId="5" hidden="1">'Cancellation Log'!$A$4:$F$104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MM/DD/YYYY"/>
    <numFmt numFmtId="166" formatCode="&quot;$&quot;#,##0.00&quot;/mo&quot;"/>
    <numFmt numFmtId="167" formatCode="&quot;$&quot;#,##0.00&quot;/yr&quot;"/>
    <numFmt numFmtId="168" formatCode="&quot;$&quot;#,##0.00;\-&quot;$&quot;#,##0.00;&quot;&quot;"/>
  </numFmts>
  <fonts count="44">
    <font>
      <name val="Calibri"/>
      <family val="2"/>
      <color theme="1"/>
      <sz val="11"/>
      <scheme val="minor"/>
    </font>
    <font>
      <name val="Aptos"/>
      <b val="1"/>
      <color rgb="00FFFFFF"/>
      <sz val="24"/>
    </font>
    <font>
      <name val="Aptos"/>
      <i val="1"/>
      <color rgb="007C3AED"/>
      <sz val="12"/>
    </font>
    <font>
      <name val="Aptos"/>
      <b val="1"/>
      <color rgb="00FFFFFF"/>
      <sz val="13"/>
    </font>
    <font>
      <name val="Aptos"/>
      <color rgb="001F2937"/>
      <sz val="11"/>
    </font>
    <font>
      <name val="Aptos"/>
      <b val="1"/>
      <color rgb="005B21B6"/>
      <sz val="11"/>
    </font>
    <font>
      <name val="Aptos"/>
      <b val="1"/>
      <color rgb="001D4ED8"/>
      <sz val="11"/>
    </font>
    <font>
      <name val="Aptos"/>
      <b val="1"/>
      <color rgb="00047857"/>
      <sz val="11"/>
    </font>
    <font>
      <name val="Aptos"/>
      <b val="1"/>
      <color rgb="0092400E"/>
      <sz val="11"/>
    </font>
    <font>
      <name val="Aptos"/>
      <b val="1"/>
      <color rgb="009A3412"/>
      <sz val="11"/>
    </font>
    <font>
      <name val="Aptos"/>
      <b val="1"/>
      <color rgb="003730A3"/>
      <sz val="11"/>
    </font>
    <font>
      <name val="Aptos"/>
      <b val="1"/>
      <color rgb="009D174D"/>
      <sz val="11"/>
    </font>
    <font>
      <name val="Aptos"/>
      <b val="1"/>
      <color rgb="000E7490"/>
      <sz val="11"/>
    </font>
    <font>
      <name val="Aptos"/>
      <b val="1"/>
      <color rgb="007E22CE"/>
      <sz val="11"/>
    </font>
    <font>
      <name val="Aptos"/>
      <b val="1"/>
      <color rgb="00374151"/>
      <sz val="11"/>
    </font>
    <font>
      <name val="Aptos"/>
      <b val="1"/>
      <color rgb="00FFFFFF"/>
      <sz val="18"/>
    </font>
    <font>
      <name val="Aptos"/>
      <i val="1"/>
      <color rgb="007C3AED"/>
      <sz val="10"/>
    </font>
    <font>
      <name val="Aptos"/>
      <b val="1"/>
      <color rgb="00FFFFFF"/>
      <sz val="12"/>
    </font>
    <font>
      <name val="Aptos"/>
      <b val="1"/>
      <color rgb="00FFFFFF"/>
      <sz val="22"/>
    </font>
    <font>
      <name val="Aptos"/>
      <b val="1"/>
      <color rgb="004C1D95"/>
      <sz val="11"/>
    </font>
    <font>
      <name val="Aptos"/>
      <b val="1"/>
      <color rgb="001F2937"/>
      <sz val="13"/>
    </font>
    <font>
      <name val="Aptos"/>
      <b val="1"/>
      <color rgb="00FFFFFF"/>
      <sz val="11"/>
    </font>
    <font>
      <name val="Aptos"/>
      <b val="1"/>
      <color rgb="001F2937"/>
      <sz val="11"/>
    </font>
    <font>
      <name val="Aptos"/>
      <b val="1"/>
      <color rgb="00FFFFFF"/>
      <sz val="14"/>
    </font>
    <font>
      <name val="Aptos"/>
      <b val="1"/>
      <color rgb="007C3AED"/>
      <sz val="10"/>
    </font>
    <font>
      <name val="Aptos"/>
      <b val="1"/>
      <color rgb="004C1D95"/>
      <sz val="12"/>
    </font>
    <font>
      <name val="Aptos"/>
      <b val="1"/>
      <color rgb="009CA3AF"/>
      <sz val="11"/>
    </font>
    <font>
      <name val="Aptos"/>
      <color rgb="009CA3AF"/>
      <sz val="11"/>
    </font>
    <font>
      <name val="Aptos"/>
      <b val="1"/>
      <color rgb="009CA3AF"/>
      <sz val="12"/>
    </font>
    <font>
      <name val="Aptos"/>
      <b val="1"/>
      <color rgb="001F2937"/>
      <sz val="12"/>
    </font>
    <font>
      <name val="Aptos"/>
      <b val="1"/>
      <color rgb="00FFFFFF"/>
      <sz val="10"/>
    </font>
    <font>
      <name val="Aptos"/>
      <b val="1"/>
      <color rgb="005B21B6"/>
      <sz val="10"/>
    </font>
    <font>
      <name val="Aptos"/>
      <color rgb="001F2937"/>
      <sz val="10"/>
    </font>
    <font>
      <name val="Aptos"/>
      <b val="1"/>
      <color rgb="001D4ED8"/>
      <sz val="10"/>
    </font>
    <font>
      <name val="Aptos"/>
      <b val="1"/>
      <color rgb="00047857"/>
      <sz val="10"/>
    </font>
    <font>
      <name val="Aptos"/>
      <b val="1"/>
      <color rgb="0092400E"/>
      <sz val="10"/>
    </font>
    <font>
      <name val="Aptos"/>
      <b val="1"/>
      <color rgb="009A3412"/>
      <sz val="10"/>
    </font>
    <font>
      <name val="Aptos"/>
      <b val="1"/>
      <color rgb="003730A3"/>
      <sz val="10"/>
    </font>
    <font>
      <name val="Aptos"/>
      <b val="1"/>
      <color rgb="009D174D"/>
      <sz val="10"/>
    </font>
    <font>
      <name val="Aptos"/>
      <b val="1"/>
      <color rgb="000E7490"/>
      <sz val="10"/>
    </font>
    <font>
      <name val="Aptos"/>
      <b val="1"/>
      <color rgb="007E22CE"/>
      <sz val="10"/>
    </font>
    <font>
      <name val="Aptos"/>
      <b val="1"/>
      <color rgb="00374151"/>
      <sz val="10"/>
    </font>
    <font>
      <name val="Aptos"/>
      <i val="1"/>
      <color rgb="007C3AED"/>
      <sz val="11"/>
    </font>
    <font>
      <name val="Aptos"/>
      <b val="1"/>
      <color rgb="00FFFFFF"/>
      <sz val="16"/>
    </font>
  </fonts>
  <fills count="19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7C3AED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0E7FF"/>
      </patternFill>
    </fill>
    <fill>
      <patternFill patternType="solid">
        <fgColor rgb="00FCE7F3"/>
      </patternFill>
    </fill>
    <fill>
      <patternFill patternType="solid">
        <fgColor rgb="00CFFAFE"/>
      </patternFill>
    </fill>
    <fill>
      <patternFill patternType="solid">
        <fgColor rgb="00F3E8FF"/>
      </patternFill>
    </fill>
    <fill>
      <patternFill patternType="solid">
        <fgColor rgb="00F3F4F6"/>
      </patternFill>
    </fill>
    <fill>
      <patternFill patternType="solid">
        <fgColor rgb="00F5F3FF"/>
      </patternFill>
    </fill>
    <fill>
      <patternFill patternType="solid">
        <fgColor rgb="00FFFFFF"/>
      </patternFill>
    </fill>
    <fill>
      <patternFill patternType="solid">
        <fgColor rgb="00EA580C"/>
      </patternFill>
    </fill>
    <fill>
      <patternFill patternType="solid">
        <fgColor rgb="00DC2626"/>
      </patternFill>
    </fill>
    <fill>
      <patternFill patternType="solid">
        <fgColor rgb="00059669"/>
      </patternFill>
    </fill>
  </fills>
  <borders count="10">
    <border>
      <left/>
      <right/>
      <top/>
      <bottom/>
      <diagonal/>
    </border>
    <border>
      <left style="medium">
        <color rgb="004C1D95"/>
      </left>
      <right style="medium">
        <color rgb="004C1D95"/>
      </right>
      <top style="medium">
        <color rgb="004C1D95"/>
      </top>
      <bottom style="medium">
        <color rgb="004C1D95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medium">
        <color rgb="004C1D95"/>
      </top>
      <bottom/>
      <diagonal/>
    </border>
    <border>
      <left/>
      <right style="medium">
        <color rgb="004C1D95"/>
      </right>
      <top style="medium">
        <color rgb="004C1D95"/>
      </top>
      <bottom/>
      <diagonal/>
    </border>
    <border>
      <left/>
      <right style="medium">
        <color rgb="004C1D95"/>
      </right>
      <top style="medium">
        <color rgb="004C1D95"/>
      </top>
      <bottom style="medium">
        <color rgb="004C1D95"/>
      </bottom>
      <diagonal/>
    </border>
    <border>
      <left/>
      <right/>
      <top style="medium">
        <color rgb="004C1D95"/>
      </top>
      <bottom style="medium">
        <color rgb="004C1D95"/>
      </bottom>
      <diagonal/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3" borderId="2" applyAlignment="1" pivotButton="0" quotePrefix="0" xfId="0">
      <alignment horizontal="left" vertical="center" wrapText="1"/>
    </xf>
    <xf numFmtId="0" fontId="0" fillId="3" borderId="2" pivotButton="0" quotePrefix="0" xfId="0"/>
    <xf numFmtId="0" fontId="6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7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8" fillId="7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9" fillId="8" borderId="2" applyAlignment="1" pivotButton="0" quotePrefix="0" xfId="0">
      <alignment horizontal="left" vertical="center" wrapText="1"/>
    </xf>
    <xf numFmtId="0" fontId="0" fillId="8" borderId="2" pivotButton="0" quotePrefix="0" xfId="0"/>
    <xf numFmtId="0" fontId="10" fillId="9" borderId="2" applyAlignment="1" pivotButton="0" quotePrefix="0" xfId="0">
      <alignment horizontal="left" vertical="center" wrapText="1"/>
    </xf>
    <xf numFmtId="0" fontId="0" fillId="9" borderId="2" pivotButton="0" quotePrefix="0" xfId="0"/>
    <xf numFmtId="0" fontId="11" fillId="10" borderId="2" applyAlignment="1" pivotButton="0" quotePrefix="0" xfId="0">
      <alignment horizontal="left" vertical="center" wrapText="1"/>
    </xf>
    <xf numFmtId="0" fontId="0" fillId="10" borderId="2" pivotButton="0" quotePrefix="0" xfId="0"/>
    <xf numFmtId="0" fontId="12" fillId="11" borderId="2" applyAlignment="1" pivotButton="0" quotePrefix="0" xfId="0">
      <alignment horizontal="left" vertical="center" wrapText="1"/>
    </xf>
    <xf numFmtId="0" fontId="0" fillId="11" borderId="2" pivotButton="0" quotePrefix="0" xfId="0"/>
    <xf numFmtId="0" fontId="13" fillId="12" borderId="2" applyAlignment="1" pivotButton="0" quotePrefix="0" xfId="0">
      <alignment horizontal="left" vertical="center" wrapText="1"/>
    </xf>
    <xf numFmtId="0" fontId="0" fillId="12" borderId="2" pivotButton="0" quotePrefix="0" xfId="0"/>
    <xf numFmtId="0" fontId="14" fillId="13" borderId="2" applyAlignment="1" pivotButton="0" quotePrefix="0" xfId="0">
      <alignment horizontal="left" vertical="center" wrapText="1"/>
    </xf>
    <xf numFmtId="0" fontId="0" fillId="13" borderId="2" pivotButton="0" quotePrefix="0" xfId="0"/>
    <xf numFmtId="0" fontId="18" fillId="2" borderId="1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9" fillId="3" borderId="1" applyAlignment="1" pivotButton="0" quotePrefix="0" xfId="0">
      <alignment horizontal="left" vertical="center" wrapText="1"/>
    </xf>
    <xf numFmtId="164" fontId="20" fillId="15" borderId="1" applyAlignment="1" pivotButton="0" quotePrefix="0" xfId="0">
      <alignment horizontal="center" vertical="center"/>
    </xf>
    <xf numFmtId="1" fontId="20" fillId="15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1" fontId="22" fillId="3" borderId="2" applyAlignment="1" pivotButton="0" quotePrefix="0" xfId="0">
      <alignment horizontal="center" vertical="center"/>
    </xf>
    <xf numFmtId="0" fontId="0" fillId="15" borderId="0" pivotButton="0" quotePrefix="0" xfId="0"/>
    <xf numFmtId="164" fontId="4" fillId="3" borderId="2" applyAlignment="1" pivotButton="0" quotePrefix="0" xfId="0">
      <alignment horizontal="right" vertical="center"/>
    </xf>
    <xf numFmtId="1" fontId="22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right" vertical="center"/>
    </xf>
    <xf numFmtId="1" fontId="22" fillId="6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right" vertical="center"/>
    </xf>
    <xf numFmtId="1" fontId="22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right" vertical="center"/>
    </xf>
    <xf numFmtId="1" fontId="22" fillId="8" borderId="2" applyAlignment="1" pivotButton="0" quotePrefix="0" xfId="0">
      <alignment horizontal="center" vertical="center"/>
    </xf>
    <xf numFmtId="164" fontId="4" fillId="8" borderId="2" applyAlignment="1" pivotButton="0" quotePrefix="0" xfId="0">
      <alignment horizontal="right" vertical="center"/>
    </xf>
    <xf numFmtId="1" fontId="22" fillId="9" borderId="2" applyAlignment="1" pivotButton="0" quotePrefix="0" xfId="0">
      <alignment horizontal="center" vertical="center"/>
    </xf>
    <xf numFmtId="164" fontId="4" fillId="9" borderId="2" applyAlignment="1" pivotButton="0" quotePrefix="0" xfId="0">
      <alignment horizontal="right" vertical="center"/>
    </xf>
    <xf numFmtId="1" fontId="22" fillId="10" borderId="2" applyAlignment="1" pivotButton="0" quotePrefix="0" xfId="0">
      <alignment horizontal="center" vertical="center"/>
    </xf>
    <xf numFmtId="164" fontId="4" fillId="10" borderId="2" applyAlignment="1" pivotButton="0" quotePrefix="0" xfId="0">
      <alignment horizontal="right" vertical="center"/>
    </xf>
    <xf numFmtId="1" fontId="22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right" vertical="center"/>
    </xf>
    <xf numFmtId="1" fontId="22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right" vertical="center"/>
    </xf>
    <xf numFmtId="1" fontId="22" fillId="13" borderId="2" applyAlignment="1" pivotButton="0" quotePrefix="0" xfId="0">
      <alignment horizontal="center" vertical="center"/>
    </xf>
    <xf numFmtId="164" fontId="4" fillId="13" borderId="2" applyAlignment="1" pivotButton="0" quotePrefix="0" xfId="0">
      <alignment horizontal="right" vertical="center"/>
    </xf>
    <xf numFmtId="0" fontId="17" fillId="2" borderId="1" applyAlignment="1" pivotButton="0" quotePrefix="0" xfId="0">
      <alignment horizontal="left" vertical="center" wrapText="1"/>
    </xf>
    <xf numFmtId="1" fontId="17" fillId="2" borderId="1" applyAlignment="1" pivotButton="0" quotePrefix="0" xfId="0">
      <alignment horizontal="center" vertical="center"/>
    </xf>
    <xf numFmtId="164" fontId="17" fillId="2" borderId="1" applyAlignment="1" pivotButton="0" quotePrefix="0" xfId="0">
      <alignment horizontal="right" vertical="center"/>
    </xf>
    <xf numFmtId="0" fontId="21" fillId="16" borderId="1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left" vertical="center" wrapText="1"/>
    </xf>
    <xf numFmtId="0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right" vertical="center"/>
    </xf>
    <xf numFmtId="0" fontId="17" fillId="17" borderId="1" applyAlignment="1" pivotButton="0" quotePrefix="0" xfId="0">
      <alignment horizontal="left" vertical="center" wrapText="1"/>
    </xf>
    <xf numFmtId="0" fontId="0" fillId="17" borderId="1" pivotButton="0" quotePrefix="0" xfId="0"/>
    <xf numFmtId="164" fontId="23" fillId="17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 vertical="center" wrapText="1"/>
    </xf>
    <xf numFmtId="164" fontId="4" fillId="14" borderId="2" applyAlignment="1" pivotButton="0" quotePrefix="0" xfId="0">
      <alignment horizontal="right" vertical="center"/>
    </xf>
    <xf numFmtId="0" fontId="4" fillId="14" borderId="2" applyAlignment="1" pivotButton="0" quotePrefix="0" xfId="0">
      <alignment horizontal="center" vertical="center"/>
    </xf>
    <xf numFmtId="165" fontId="4" fillId="14" borderId="2" applyAlignment="1" pivotButton="0" quotePrefix="0" xfId="0">
      <alignment horizontal="center" vertical="center"/>
    </xf>
    <xf numFmtId="165" fontId="4" fillId="15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0" fillId="3" borderId="1" pivotButton="0" quotePrefix="0" xfId="0"/>
    <xf numFmtId="164" fontId="25" fillId="3" borderId="1" applyAlignment="1" pivotButton="0" quotePrefix="0" xfId="0">
      <alignment horizontal="right" vertical="center"/>
    </xf>
    <xf numFmtId="0" fontId="26" fillId="13" borderId="1" applyAlignment="1" pivotButton="0" quotePrefix="0" xfId="0">
      <alignment horizontal="left" vertical="center" wrapText="1"/>
    </xf>
    <xf numFmtId="164" fontId="27" fillId="13" borderId="2" applyAlignment="1" pivotButton="0" quotePrefix="0" xfId="0">
      <alignment horizontal="right" vertical="center"/>
    </xf>
    <xf numFmtId="164" fontId="28" fillId="13" borderId="1" applyAlignment="1" pivotButton="0" quotePrefix="0" xfId="0">
      <alignment horizontal="right" vertical="center"/>
    </xf>
    <xf numFmtId="0" fontId="22" fillId="7" borderId="1" applyAlignment="1" pivotButton="0" quotePrefix="0" xfId="0">
      <alignment horizontal="left" vertical="center" wrapText="1"/>
    </xf>
    <xf numFmtId="164" fontId="29" fillId="7" borderId="1" applyAlignment="1" pivotButton="0" quotePrefix="0" xfId="0">
      <alignment horizontal="right" vertical="center"/>
    </xf>
    <xf numFmtId="0" fontId="30" fillId="4" borderId="1" applyAlignment="1" pivotButton="0" quotePrefix="0" xfId="0">
      <alignment horizontal="center" vertical="center"/>
    </xf>
    <xf numFmtId="0" fontId="31" fillId="3" borderId="2" applyAlignment="1" pivotButton="0" quotePrefix="0" xfId="0">
      <alignment horizontal="left" vertical="center" wrapText="1"/>
    </xf>
    <xf numFmtId="164" fontId="32" fillId="3" borderId="2" applyAlignment="1" pivotButton="0" quotePrefix="0" xfId="0">
      <alignment horizontal="right" vertical="center"/>
    </xf>
    <xf numFmtId="164" fontId="31" fillId="3" borderId="1" applyAlignment="1" pivotButton="0" quotePrefix="0" xfId="0">
      <alignment horizontal="right" vertical="center"/>
    </xf>
    <xf numFmtId="0" fontId="33" fillId="5" borderId="2" applyAlignment="1" pivotButton="0" quotePrefix="0" xfId="0">
      <alignment horizontal="left" vertical="center" wrapText="1"/>
    </xf>
    <xf numFmtId="164" fontId="32" fillId="5" borderId="2" applyAlignment="1" pivotButton="0" quotePrefix="0" xfId="0">
      <alignment horizontal="right" vertical="center"/>
    </xf>
    <xf numFmtId="164" fontId="33" fillId="5" borderId="1" applyAlignment="1" pivotButton="0" quotePrefix="0" xfId="0">
      <alignment horizontal="right" vertical="center"/>
    </xf>
    <xf numFmtId="0" fontId="34" fillId="6" borderId="2" applyAlignment="1" pivotButton="0" quotePrefix="0" xfId="0">
      <alignment horizontal="left" vertical="center" wrapText="1"/>
    </xf>
    <xf numFmtId="164" fontId="32" fillId="6" borderId="2" applyAlignment="1" pivotButton="0" quotePrefix="0" xfId="0">
      <alignment horizontal="right" vertical="center"/>
    </xf>
    <xf numFmtId="164" fontId="34" fillId="6" borderId="1" applyAlignment="1" pivotButton="0" quotePrefix="0" xfId="0">
      <alignment horizontal="right" vertical="center"/>
    </xf>
    <xf numFmtId="0" fontId="35" fillId="7" borderId="2" applyAlignment="1" pivotButton="0" quotePrefix="0" xfId="0">
      <alignment horizontal="left" vertical="center" wrapText="1"/>
    </xf>
    <xf numFmtId="164" fontId="32" fillId="7" borderId="2" applyAlignment="1" pivotButton="0" quotePrefix="0" xfId="0">
      <alignment horizontal="right" vertical="center"/>
    </xf>
    <xf numFmtId="164" fontId="35" fillId="7" borderId="1" applyAlignment="1" pivotButton="0" quotePrefix="0" xfId="0">
      <alignment horizontal="right" vertical="center"/>
    </xf>
    <xf numFmtId="0" fontId="36" fillId="8" borderId="2" applyAlignment="1" pivotButton="0" quotePrefix="0" xfId="0">
      <alignment horizontal="left" vertical="center" wrapText="1"/>
    </xf>
    <xf numFmtId="164" fontId="32" fillId="8" borderId="2" applyAlignment="1" pivotButton="0" quotePrefix="0" xfId="0">
      <alignment horizontal="right" vertical="center"/>
    </xf>
    <xf numFmtId="164" fontId="36" fillId="8" borderId="1" applyAlignment="1" pivotButton="0" quotePrefix="0" xfId="0">
      <alignment horizontal="right" vertical="center"/>
    </xf>
    <xf numFmtId="0" fontId="37" fillId="9" borderId="2" applyAlignment="1" pivotButton="0" quotePrefix="0" xfId="0">
      <alignment horizontal="left" vertical="center" wrapText="1"/>
    </xf>
    <xf numFmtId="164" fontId="32" fillId="9" borderId="2" applyAlignment="1" pivotButton="0" quotePrefix="0" xfId="0">
      <alignment horizontal="right" vertical="center"/>
    </xf>
    <xf numFmtId="164" fontId="37" fillId="9" borderId="1" applyAlignment="1" pivotButton="0" quotePrefix="0" xfId="0">
      <alignment horizontal="right" vertical="center"/>
    </xf>
    <xf numFmtId="0" fontId="38" fillId="10" borderId="2" applyAlignment="1" pivotButton="0" quotePrefix="0" xfId="0">
      <alignment horizontal="left" vertical="center" wrapText="1"/>
    </xf>
    <xf numFmtId="164" fontId="32" fillId="10" borderId="2" applyAlignment="1" pivotButton="0" quotePrefix="0" xfId="0">
      <alignment horizontal="right" vertical="center"/>
    </xf>
    <xf numFmtId="164" fontId="38" fillId="10" borderId="1" applyAlignment="1" pivotButton="0" quotePrefix="0" xfId="0">
      <alignment horizontal="right" vertical="center"/>
    </xf>
    <xf numFmtId="0" fontId="39" fillId="11" borderId="2" applyAlignment="1" pivotButton="0" quotePrefix="0" xfId="0">
      <alignment horizontal="left" vertical="center" wrapText="1"/>
    </xf>
    <xf numFmtId="164" fontId="32" fillId="11" borderId="2" applyAlignment="1" pivotButton="0" quotePrefix="0" xfId="0">
      <alignment horizontal="right" vertical="center"/>
    </xf>
    <xf numFmtId="164" fontId="39" fillId="11" borderId="1" applyAlignment="1" pivotButton="0" quotePrefix="0" xfId="0">
      <alignment horizontal="right" vertical="center"/>
    </xf>
    <xf numFmtId="0" fontId="40" fillId="12" borderId="2" applyAlignment="1" pivotButton="0" quotePrefix="0" xfId="0">
      <alignment horizontal="left" vertical="center" wrapText="1"/>
    </xf>
    <xf numFmtId="164" fontId="32" fillId="12" borderId="2" applyAlignment="1" pivotButton="0" quotePrefix="0" xfId="0">
      <alignment horizontal="right" vertical="center"/>
    </xf>
    <xf numFmtId="164" fontId="40" fillId="12" borderId="1" applyAlignment="1" pivotButton="0" quotePrefix="0" xfId="0">
      <alignment horizontal="right" vertical="center"/>
    </xf>
    <xf numFmtId="0" fontId="41" fillId="13" borderId="2" applyAlignment="1" pivotButton="0" quotePrefix="0" xfId="0">
      <alignment horizontal="left" vertical="center" wrapText="1"/>
    </xf>
    <xf numFmtId="164" fontId="32" fillId="13" borderId="2" applyAlignment="1" pivotButton="0" quotePrefix="0" xfId="0">
      <alignment horizontal="right" vertical="center"/>
    </xf>
    <xf numFmtId="164" fontId="41" fillId="13" borderId="1" applyAlignment="1" pivotButton="0" quotePrefix="0" xfId="0">
      <alignment horizontal="right" vertical="center"/>
    </xf>
    <xf numFmtId="0" fontId="21" fillId="2" borderId="1" applyAlignment="1" pivotButton="0" quotePrefix="0" xfId="0">
      <alignment horizontal="left" vertical="center" wrapText="1"/>
    </xf>
    <xf numFmtId="164" fontId="21" fillId="2" borderId="1" applyAlignment="1" pivotButton="0" quotePrefix="0" xfId="0">
      <alignment horizontal="right" vertical="center"/>
    </xf>
    <xf numFmtId="0" fontId="42" fillId="3" borderId="0" applyAlignment="1" pivotButton="0" quotePrefix="0" xfId="0">
      <alignment horizontal="center" vertical="center"/>
    </xf>
    <xf numFmtId="0" fontId="23" fillId="18" borderId="1" applyAlignment="1" pivotButton="0" quotePrefix="0" xfId="0">
      <alignment horizontal="right" vertical="center"/>
    </xf>
    <xf numFmtId="0" fontId="0" fillId="18" borderId="1" pivotButton="0" quotePrefix="0" xfId="0"/>
    <xf numFmtId="166" fontId="43" fillId="18" borderId="1" applyAlignment="1" pivotButton="0" quotePrefix="0" xfId="0">
      <alignment horizontal="center" vertical="center"/>
    </xf>
    <xf numFmtId="167" fontId="43" fillId="1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9" pivotButton="0" quotePrefix="0" xfId="0"/>
    <xf numFmtId="0" fontId="0" fillId="0" borderId="6" pivotButton="0" quotePrefix="0" xfId="0"/>
    <xf numFmtId="168" fontId="4" fillId="8" borderId="2" applyAlignment="1" pivotButton="0" quotePrefix="0" xfId="0">
      <alignment horizontal="right" vertical="center"/>
    </xf>
    <xf numFmtId="168" fontId="4" fillId="15" borderId="2" applyAlignment="1" pivotButton="0" quotePrefix="0" xfId="0">
      <alignment horizontal="right" vertical="center"/>
    </xf>
    <xf numFmtId="168" fontId="23" fillId="17" borderId="1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name val="Aptos"/>
        <b val="1"/>
        <color rgb="00D97706"/>
        <sz val="11"/>
      </font>
      <fill>
        <patternFill patternType="solid">
          <fgColor rgb="00FDE68A"/>
        </patternFill>
      </fill>
    </dxf>
    <dxf>
      <font>
        <name val="Aptos"/>
        <b val="1"/>
        <color rgb="00059669"/>
        <sz val="11"/>
      </font>
      <fill>
        <patternFill patternType="solid">
          <fgColor rgb="00D1FAE5"/>
        </patternFill>
      </fill>
    </dxf>
    <dxf>
      <font>
        <name val="Aptos"/>
        <b val="1"/>
        <color rgb="00D97706"/>
        <sz val="11"/>
      </font>
      <fill>
        <patternFill patternType="solid">
          <fgColor rgb="00FEF3C7"/>
        </patternFill>
      </fill>
    </dxf>
    <dxf>
      <font>
        <name val="Aptos"/>
        <b val="1"/>
        <color rgb="00EA580C"/>
        <sz val="11"/>
      </font>
      <fill>
        <patternFill patternType="solid">
          <fgColor rgb="00FFEDD5"/>
        </patternFill>
      </fill>
    </dxf>
    <dxf>
      <font>
        <name val="Aptos"/>
        <strike val="1"/>
        <color rgb="009CA3AF"/>
        <sz val="11"/>
      </font>
      <fill>
        <patternFill patternType="solid">
          <fgColor rgb="00F3F4F6"/>
        </patternFill>
      </fill>
    </dxf>
    <dxf>
      <font>
        <name val="Aptos"/>
        <b val="1"/>
        <color rgb="00DC2626"/>
        <sz val="11"/>
      </font>
    </dxf>
    <dxf>
      <font>
        <name val="Aptos"/>
        <b val="1"/>
        <color rgb="00059669"/>
        <sz val="1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C1D95"/>
    <outlinePr summaryBelow="1" summaryRight="1"/>
    <pageSetUpPr/>
  </sheetPr>
  <dimension ref="A1:B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90" customWidth="1" min="2" max="2"/>
  </cols>
  <sheetData>
    <row r="1" ht="55" customHeight="1">
      <c r="A1" s="1" t="inlineStr">
        <is>
          <t>SUBSCRIPTION TRACKER</t>
        </is>
      </c>
      <c r="B1" s="121" t="n"/>
    </row>
    <row r="2" ht="30" customHeight="1">
      <c r="A2" s="3" t="inlineStr">
        <is>
          <t>Take control of your recurring expenses. Find hidden costs. Save hundreds per year.</t>
        </is>
      </c>
    </row>
    <row r="4" ht="30" customHeight="1">
      <c r="A4" s="4" t="inlineStr">
        <is>
          <t>WELCOME</t>
        </is>
      </c>
      <c r="B4" s="121" t="n"/>
    </row>
    <row r="5" ht="22" customHeight="1">
      <c r="A5" s="6" t="inlineStr">
        <is>
          <t xml:space="preserve">  Thank you for purchasing this Subscription Tracker! This workbook helps you catalog every</t>
        </is>
      </c>
      <c r="B5" s="122" t="n"/>
    </row>
    <row r="6" ht="22" customHeight="1">
      <c r="A6" s="6" t="inlineStr">
        <is>
          <t xml:space="preserve">  recurring charge, visualize where your money goes, and identify subscriptions to cut.</t>
        </is>
      </c>
      <c r="B6" s="122" t="n"/>
    </row>
    <row r="7" ht="22" customHeight="1">
      <c r="A7" s="6" t="inlineStr">
        <is>
          <t xml:space="preserve">  The average person has 12 active subscriptions and wastes $30-100/month on forgotten ones.</t>
        </is>
      </c>
      <c r="B7" s="122" t="n"/>
    </row>
    <row r="9" ht="30" customHeight="1">
      <c r="A9" s="4" t="inlineStr">
        <is>
          <t>HOW TO USE EACH SHEET</t>
        </is>
      </c>
      <c r="B9" s="121" t="n"/>
    </row>
    <row r="10" ht="22" customHeight="1">
      <c r="A10" s="6" t="inlineStr">
        <is>
          <t xml:space="preserve">  1. ALL SUBSCRIPTIONS  --  Enter every subscription you have. Dropdowns help you fill in</t>
        </is>
      </c>
      <c r="B10" s="122" t="n"/>
    </row>
    <row r="11" ht="22" customHeight="1">
      <c r="A11" s="6" t="inlineStr">
        <is>
          <t xml:space="preserve">     categories, billing cycles, and status. Formulas auto-calculate annual costs.</t>
        </is>
      </c>
      <c r="B11" s="122" t="n"/>
    </row>
    <row r="12" ht="22" customHeight="1">
      <c r="A12" s="6" t="inlineStr"/>
      <c r="B12" s="122" t="n"/>
    </row>
    <row r="13" ht="22" customHeight="1">
      <c r="A13" s="6" t="inlineStr">
        <is>
          <t xml:space="preserve">  2. DASHBOARD  --  See totals, averages, and category breakdowns update automatically.</t>
        </is>
      </c>
      <c r="B13" s="122" t="n"/>
    </row>
    <row r="14" ht="22" customHeight="1">
      <c r="A14" s="6" t="inlineStr">
        <is>
          <t xml:space="preserve">     No editing needed here; everything pulls from your subscription list.</t>
        </is>
      </c>
      <c r="B14" s="122" t="n"/>
    </row>
    <row r="15" ht="22" customHeight="1">
      <c r="A15" s="6" t="inlineStr"/>
      <c r="B15" s="122" t="n"/>
    </row>
    <row r="16" ht="22" customHeight="1">
      <c r="A16" s="6" t="inlineStr">
        <is>
          <t xml:space="preserve">  3. RENEWAL CALENDAR  --  View which subscriptions renew each month so you can plan ahead</t>
        </is>
      </c>
      <c r="B16" s="122" t="n"/>
    </row>
    <row r="17" ht="22" customHeight="1">
      <c r="A17" s="6" t="inlineStr">
        <is>
          <t xml:space="preserve">     and avoid surprise charges.</t>
        </is>
      </c>
      <c r="B17" s="122" t="n"/>
    </row>
    <row r="18" ht="22" customHeight="1">
      <c r="A18" s="6" t="inlineStr"/>
      <c r="B18" s="122" t="n"/>
    </row>
    <row r="19" ht="22" customHeight="1">
      <c r="A19" s="6" t="inlineStr">
        <is>
          <t xml:space="preserve">  4. ANNUAL SUMMARY  --  Track month-by-month spending and compare year-over-year.</t>
        </is>
      </c>
      <c r="B19" s="122" t="n"/>
    </row>
    <row r="20" ht="22" customHeight="1">
      <c r="A20" s="6" t="inlineStr"/>
      <c r="B20" s="122" t="n"/>
    </row>
    <row r="21" ht="22" customHeight="1">
      <c r="A21" s="6" t="inlineStr">
        <is>
          <t xml:space="preserve">  5. CANCELLATION LOG  --  Record every subscription you cancel and watch your savings grow!</t>
        </is>
      </c>
      <c r="B21" s="122" t="n"/>
    </row>
    <row r="23" ht="30" customHeight="1">
      <c r="A23" s="4" t="inlineStr">
        <is>
          <t>CATEGORY COLOR LEGEND</t>
        </is>
      </c>
      <c r="B23" s="121" t="n"/>
    </row>
    <row r="24" ht="24" customHeight="1">
      <c r="A24" s="8" t="inlineStr">
        <is>
          <t xml:space="preserve">  Entertainment</t>
        </is>
      </c>
      <c r="B24" s="122" t="n"/>
    </row>
    <row r="25" ht="24" customHeight="1">
      <c r="A25" s="10" t="inlineStr">
        <is>
          <t xml:space="preserve">  Software</t>
        </is>
      </c>
      <c r="B25" s="122" t="n"/>
    </row>
    <row r="26" ht="24" customHeight="1">
      <c r="A26" s="12" t="inlineStr">
        <is>
          <t xml:space="preserve">  Health &amp; Fitness</t>
        </is>
      </c>
      <c r="B26" s="122" t="n"/>
    </row>
    <row r="27" ht="24" customHeight="1">
      <c r="A27" s="14" t="inlineStr">
        <is>
          <t xml:space="preserve">  News &amp; Media</t>
        </is>
      </c>
      <c r="B27" s="122" t="n"/>
    </row>
    <row r="28" ht="24" customHeight="1">
      <c r="A28" s="16" t="inlineStr">
        <is>
          <t xml:space="preserve">  Food &amp; Delivery</t>
        </is>
      </c>
      <c r="B28" s="122" t="n"/>
    </row>
    <row r="29" ht="24" customHeight="1">
      <c r="A29" s="18" t="inlineStr">
        <is>
          <t xml:space="preserve">  Cloud Storage</t>
        </is>
      </c>
      <c r="B29" s="122" t="n"/>
    </row>
    <row r="30" ht="24" customHeight="1">
      <c r="A30" s="20" t="inlineStr">
        <is>
          <t xml:space="preserve">  Music</t>
        </is>
      </c>
      <c r="B30" s="122" t="n"/>
    </row>
    <row r="31" ht="24" customHeight="1">
      <c r="A31" s="22" t="inlineStr">
        <is>
          <t xml:space="preserve">  Gaming</t>
        </is>
      </c>
      <c r="B31" s="122" t="n"/>
    </row>
    <row r="32" ht="24" customHeight="1">
      <c r="A32" s="24" t="inlineStr">
        <is>
          <t xml:space="preserve">  Productivity</t>
        </is>
      </c>
      <c r="B32" s="122" t="n"/>
    </row>
    <row r="33" ht="24" customHeight="1">
      <c r="A33" s="26" t="inlineStr">
        <is>
          <t xml:space="preserve">  Other</t>
        </is>
      </c>
      <c r="B33" s="122" t="n"/>
    </row>
    <row r="35" ht="30" customHeight="1">
      <c r="A35" s="4" t="inlineStr">
        <is>
          <t>STATUS COLORS</t>
        </is>
      </c>
      <c r="B35" s="121" t="n"/>
    </row>
    <row r="36" ht="22" customHeight="1">
      <c r="A36" s="6" t="inlineStr">
        <is>
          <t xml:space="preserve">  Active  =  Green background (you are currently paying for this)</t>
        </is>
      </c>
      <c r="B36" s="122" t="n"/>
    </row>
    <row r="37" ht="22" customHeight="1">
      <c r="A37" s="6" t="inlineStr">
        <is>
          <t xml:space="preserve">  Paused  =  Yellow background (temporarily on hold)</t>
        </is>
      </c>
      <c r="B37" s="122" t="n"/>
    </row>
    <row r="38" ht="22" customHeight="1">
      <c r="A38" s="6" t="inlineStr">
        <is>
          <t xml:space="preserve">  Consider Canceling  =  Orange background (review this one!)</t>
        </is>
      </c>
      <c r="B38" s="122" t="n"/>
    </row>
    <row r="39" ht="22" customHeight="1">
      <c r="A39" s="6" t="inlineStr">
        <is>
          <t xml:space="preserve">  Canceled  =  Gray background with strikethrough (done!)</t>
        </is>
      </c>
      <c r="B39" s="122" t="n"/>
    </row>
    <row r="41" ht="30" customHeight="1">
      <c r="A41" s="4" t="inlineStr">
        <is>
          <t>TIPS FOR CUTTING SUBSCRIPTIONS</t>
        </is>
      </c>
      <c r="B41" s="121" t="n"/>
    </row>
    <row r="42" ht="22" customHeight="1">
      <c r="A42" s="6" t="inlineStr">
        <is>
          <t xml:space="preserve">  1. Audit ruthlessly: If you haven't used it in 30 days, mark it "Consider Canceling".</t>
        </is>
      </c>
      <c r="B42" s="122" t="n"/>
    </row>
    <row r="43" ht="22" customHeight="1">
      <c r="A43" s="6" t="inlineStr">
        <is>
          <t xml:space="preserve">  2. Check for duplicates: Do you have both Spotify and Apple Music?</t>
        </is>
      </c>
      <c r="B43" s="122" t="n"/>
    </row>
    <row r="44" ht="22" customHeight="1">
      <c r="A44" s="6" t="inlineStr">
        <is>
          <t xml:space="preserve">  3. Downgrade first: Switch to a free tier before canceling entirely.</t>
        </is>
      </c>
      <c r="B44" s="122" t="n"/>
    </row>
    <row r="45" ht="22" customHeight="1">
      <c r="A45" s="6" t="inlineStr">
        <is>
          <t xml:space="preserve">  4. Share family plans: Split Netflix, Spotify, or iCloud with family members.</t>
        </is>
      </c>
      <c r="B45" s="122" t="n"/>
    </row>
    <row r="46" ht="22" customHeight="1">
      <c r="A46" s="6" t="inlineStr">
        <is>
          <t xml:space="preserve">  5. Negotiate: Call and ask for a retention discount -- it works more often than you think.</t>
        </is>
      </c>
      <c r="B46" s="122" t="n"/>
    </row>
    <row r="47" ht="22" customHeight="1">
      <c r="A47" s="6" t="inlineStr">
        <is>
          <t xml:space="preserve">  6. Use annual billing: Many services offer 15-30% off when you pay yearly.</t>
        </is>
      </c>
      <c r="B47" s="122" t="n"/>
    </row>
    <row r="48" ht="22" customHeight="1">
      <c r="A48" s="6" t="inlineStr">
        <is>
          <t xml:space="preserve">  7. Set calendar reminders: Review this tracker on the 1st of every month.</t>
        </is>
      </c>
      <c r="B48" s="122" t="n"/>
    </row>
    <row r="49" ht="22" customHeight="1">
      <c r="A49" s="6" t="inlineStr">
        <is>
          <t xml:space="preserve">  8. Watch for price increases: Companies quietly raise prices; check statements quarterly.</t>
        </is>
      </c>
      <c r="B49" s="122" t="n"/>
    </row>
    <row r="50" ht="22" customHeight="1">
      <c r="A50" s="6" t="inlineStr">
        <is>
          <t xml:space="preserve">  9. Free trial trap: Set a reminder to cancel 1 day before any free trial ends.</t>
        </is>
      </c>
      <c r="B50" s="122" t="n"/>
    </row>
    <row r="51" ht="22" customHeight="1">
      <c r="A51" s="6" t="inlineStr">
        <is>
          <t xml:space="preserve">  10. The $5 rule: Small charges add up. Five $5 subscriptions = $300/year.</t>
        </is>
      </c>
      <c r="B51" s="122" t="n"/>
    </row>
  </sheetData>
  <mergeCells count="46">
    <mergeCell ref="A48:B48"/>
    <mergeCell ref="A24:B24"/>
    <mergeCell ref="A30:B30"/>
    <mergeCell ref="A15:B15"/>
    <mergeCell ref="A11:B11"/>
    <mergeCell ref="A49:B49"/>
    <mergeCell ref="A51:B51"/>
    <mergeCell ref="A45:B45"/>
    <mergeCell ref="A36:B36"/>
    <mergeCell ref="A1:B1"/>
    <mergeCell ref="A6:B6"/>
    <mergeCell ref="A16:B16"/>
    <mergeCell ref="A7:B7"/>
    <mergeCell ref="A25:B25"/>
    <mergeCell ref="A41:B41"/>
    <mergeCell ref="A37:B37"/>
    <mergeCell ref="A46:B46"/>
    <mergeCell ref="A18:B18"/>
    <mergeCell ref="A27:B27"/>
    <mergeCell ref="A12:B12"/>
    <mergeCell ref="A50:B50"/>
    <mergeCell ref="A26:B26"/>
    <mergeCell ref="A21:B21"/>
    <mergeCell ref="A2:B2"/>
    <mergeCell ref="A33:B33"/>
    <mergeCell ref="A47:B47"/>
    <mergeCell ref="A5:B5"/>
    <mergeCell ref="A42:B42"/>
    <mergeCell ref="A32:B32"/>
    <mergeCell ref="A14:B14"/>
    <mergeCell ref="A17:B17"/>
    <mergeCell ref="A23:B23"/>
    <mergeCell ref="A35:B35"/>
    <mergeCell ref="A4:B4"/>
    <mergeCell ref="A20:B20"/>
    <mergeCell ref="A38:B38"/>
    <mergeCell ref="A29:B29"/>
    <mergeCell ref="A43:B43"/>
    <mergeCell ref="A19:B19"/>
    <mergeCell ref="A10:B10"/>
    <mergeCell ref="A28:B28"/>
    <mergeCell ref="A13:B13"/>
    <mergeCell ref="A44:B44"/>
    <mergeCell ref="A9:B9"/>
    <mergeCell ref="A31:B31"/>
    <mergeCell ref="A39:B39"/>
  </mergeCells>
  <pageMargins left="0.5" right="0.5" top="0.5" bottom="0.5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4" customWidth="1" min="4" max="4"/>
    <col width="30" customWidth="1" min="5" max="5"/>
    <col width="22" customWidth="1" min="6" max="6"/>
    <col width="18" customWidth="1" min="7" max="7"/>
    <col width="18" customWidth="1" min="8" max="8"/>
  </cols>
  <sheetData>
    <row r="1" ht="50" customHeight="1">
      <c r="A1" s="28" t="inlineStr">
        <is>
          <t>SUBSCRIPTION DASHBOARD</t>
        </is>
      </c>
      <c r="B1" s="123" t="n"/>
      <c r="C1" s="123" t="n"/>
      <c r="D1" s="123" t="n"/>
      <c r="E1" s="123" t="n"/>
      <c r="F1" s="123" t="n"/>
      <c r="G1" s="123" t="n"/>
      <c r="H1" s="121" t="n"/>
    </row>
    <row r="2" ht="28" customHeight="1">
      <c r="A2" s="29" t="inlineStr">
        <is>
          <t>All figures update automatically from the All Subscriptions sheet.</t>
        </is>
      </c>
    </row>
    <row r="4" ht="28" customHeight="1">
      <c r="B4" s="4" t="inlineStr">
        <is>
          <t>KEY METRICS</t>
        </is>
      </c>
      <c r="C4" s="121" t="n"/>
      <c r="E4" s="4" t="inlineStr">
        <is>
          <t>QUICK STATS</t>
        </is>
      </c>
      <c r="F4" s="121" t="n"/>
    </row>
    <row r="5" ht="28" customHeight="1">
      <c r="B5" s="30" t="inlineStr">
        <is>
          <t>Total Monthly Cost</t>
        </is>
      </c>
      <c r="C5" s="31">
        <f>IFERROR(SUMPRODUCT(('All Subscriptions'!I4:I103&lt;&gt;"Canceled")*'All Subscriptions'!C4:C103),0)</f>
        <v/>
      </c>
      <c r="E5" s="30" t="inlineStr">
        <is>
          <t>Active Subscriptions</t>
        </is>
      </c>
      <c r="F5" s="32">
        <f>COUNTIF('All Subscriptions'!I4:I103,"Active")</f>
        <v/>
      </c>
    </row>
    <row r="6" ht="28" customHeight="1">
      <c r="B6" s="30" t="inlineStr">
        <is>
          <t>Total Annual Cost</t>
        </is>
      </c>
      <c r="C6" s="31">
        <f>IFERROR(SUMPRODUCT(('All Subscriptions'!I4:I103&lt;&gt;"Canceled")*'All Subscriptions'!D4:D103),0)</f>
        <v/>
      </c>
      <c r="E6" s="30" t="inlineStr">
        <is>
          <t>Paused Subscriptions</t>
        </is>
      </c>
      <c r="F6" s="32">
        <f>COUNTIF('All Subscriptions'!I4:I103,"Paused")</f>
        <v/>
      </c>
    </row>
    <row r="7" ht="28" customHeight="1">
      <c r="B7" s="30" t="inlineStr">
        <is>
          <t>Average Monthly Cost</t>
        </is>
      </c>
      <c r="C7" s="31">
        <f>IFERROR(SUMPRODUCT(('All Subscriptions'!I4:I103="Active")*'All Subscriptions'!C4:C103)/COUNTIF('All Subscriptions'!I4:I103,"Active"),0)</f>
        <v/>
      </c>
      <c r="E7" s="30" t="inlineStr">
        <is>
          <t>Consider Canceling</t>
        </is>
      </c>
      <c r="F7" s="32">
        <f>COUNTIF('All Subscriptions'!I4:I103,"Consider Canceling")</f>
        <v/>
      </c>
    </row>
    <row r="8" ht="28" customHeight="1">
      <c r="B8" s="30" t="inlineStr">
        <is>
          <t>Most Expensive (Monthly)</t>
        </is>
      </c>
      <c r="C8" s="31">
        <f>IFERROR(MAX(IF('All Subscriptions'!I4:I103&lt;&gt;"Canceled",'All Subscriptions'!C4:C103)),0)</f>
        <v/>
      </c>
      <c r="E8" s="30" t="inlineStr">
        <is>
          <t>Canceled Subscriptions</t>
        </is>
      </c>
      <c r="F8" s="32">
        <f>COUNTIF('All Subscriptions'!I4:I103,"Canceled")</f>
        <v/>
      </c>
    </row>
    <row r="10">
      <c r="B10" s="4" t="inlineStr">
        <is>
          <t>CATEGORY BREAKDOWN</t>
        </is>
      </c>
      <c r="C10" s="123" t="n"/>
      <c r="D10" s="123" t="n"/>
      <c r="E10" s="123" t="n"/>
      <c r="F10" s="121" t="n"/>
    </row>
    <row r="11">
      <c r="B11" s="33" t="inlineStr">
        <is>
          <t>Category</t>
        </is>
      </c>
      <c r="C11" s="33" t="inlineStr">
        <is>
          <t>Count</t>
        </is>
      </c>
      <c r="D11" s="2" t="n"/>
      <c r="E11" s="33" t="inlineStr">
        <is>
          <t>Monthly Total</t>
        </is>
      </c>
      <c r="F11" s="33" t="inlineStr">
        <is>
          <t>Annual Total</t>
        </is>
      </c>
    </row>
    <row r="12" ht="26" customHeight="1">
      <c r="B12" s="8" t="inlineStr">
        <is>
          <t>Entertainment</t>
        </is>
      </c>
      <c r="C12" s="34">
        <f>COUNTIFS('All Subscriptions'!B4:B103,"Entertainment",'All Subscriptions'!I4:I103,"&lt;&gt;Canceled")</f>
        <v/>
      </c>
      <c r="D12" s="35" t="n"/>
      <c r="E12" s="36">
        <f>IFERROR(SUMPRODUCT(('All Subscriptions'!B4:B103="Entertainment")*('All Subscriptions'!I4:I103&lt;&gt;"Canceled")*'All Subscriptions'!C4:C103),0)</f>
        <v/>
      </c>
      <c r="F12" s="36">
        <f>IFERROR(SUMPRODUCT(('All Subscriptions'!B4:B103="Entertainment")*('All Subscriptions'!I4:I103&lt;&gt;"Canceled")*'All Subscriptions'!D4:D103),0)</f>
        <v/>
      </c>
    </row>
    <row r="13" ht="26" customHeight="1">
      <c r="B13" s="10" t="inlineStr">
        <is>
          <t>Software</t>
        </is>
      </c>
      <c r="C13" s="37">
        <f>COUNTIFS('All Subscriptions'!B4:B103,"Software",'All Subscriptions'!I4:I103,"&lt;&gt;Canceled")</f>
        <v/>
      </c>
      <c r="D13" s="35" t="n"/>
      <c r="E13" s="38">
        <f>IFERROR(SUMPRODUCT(('All Subscriptions'!B4:B103="Software")*('All Subscriptions'!I4:I103&lt;&gt;"Canceled")*'All Subscriptions'!C4:C103),0)</f>
        <v/>
      </c>
      <c r="F13" s="38">
        <f>IFERROR(SUMPRODUCT(('All Subscriptions'!B4:B103="Software")*('All Subscriptions'!I4:I103&lt;&gt;"Canceled")*'All Subscriptions'!D4:D103),0)</f>
        <v/>
      </c>
    </row>
    <row r="14" ht="26" customHeight="1">
      <c r="B14" s="12" t="inlineStr">
        <is>
          <t>Health &amp; Fitness</t>
        </is>
      </c>
      <c r="C14" s="39">
        <f>COUNTIFS('All Subscriptions'!B4:B103,"Health &amp; Fitness",'All Subscriptions'!I4:I103,"&lt;&gt;Canceled")</f>
        <v/>
      </c>
      <c r="D14" s="35" t="n"/>
      <c r="E14" s="40">
        <f>IFERROR(SUMPRODUCT(('All Subscriptions'!B4:B103="Health &amp; Fitness")*('All Subscriptions'!I4:I103&lt;&gt;"Canceled")*'All Subscriptions'!C4:C103),0)</f>
        <v/>
      </c>
      <c r="F14" s="40">
        <f>IFERROR(SUMPRODUCT(('All Subscriptions'!B4:B103="Health &amp; Fitness")*('All Subscriptions'!I4:I103&lt;&gt;"Canceled")*'All Subscriptions'!D4:D103),0)</f>
        <v/>
      </c>
    </row>
    <row r="15" ht="26" customHeight="1">
      <c r="B15" s="14" t="inlineStr">
        <is>
          <t>News &amp; Media</t>
        </is>
      </c>
      <c r="C15" s="41">
        <f>COUNTIFS('All Subscriptions'!B4:B103,"News &amp; Media",'All Subscriptions'!I4:I103,"&lt;&gt;Canceled")</f>
        <v/>
      </c>
      <c r="D15" s="35" t="n"/>
      <c r="E15" s="42">
        <f>IFERROR(SUMPRODUCT(('All Subscriptions'!B4:B103="News &amp; Media")*('All Subscriptions'!I4:I103&lt;&gt;"Canceled")*'All Subscriptions'!C4:C103),0)</f>
        <v/>
      </c>
      <c r="F15" s="42">
        <f>IFERROR(SUMPRODUCT(('All Subscriptions'!B4:B103="News &amp; Media")*('All Subscriptions'!I4:I103&lt;&gt;"Canceled")*'All Subscriptions'!D4:D103),0)</f>
        <v/>
      </c>
    </row>
    <row r="16" ht="26" customHeight="1">
      <c r="B16" s="16" t="inlineStr">
        <is>
          <t>Food &amp; Delivery</t>
        </is>
      </c>
      <c r="C16" s="43">
        <f>COUNTIFS('All Subscriptions'!B4:B103,"Food &amp; Delivery",'All Subscriptions'!I4:I103,"&lt;&gt;Canceled")</f>
        <v/>
      </c>
      <c r="D16" s="35" t="n"/>
      <c r="E16" s="44">
        <f>IFERROR(SUMPRODUCT(('All Subscriptions'!B4:B103="Food &amp; Delivery")*('All Subscriptions'!I4:I103&lt;&gt;"Canceled")*'All Subscriptions'!C4:C103),0)</f>
        <v/>
      </c>
      <c r="F16" s="44">
        <f>IFERROR(SUMPRODUCT(('All Subscriptions'!B4:B103="Food &amp; Delivery")*('All Subscriptions'!I4:I103&lt;&gt;"Canceled")*'All Subscriptions'!D4:D103),0)</f>
        <v/>
      </c>
    </row>
    <row r="17" ht="26" customHeight="1">
      <c r="B17" s="18" t="inlineStr">
        <is>
          <t>Cloud Storage</t>
        </is>
      </c>
      <c r="C17" s="45">
        <f>COUNTIFS('All Subscriptions'!B4:B103,"Cloud Storage",'All Subscriptions'!I4:I103,"&lt;&gt;Canceled")</f>
        <v/>
      </c>
      <c r="D17" s="35" t="n"/>
      <c r="E17" s="46">
        <f>IFERROR(SUMPRODUCT(('All Subscriptions'!B4:B103="Cloud Storage")*('All Subscriptions'!I4:I103&lt;&gt;"Canceled")*'All Subscriptions'!C4:C103),0)</f>
        <v/>
      </c>
      <c r="F17" s="46">
        <f>IFERROR(SUMPRODUCT(('All Subscriptions'!B4:B103="Cloud Storage")*('All Subscriptions'!I4:I103&lt;&gt;"Canceled")*'All Subscriptions'!D4:D103),0)</f>
        <v/>
      </c>
    </row>
    <row r="18" ht="26" customHeight="1">
      <c r="B18" s="20" t="inlineStr">
        <is>
          <t>Music</t>
        </is>
      </c>
      <c r="C18" s="47">
        <f>COUNTIFS('All Subscriptions'!B4:B103,"Music",'All Subscriptions'!I4:I103,"&lt;&gt;Canceled")</f>
        <v/>
      </c>
      <c r="D18" s="35" t="n"/>
      <c r="E18" s="48">
        <f>IFERROR(SUMPRODUCT(('All Subscriptions'!B4:B103="Music")*('All Subscriptions'!I4:I103&lt;&gt;"Canceled")*'All Subscriptions'!C4:C103),0)</f>
        <v/>
      </c>
      <c r="F18" s="48">
        <f>IFERROR(SUMPRODUCT(('All Subscriptions'!B4:B103="Music")*('All Subscriptions'!I4:I103&lt;&gt;"Canceled")*'All Subscriptions'!D4:D103),0)</f>
        <v/>
      </c>
    </row>
    <row r="19" ht="26" customHeight="1">
      <c r="B19" s="22" t="inlineStr">
        <is>
          <t>Gaming</t>
        </is>
      </c>
      <c r="C19" s="49">
        <f>IFERROR(COUNTIFS('All Subscriptions'!B4:B103,"Gaming",'All Subscriptions'!I4:I103,"&lt;&gt;Canceled"),0)</f>
        <v/>
      </c>
      <c r="D19" s="35" t="n"/>
      <c r="E19" s="50">
        <f>IFERROR(SUMPRODUCT(('All Subscriptions'!B4:B103="Gaming")*('All Subscriptions'!I4:I103&lt;&gt;"Canceled")*'All Subscriptions'!C4:C103),0)</f>
        <v/>
      </c>
      <c r="F19" s="50">
        <f>IFERROR(SUMPRODUCT(('All Subscriptions'!B4:B103="Gaming")*('All Subscriptions'!I4:I103&lt;&gt;"Canceled")*'All Subscriptions'!D4:D103),0)</f>
        <v/>
      </c>
    </row>
    <row r="20" ht="26" customHeight="1">
      <c r="B20" s="24" t="inlineStr">
        <is>
          <t>Productivity</t>
        </is>
      </c>
      <c r="C20" s="51">
        <f>COUNTIFS('All Subscriptions'!B4:B103,"Productivity",'All Subscriptions'!I4:I103,"&lt;&gt;Canceled")</f>
        <v/>
      </c>
      <c r="D20" s="35" t="n"/>
      <c r="E20" s="52">
        <f>IFERROR(SUMPRODUCT(('All Subscriptions'!B4:B103="Productivity")*('All Subscriptions'!I4:I103&lt;&gt;"Canceled")*'All Subscriptions'!C4:C103),0)</f>
        <v/>
      </c>
      <c r="F20" s="52">
        <f>IFERROR(SUMPRODUCT(('All Subscriptions'!B4:B103="Productivity")*('All Subscriptions'!I4:I103&lt;&gt;"Canceled")*'All Subscriptions'!D4:D103),0)</f>
        <v/>
      </c>
    </row>
    <row r="21" ht="26" customHeight="1">
      <c r="B21" s="26" t="inlineStr">
        <is>
          <t>Other</t>
        </is>
      </c>
      <c r="C21" s="53">
        <f>COUNTIFS('All Subscriptions'!B4:B103,"Other",'All Subscriptions'!I4:I103,"&lt;&gt;Canceled")</f>
        <v/>
      </c>
      <c r="D21" s="35" t="n"/>
      <c r="E21" s="54">
        <f>IFERROR(SUMPRODUCT(('All Subscriptions'!B4:B103="Other")*('All Subscriptions'!I4:I103&lt;&gt;"Canceled")*'All Subscriptions'!C4:C103),0)</f>
        <v/>
      </c>
      <c r="F21" s="54">
        <f>IFERROR(SUMPRODUCT(('All Subscriptions'!B4:B103="Other")*('All Subscriptions'!I4:I103&lt;&gt;"Canceled")*'All Subscriptions'!D4:D103),0)</f>
        <v/>
      </c>
    </row>
    <row r="22" ht="28" customHeight="1">
      <c r="B22" s="55" t="inlineStr">
        <is>
          <t>TOTAL</t>
        </is>
      </c>
      <c r="C22" s="56">
        <f>SUM(C12:C21)</f>
        <v/>
      </c>
      <c r="D22" s="2" t="n"/>
      <c r="E22" s="57">
        <f>SUM(E12:E21)</f>
        <v/>
      </c>
      <c r="F22" s="57">
        <f>SUM(F12:F21)</f>
        <v/>
      </c>
    </row>
    <row r="24">
      <c r="B24" s="4" t="inlineStr">
        <is>
          <t>POTENTIAL SAVINGS -- Subscriptions Marked "Consider Canceling"</t>
        </is>
      </c>
      <c r="C24" s="123" t="n"/>
      <c r="D24" s="123" t="n"/>
      <c r="E24" s="123" t="n"/>
      <c r="F24" s="121" t="n"/>
    </row>
    <row r="25">
      <c r="B25" s="58" t="inlineStr">
        <is>
          <t>Service Name</t>
        </is>
      </c>
      <c r="C25" s="58" t="inlineStr">
        <is>
          <t>Category</t>
        </is>
      </c>
      <c r="D25" s="58" t="inlineStr"/>
      <c r="E25" s="58" t="inlineStr">
        <is>
          <t>Monthly Cost</t>
        </is>
      </c>
      <c r="F25" s="58" t="inlineStr">
        <is>
          <t>Annual Cost</t>
        </is>
      </c>
    </row>
    <row r="26" ht="24" customHeight="1">
      <c r="B26" s="59">
        <f>IF(COUNTIF('All Subscriptions'!I4:I103,"Consider Canceling")&gt;=1,IFERROR(INDEX('All Subscriptions'!A4:A103,SMALL(IF('All Subscriptions'!I4:I103="Consider Canceling",ROW('All Subscriptions'!I4:I103)-3),1)),""),"")</f>
        <v/>
      </c>
      <c r="C26" s="60">
        <f>IF(COUNTIF('All Subscriptions'!I4:I103,"Consider Canceling")&gt;=1,IFERROR(INDEX('All Subscriptions'!B4:B103,SMALL(IF('All Subscriptions'!I4:I103="Consider Canceling",ROW('All Subscriptions'!I4:I103)-3),1)),""),"")</f>
        <v/>
      </c>
      <c r="D26" s="35" t="n"/>
      <c r="E26" s="124">
        <f>IF(COUNTIF('All Subscriptions'!I4:I103,"Consider Canceling")&gt;=1,IFERROR(INDEX('All Subscriptions'!C4:C103,SMALL(IF('All Subscriptions'!I4:I103="Consider Canceling",ROW('All Subscriptions'!I4:I103)-3),1)),""),"")</f>
        <v/>
      </c>
      <c r="F26" s="124">
        <f>IF(COUNTIF('All Subscriptions'!I4:I103,"Consider Canceling")&gt;=1,IFERROR(INDEX('All Subscriptions'!D4:D103,SMALL(IF('All Subscriptions'!I4:I103="Consider Canceling",ROW('All Subscriptions'!I4:I103)-3),1)),""),"")</f>
        <v/>
      </c>
    </row>
    <row r="27" ht="24" customHeight="1">
      <c r="B27" s="61">
        <f>IF(COUNTIF('All Subscriptions'!I4:I103,"Consider Canceling")&gt;=2,IFERROR(INDEX('All Subscriptions'!A4:A103,SMALL(IF('All Subscriptions'!I4:I103="Consider Canceling",ROW('All Subscriptions'!I4:I103)-3),2)),""),"")</f>
        <v/>
      </c>
      <c r="C27" s="62">
        <f>IF(COUNTIF('All Subscriptions'!I4:I103,"Consider Canceling")&gt;=2,IFERROR(INDEX('All Subscriptions'!B4:B103,SMALL(IF('All Subscriptions'!I4:I103="Consider Canceling",ROW('All Subscriptions'!I4:I103)-3),2)),""),"")</f>
        <v/>
      </c>
      <c r="D27" s="35" t="n"/>
      <c r="E27" s="125">
        <f>IF(COUNTIF('All Subscriptions'!I4:I103,"Consider Canceling")&gt;=2,IFERROR(INDEX('All Subscriptions'!C4:C103,SMALL(IF('All Subscriptions'!I4:I103="Consider Canceling",ROW('All Subscriptions'!I4:I103)-3),2)),""),"")</f>
        <v/>
      </c>
      <c r="F27" s="125">
        <f>IF(COUNTIF('All Subscriptions'!I4:I103,"Consider Canceling")&gt;=2,IFERROR(INDEX('All Subscriptions'!D4:D103,SMALL(IF('All Subscriptions'!I4:I103="Consider Canceling",ROW('All Subscriptions'!I4:I103)-3),2)),""),"")</f>
        <v/>
      </c>
    </row>
    <row r="28" ht="24" customHeight="1">
      <c r="B28" s="59">
        <f>IF(COUNTIF('All Subscriptions'!I4:I103,"Consider Canceling")&gt;=3,IFERROR(INDEX('All Subscriptions'!A4:A103,SMALL(IF('All Subscriptions'!I4:I103="Consider Canceling",ROW('All Subscriptions'!I4:I103)-3),3)),""),"")</f>
        <v/>
      </c>
      <c r="C28" s="60">
        <f>IF(COUNTIF('All Subscriptions'!I4:I103,"Consider Canceling")&gt;=3,IFERROR(INDEX('All Subscriptions'!B4:B103,SMALL(IF('All Subscriptions'!I4:I103="Consider Canceling",ROW('All Subscriptions'!I4:I103)-3),3)),""),"")</f>
        <v/>
      </c>
      <c r="D28" s="35" t="n"/>
      <c r="E28" s="124">
        <f>IF(COUNTIF('All Subscriptions'!I4:I103,"Consider Canceling")&gt;=3,IFERROR(INDEX('All Subscriptions'!C4:C103,SMALL(IF('All Subscriptions'!I4:I103="Consider Canceling",ROW('All Subscriptions'!I4:I103)-3),3)),""),"")</f>
        <v/>
      </c>
      <c r="F28" s="124">
        <f>IF(COUNTIF('All Subscriptions'!I4:I103,"Consider Canceling")&gt;=3,IFERROR(INDEX('All Subscriptions'!D4:D103,SMALL(IF('All Subscriptions'!I4:I103="Consider Canceling",ROW('All Subscriptions'!I4:I103)-3),3)),""),"")</f>
        <v/>
      </c>
    </row>
    <row r="29" ht="24" customHeight="1">
      <c r="B29" s="61">
        <f>IF(COUNTIF('All Subscriptions'!I4:I103,"Consider Canceling")&gt;=4,IFERROR(INDEX('All Subscriptions'!A4:A103,SMALL(IF('All Subscriptions'!I4:I103="Consider Canceling",ROW('All Subscriptions'!I4:I103)-3),4)),""),"")</f>
        <v/>
      </c>
      <c r="C29" s="62">
        <f>IF(COUNTIF('All Subscriptions'!I4:I103,"Consider Canceling")&gt;=4,IFERROR(INDEX('All Subscriptions'!B4:B103,SMALL(IF('All Subscriptions'!I4:I103="Consider Canceling",ROW('All Subscriptions'!I4:I103)-3),4)),""),"")</f>
        <v/>
      </c>
      <c r="D29" s="35" t="n"/>
      <c r="E29" s="125">
        <f>IF(COUNTIF('All Subscriptions'!I4:I103,"Consider Canceling")&gt;=4,IFERROR(INDEX('All Subscriptions'!C4:C103,SMALL(IF('All Subscriptions'!I4:I103="Consider Canceling",ROW('All Subscriptions'!I4:I103)-3),4)),""),"")</f>
        <v/>
      </c>
      <c r="F29" s="125">
        <f>IF(COUNTIF('All Subscriptions'!I4:I103,"Consider Canceling")&gt;=4,IFERROR(INDEX('All Subscriptions'!D4:D103,SMALL(IF('All Subscriptions'!I4:I103="Consider Canceling",ROW('All Subscriptions'!I4:I103)-3),4)),""),"")</f>
        <v/>
      </c>
    </row>
    <row r="30" ht="24" customHeight="1">
      <c r="B30" s="59">
        <f>IF(COUNTIF('All Subscriptions'!I4:I103,"Consider Canceling")&gt;=5,IFERROR(INDEX('All Subscriptions'!A4:A103,SMALL(IF('All Subscriptions'!I4:I103="Consider Canceling",ROW('All Subscriptions'!I4:I103)-3),5)),""),"")</f>
        <v/>
      </c>
      <c r="C30" s="60">
        <f>IF(COUNTIF('All Subscriptions'!I4:I103,"Consider Canceling")&gt;=5,IFERROR(INDEX('All Subscriptions'!B4:B103,SMALL(IF('All Subscriptions'!I4:I103="Consider Canceling",ROW('All Subscriptions'!I4:I103)-3),5)),""),"")</f>
        <v/>
      </c>
      <c r="D30" s="35" t="n"/>
      <c r="E30" s="124">
        <f>IF(COUNTIF('All Subscriptions'!I4:I103,"Consider Canceling")&gt;=5,IFERROR(INDEX('All Subscriptions'!C4:C103,SMALL(IF('All Subscriptions'!I4:I103="Consider Canceling",ROW('All Subscriptions'!I4:I103)-3),5)),""),"")</f>
        <v/>
      </c>
      <c r="F30" s="124">
        <f>IF(COUNTIF('All Subscriptions'!I4:I103,"Consider Canceling")&gt;=5,IFERROR(INDEX('All Subscriptions'!D4:D103,SMALL(IF('All Subscriptions'!I4:I103="Consider Canceling",ROW('All Subscriptions'!I4:I103)-3),5)),""),"")</f>
        <v/>
      </c>
    </row>
    <row r="31" ht="24" customHeight="1">
      <c r="B31" s="61">
        <f>IF(COUNTIF('All Subscriptions'!I4:I103,"Consider Canceling")&gt;=6,IFERROR(INDEX('All Subscriptions'!A4:A103,SMALL(IF('All Subscriptions'!I4:I103="Consider Canceling",ROW('All Subscriptions'!I4:I103)-3),6)),""),"")</f>
        <v/>
      </c>
      <c r="C31" s="62">
        <f>IF(COUNTIF('All Subscriptions'!I4:I103,"Consider Canceling")&gt;=6,IFERROR(INDEX('All Subscriptions'!B4:B103,SMALL(IF('All Subscriptions'!I4:I103="Consider Canceling",ROW('All Subscriptions'!I4:I103)-3),6)),""),"")</f>
        <v/>
      </c>
      <c r="D31" s="35" t="n"/>
      <c r="E31" s="125">
        <f>IF(COUNTIF('All Subscriptions'!I4:I103,"Consider Canceling")&gt;=6,IFERROR(INDEX('All Subscriptions'!C4:C103,SMALL(IF('All Subscriptions'!I4:I103="Consider Canceling",ROW('All Subscriptions'!I4:I103)-3),6)),""),"")</f>
        <v/>
      </c>
      <c r="F31" s="125">
        <f>IF(COUNTIF('All Subscriptions'!I4:I103,"Consider Canceling")&gt;=6,IFERROR(INDEX('All Subscriptions'!D4:D103,SMALL(IF('All Subscriptions'!I4:I103="Consider Canceling",ROW('All Subscriptions'!I4:I103)-3),6)),""),"")</f>
        <v/>
      </c>
    </row>
    <row r="32" ht="24" customHeight="1">
      <c r="B32" s="59">
        <f>IF(COUNTIF('All Subscriptions'!I4:I103,"Consider Canceling")&gt;=7,IFERROR(INDEX('All Subscriptions'!A4:A103,SMALL(IF('All Subscriptions'!I4:I103="Consider Canceling",ROW('All Subscriptions'!I4:I103)-3),7)),""),"")</f>
        <v/>
      </c>
      <c r="C32" s="60">
        <f>IF(COUNTIF('All Subscriptions'!I4:I103,"Consider Canceling")&gt;=7,IFERROR(INDEX('All Subscriptions'!B4:B103,SMALL(IF('All Subscriptions'!I4:I103="Consider Canceling",ROW('All Subscriptions'!I4:I103)-3),7)),""),"")</f>
        <v/>
      </c>
      <c r="D32" s="35" t="n"/>
      <c r="E32" s="124">
        <f>IF(COUNTIF('All Subscriptions'!I4:I103,"Consider Canceling")&gt;=7,IFERROR(INDEX('All Subscriptions'!C4:C103,SMALL(IF('All Subscriptions'!I4:I103="Consider Canceling",ROW('All Subscriptions'!I4:I103)-3),7)),""),"")</f>
        <v/>
      </c>
      <c r="F32" s="124">
        <f>IF(COUNTIF('All Subscriptions'!I4:I103,"Consider Canceling")&gt;=7,IFERROR(INDEX('All Subscriptions'!D4:D103,SMALL(IF('All Subscriptions'!I4:I103="Consider Canceling",ROW('All Subscriptions'!I4:I103)-3),7)),""),"")</f>
        <v/>
      </c>
    </row>
    <row r="33" ht="24" customHeight="1">
      <c r="B33" s="61">
        <f>IF(COUNTIF('All Subscriptions'!I4:I103,"Consider Canceling")&gt;=8,IFERROR(INDEX('All Subscriptions'!A4:A103,SMALL(IF('All Subscriptions'!I4:I103="Consider Canceling",ROW('All Subscriptions'!I4:I103)-3),8)),""),"")</f>
        <v/>
      </c>
      <c r="C33" s="62">
        <f>IF(COUNTIF('All Subscriptions'!I4:I103,"Consider Canceling")&gt;=8,IFERROR(INDEX('All Subscriptions'!B4:B103,SMALL(IF('All Subscriptions'!I4:I103="Consider Canceling",ROW('All Subscriptions'!I4:I103)-3),8)),""),"")</f>
        <v/>
      </c>
      <c r="D33" s="35" t="n"/>
      <c r="E33" s="125">
        <f>IF(COUNTIF('All Subscriptions'!I4:I103,"Consider Canceling")&gt;=8,IFERROR(INDEX('All Subscriptions'!C4:C103,SMALL(IF('All Subscriptions'!I4:I103="Consider Canceling",ROW('All Subscriptions'!I4:I103)-3),8)),""),"")</f>
        <v/>
      </c>
      <c r="F33" s="125">
        <f>IF(COUNTIF('All Subscriptions'!I4:I103,"Consider Canceling")&gt;=8,IFERROR(INDEX('All Subscriptions'!D4:D103,SMALL(IF('All Subscriptions'!I4:I103="Consider Canceling",ROW('All Subscriptions'!I4:I103)-3),8)),""),"")</f>
        <v/>
      </c>
    </row>
    <row r="34" ht="24" customHeight="1">
      <c r="B34" s="59">
        <f>IF(COUNTIF('All Subscriptions'!I4:I103,"Consider Canceling")&gt;=9,IFERROR(INDEX('All Subscriptions'!A4:A103,SMALL(IF('All Subscriptions'!I4:I103="Consider Canceling",ROW('All Subscriptions'!I4:I103)-3),9)),""),"")</f>
        <v/>
      </c>
      <c r="C34" s="60">
        <f>IF(COUNTIF('All Subscriptions'!I4:I103,"Consider Canceling")&gt;=9,IFERROR(INDEX('All Subscriptions'!B4:B103,SMALL(IF('All Subscriptions'!I4:I103="Consider Canceling",ROW('All Subscriptions'!I4:I103)-3),9)),""),"")</f>
        <v/>
      </c>
      <c r="D34" s="35" t="n"/>
      <c r="E34" s="124">
        <f>IF(COUNTIF('All Subscriptions'!I4:I103,"Consider Canceling")&gt;=9,IFERROR(INDEX('All Subscriptions'!C4:C103,SMALL(IF('All Subscriptions'!I4:I103="Consider Canceling",ROW('All Subscriptions'!I4:I103)-3),9)),""),"")</f>
        <v/>
      </c>
      <c r="F34" s="124">
        <f>IF(COUNTIF('All Subscriptions'!I4:I103,"Consider Canceling")&gt;=9,IFERROR(INDEX('All Subscriptions'!D4:D103,SMALL(IF('All Subscriptions'!I4:I103="Consider Canceling",ROW('All Subscriptions'!I4:I103)-3),9)),""),"")</f>
        <v/>
      </c>
    </row>
    <row r="35" ht="24" customHeight="1">
      <c r="B35" s="61">
        <f>IF(COUNTIF('All Subscriptions'!I4:I103,"Consider Canceling")&gt;=10,IFERROR(INDEX('All Subscriptions'!A4:A103,SMALL(IF('All Subscriptions'!I4:I103="Consider Canceling",ROW('All Subscriptions'!I4:I103)-3),10)),""),"")</f>
        <v/>
      </c>
      <c r="C35" s="62">
        <f>IF(COUNTIF('All Subscriptions'!I4:I103,"Consider Canceling")&gt;=10,IFERROR(INDEX('All Subscriptions'!B4:B103,SMALL(IF('All Subscriptions'!I4:I103="Consider Canceling",ROW('All Subscriptions'!I4:I103)-3),10)),""),"")</f>
        <v/>
      </c>
      <c r="D35" s="35" t="n"/>
      <c r="E35" s="125">
        <f>IF(COUNTIF('All Subscriptions'!I4:I103,"Consider Canceling")&gt;=10,IFERROR(INDEX('All Subscriptions'!C4:C103,SMALL(IF('All Subscriptions'!I4:I103="Consider Canceling",ROW('All Subscriptions'!I4:I103)-3),10)),""),"")</f>
        <v/>
      </c>
      <c r="F35" s="125">
        <f>IF(COUNTIF('All Subscriptions'!I4:I103,"Consider Canceling")&gt;=10,IFERROR(INDEX('All Subscriptions'!D4:D103,SMALL(IF('All Subscriptions'!I4:I103="Consider Canceling",ROW('All Subscriptions'!I4:I103)-3),10)),""),"")</f>
        <v/>
      </c>
    </row>
    <row r="36" ht="24" customHeight="1">
      <c r="B36" s="59">
        <f>IF(COUNTIF('All Subscriptions'!I4:I103,"Consider Canceling")&gt;=11,IFERROR(INDEX('All Subscriptions'!A4:A103,SMALL(IF('All Subscriptions'!I4:I103="Consider Canceling",ROW('All Subscriptions'!I4:I103)-3),11)),""),"")</f>
        <v/>
      </c>
      <c r="C36" s="60">
        <f>IF(COUNTIF('All Subscriptions'!I4:I103,"Consider Canceling")&gt;=11,IFERROR(INDEX('All Subscriptions'!B4:B103,SMALL(IF('All Subscriptions'!I4:I103="Consider Canceling",ROW('All Subscriptions'!I4:I103)-3),11)),""),"")</f>
        <v/>
      </c>
      <c r="D36" s="35" t="n"/>
      <c r="E36" s="124">
        <f>IF(COUNTIF('All Subscriptions'!I4:I103,"Consider Canceling")&gt;=11,IFERROR(INDEX('All Subscriptions'!C4:C103,SMALL(IF('All Subscriptions'!I4:I103="Consider Canceling",ROW('All Subscriptions'!I4:I103)-3),11)),""),"")</f>
        <v/>
      </c>
      <c r="F36" s="124">
        <f>IF(COUNTIF('All Subscriptions'!I4:I103,"Consider Canceling")&gt;=11,IFERROR(INDEX('All Subscriptions'!D4:D103,SMALL(IF('All Subscriptions'!I4:I103="Consider Canceling",ROW('All Subscriptions'!I4:I103)-3),11)),""),"")</f>
        <v/>
      </c>
    </row>
    <row r="37" ht="24" customHeight="1">
      <c r="B37" s="61">
        <f>IF(COUNTIF('All Subscriptions'!I4:I103,"Consider Canceling")&gt;=12,IFERROR(INDEX('All Subscriptions'!A4:A103,SMALL(IF('All Subscriptions'!I4:I103="Consider Canceling",ROW('All Subscriptions'!I4:I103)-3),12)),""),"")</f>
        <v/>
      </c>
      <c r="C37" s="62">
        <f>IF(COUNTIF('All Subscriptions'!I4:I103,"Consider Canceling")&gt;=12,IFERROR(INDEX('All Subscriptions'!B4:B103,SMALL(IF('All Subscriptions'!I4:I103="Consider Canceling",ROW('All Subscriptions'!I4:I103)-3),12)),""),"")</f>
        <v/>
      </c>
      <c r="D37" s="35" t="n"/>
      <c r="E37" s="125">
        <f>IF(COUNTIF('All Subscriptions'!I4:I103,"Consider Canceling")&gt;=12,IFERROR(INDEX('All Subscriptions'!C4:C103,SMALL(IF('All Subscriptions'!I4:I103="Consider Canceling",ROW('All Subscriptions'!I4:I103)-3),12)),""),"")</f>
        <v/>
      </c>
      <c r="F37" s="125">
        <f>IF(COUNTIF('All Subscriptions'!I4:I103,"Consider Canceling")&gt;=12,IFERROR(INDEX('All Subscriptions'!D4:D103,SMALL(IF('All Subscriptions'!I4:I103="Consider Canceling",ROW('All Subscriptions'!I4:I103)-3),12)),""),"")</f>
        <v/>
      </c>
    </row>
    <row r="38" ht="24" customHeight="1">
      <c r="B38" s="59">
        <f>IF(COUNTIF('All Subscriptions'!I4:I103,"Consider Canceling")&gt;=13,IFERROR(INDEX('All Subscriptions'!A4:A103,SMALL(IF('All Subscriptions'!I4:I103="Consider Canceling",ROW('All Subscriptions'!I4:I103)-3),13)),""),"")</f>
        <v/>
      </c>
      <c r="C38" s="60">
        <f>IF(COUNTIF('All Subscriptions'!I4:I103,"Consider Canceling")&gt;=13,IFERROR(INDEX('All Subscriptions'!B4:B103,SMALL(IF('All Subscriptions'!I4:I103="Consider Canceling",ROW('All Subscriptions'!I4:I103)-3),13)),""),"")</f>
        <v/>
      </c>
      <c r="D38" s="35" t="n"/>
      <c r="E38" s="124">
        <f>IF(COUNTIF('All Subscriptions'!I4:I103,"Consider Canceling")&gt;=13,IFERROR(INDEX('All Subscriptions'!C4:C103,SMALL(IF('All Subscriptions'!I4:I103="Consider Canceling",ROW('All Subscriptions'!I4:I103)-3),13)),""),"")</f>
        <v/>
      </c>
      <c r="F38" s="124">
        <f>IF(COUNTIF('All Subscriptions'!I4:I103,"Consider Canceling")&gt;=13,IFERROR(INDEX('All Subscriptions'!D4:D103,SMALL(IF('All Subscriptions'!I4:I103="Consider Canceling",ROW('All Subscriptions'!I4:I103)-3),13)),""),"")</f>
        <v/>
      </c>
    </row>
    <row r="39" ht="24" customHeight="1">
      <c r="B39" s="61">
        <f>IF(COUNTIF('All Subscriptions'!I4:I103,"Consider Canceling")&gt;=14,IFERROR(INDEX('All Subscriptions'!A4:A103,SMALL(IF('All Subscriptions'!I4:I103="Consider Canceling",ROW('All Subscriptions'!I4:I103)-3),14)),""),"")</f>
        <v/>
      </c>
      <c r="C39" s="62">
        <f>IF(COUNTIF('All Subscriptions'!I4:I103,"Consider Canceling")&gt;=14,IFERROR(INDEX('All Subscriptions'!B4:B103,SMALL(IF('All Subscriptions'!I4:I103="Consider Canceling",ROW('All Subscriptions'!I4:I103)-3),14)),""),"")</f>
        <v/>
      </c>
      <c r="D39" s="35" t="n"/>
      <c r="E39" s="125">
        <f>IF(COUNTIF('All Subscriptions'!I4:I103,"Consider Canceling")&gt;=14,IFERROR(INDEX('All Subscriptions'!C4:C103,SMALL(IF('All Subscriptions'!I4:I103="Consider Canceling",ROW('All Subscriptions'!I4:I103)-3),14)),""),"")</f>
        <v/>
      </c>
      <c r="F39" s="125">
        <f>IF(COUNTIF('All Subscriptions'!I4:I103,"Consider Canceling")&gt;=14,IFERROR(INDEX('All Subscriptions'!D4:D103,SMALL(IF('All Subscriptions'!I4:I103="Consider Canceling",ROW('All Subscriptions'!I4:I103)-3),14)),""),"")</f>
        <v/>
      </c>
    </row>
    <row r="40" ht="24" customHeight="1">
      <c r="B40" s="59">
        <f>IF(COUNTIF('All Subscriptions'!I4:I103,"Consider Canceling")&gt;=15,IFERROR(INDEX('All Subscriptions'!A4:A103,SMALL(IF('All Subscriptions'!I4:I103="Consider Canceling",ROW('All Subscriptions'!I4:I103)-3),15)),""),"")</f>
        <v/>
      </c>
      <c r="C40" s="60">
        <f>IF(COUNTIF('All Subscriptions'!I4:I103,"Consider Canceling")&gt;=15,IFERROR(INDEX('All Subscriptions'!B4:B103,SMALL(IF('All Subscriptions'!I4:I103="Consider Canceling",ROW('All Subscriptions'!I4:I103)-3),15)),""),"")</f>
        <v/>
      </c>
      <c r="D40" s="35" t="n"/>
      <c r="E40" s="124">
        <f>IF(COUNTIF('All Subscriptions'!I4:I103,"Consider Canceling")&gt;=15,IFERROR(INDEX('All Subscriptions'!C4:C103,SMALL(IF('All Subscriptions'!I4:I103="Consider Canceling",ROW('All Subscriptions'!I4:I103)-3),15)),""),"")</f>
        <v/>
      </c>
      <c r="F40" s="124">
        <f>IF(COUNTIF('All Subscriptions'!I4:I103,"Consider Canceling")&gt;=15,IFERROR(INDEX('All Subscriptions'!D4:D103,SMALL(IF('All Subscriptions'!I4:I103="Consider Canceling",ROW('All Subscriptions'!I4:I103)-3),15)),""),"")</f>
        <v/>
      </c>
    </row>
    <row r="42" ht="30" customHeight="1">
      <c r="B42" s="64" t="inlineStr">
        <is>
          <t>TOTAL POTENTIAL SAVINGS</t>
        </is>
      </c>
      <c r="C42" s="65" t="n"/>
      <c r="D42" s="65" t="n"/>
      <c r="E42" s="126">
        <f>IF(COUNTIF('All Subscriptions'!I4:I103,"Consider Canceling")=0,"",IFERROR(SUMPRODUCT(('All Subscriptions'!I4:I103="Consider Canceling")*'All Subscriptions'!C4:C103),0))</f>
        <v/>
      </c>
      <c r="F42" s="126">
        <f>IF(COUNTIF('All Subscriptions'!I4:I103,"Consider Canceling")=0,"",IFERROR(SUMPRODUCT(('All Subscriptions'!I4:I103="Consider Canceling")*'All Subscriptions'!D4:D103),0))</f>
        <v/>
      </c>
    </row>
  </sheetData>
  <mergeCells count="6">
    <mergeCell ref="E4:F4"/>
    <mergeCell ref="B24:F24"/>
    <mergeCell ref="B10:F10"/>
    <mergeCell ref="A2:H2"/>
    <mergeCell ref="A1:H1"/>
    <mergeCell ref="B4:C4"/>
  </mergeCells>
  <conditionalFormatting sqref="E12:E21">
    <cfRule type="cellIs" priority="1" operator="greaterThan" dxfId="0">
      <formula>50</formula>
    </cfRule>
  </conditionalFormatting>
  <pageMargins left="0.4" right="0.4" top="0.4" bottom="0.4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 fitToPage="1"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15" customWidth="1" min="4" max="4"/>
    <col width="16" customWidth="1" min="5" max="5"/>
    <col width="18" customWidth="1" min="6" max="6"/>
    <col width="14" customWidth="1" min="7" max="7"/>
    <col width="18" customWidth="1" min="8" max="8"/>
    <col width="20" customWidth="1" min="9" max="9"/>
    <col width="30" customWidth="1" min="10" max="10"/>
  </cols>
  <sheetData>
    <row r="1" ht="42" customHeight="1">
      <c r="A1" s="67" t="inlineStr">
        <is>
          <t>ALL SUBSCRIPTIONS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1" t="n"/>
    </row>
    <row r="2" ht="26" customHeight="1">
      <c r="A2" s="29" t="inlineStr">
        <is>
          <t>Enter all your subscriptions below. Use the dropdowns for categories, billing cycles, and status.</t>
        </is>
      </c>
    </row>
    <row r="3" ht="30" customHeight="1">
      <c r="A3" s="68" t="inlineStr">
        <is>
          <t>Service Name</t>
        </is>
      </c>
      <c r="B3" s="68" t="inlineStr">
        <is>
          <t>Category</t>
        </is>
      </c>
      <c r="C3" s="68" t="inlineStr">
        <is>
          <t>Monthly Cost</t>
        </is>
      </c>
      <c r="D3" s="68" t="inlineStr">
        <is>
          <t>Annual Cost</t>
        </is>
      </c>
      <c r="E3" s="68" t="inlineStr">
        <is>
          <t>Billing Cycle</t>
        </is>
      </c>
      <c r="F3" s="68" t="inlineStr">
        <is>
          <t>Next Renewal Date</t>
        </is>
      </c>
      <c r="G3" s="68" t="inlineStr">
        <is>
          <t>Auto-Renew</t>
        </is>
      </c>
      <c r="H3" s="68" t="inlineStr">
        <is>
          <t>Payment Method</t>
        </is>
      </c>
      <c r="I3" s="68" t="inlineStr">
        <is>
          <t>Status</t>
        </is>
      </c>
      <c r="J3" s="68" t="inlineStr">
        <is>
          <t>Notes</t>
        </is>
      </c>
    </row>
    <row r="4" ht="26" customHeight="1">
      <c r="A4" s="69" t="n"/>
      <c r="B4" s="69" t="n"/>
      <c r="C4" s="70" t="n"/>
      <c r="D4" s="70">
        <f>IF(C4="",0,C4*12)</f>
        <v/>
      </c>
      <c r="E4" s="71" t="n"/>
      <c r="F4" s="72" t="n"/>
      <c r="G4" s="71" t="n"/>
      <c r="H4" s="69" t="n"/>
      <c r="I4" s="71" t="n"/>
      <c r="J4" s="69" t="n"/>
    </row>
    <row r="5" ht="26" customHeight="1">
      <c r="A5" s="61" t="n"/>
      <c r="B5" s="61" t="n"/>
      <c r="C5" s="63" t="n"/>
      <c r="D5" s="63">
        <f>IF(C5="",0,C5*12)</f>
        <v/>
      </c>
      <c r="E5" s="62" t="n"/>
      <c r="F5" s="73" t="n"/>
      <c r="G5" s="62" t="n"/>
      <c r="H5" s="61" t="n"/>
      <c r="I5" s="62" t="n"/>
      <c r="J5" s="61" t="n"/>
    </row>
    <row r="6" ht="26" customHeight="1">
      <c r="A6" s="69" t="n"/>
      <c r="B6" s="69" t="n"/>
      <c r="C6" s="70" t="n"/>
      <c r="D6" s="70">
        <f>IF(C6="",0,C6*12)</f>
        <v/>
      </c>
      <c r="E6" s="71" t="n"/>
      <c r="F6" s="72" t="n"/>
      <c r="G6" s="71" t="n"/>
      <c r="H6" s="69" t="n"/>
      <c r="I6" s="71" t="n"/>
      <c r="J6" s="69" t="n"/>
    </row>
    <row r="7" ht="26" customHeight="1">
      <c r="A7" s="61" t="n"/>
      <c r="B7" s="61" t="n"/>
      <c r="C7" s="63" t="n"/>
      <c r="D7" s="63">
        <f>IF(C7="",0,C7*12)</f>
        <v/>
      </c>
      <c r="E7" s="62" t="n"/>
      <c r="F7" s="73" t="n"/>
      <c r="G7" s="62" t="n"/>
      <c r="H7" s="61" t="n"/>
      <c r="I7" s="62" t="n"/>
      <c r="J7" s="61" t="n"/>
    </row>
    <row r="8" ht="26" customHeight="1">
      <c r="A8" s="69" t="n"/>
      <c r="B8" s="69" t="n"/>
      <c r="C8" s="70" t="n"/>
      <c r="D8" s="70">
        <f>IF(C8="",0,C8*12)</f>
        <v/>
      </c>
      <c r="E8" s="71" t="n"/>
      <c r="F8" s="72" t="n"/>
      <c r="G8" s="71" t="n"/>
      <c r="H8" s="69" t="n"/>
      <c r="I8" s="71" t="n"/>
      <c r="J8" s="69" t="n"/>
    </row>
    <row r="9" ht="26" customHeight="1">
      <c r="A9" s="61" t="n"/>
      <c r="B9" s="61" t="n"/>
      <c r="C9" s="63" t="n"/>
      <c r="D9" s="63">
        <f>IF(C9="",0,C9*12)</f>
        <v/>
      </c>
      <c r="E9" s="62" t="n"/>
      <c r="F9" s="73" t="n"/>
      <c r="G9" s="62" t="n"/>
      <c r="H9" s="61" t="n"/>
      <c r="I9" s="62" t="n"/>
      <c r="J9" s="61" t="n"/>
    </row>
    <row r="10" ht="26" customHeight="1">
      <c r="A10" s="69" t="n"/>
      <c r="B10" s="69" t="n"/>
      <c r="C10" s="70" t="n"/>
      <c r="D10" s="70">
        <f>IF(C10="",0,C10*12)</f>
        <v/>
      </c>
      <c r="E10" s="71" t="n"/>
      <c r="F10" s="72" t="n"/>
      <c r="G10" s="71" t="n"/>
      <c r="H10" s="69" t="n"/>
      <c r="I10" s="71" t="n"/>
      <c r="J10" s="69" t="n"/>
    </row>
    <row r="11" ht="26" customHeight="1">
      <c r="A11" s="61" t="n"/>
      <c r="B11" s="61" t="n"/>
      <c r="C11" s="63" t="n"/>
      <c r="D11" s="63">
        <f>IF(C11="",0,C11*12)</f>
        <v/>
      </c>
      <c r="E11" s="62" t="n"/>
      <c r="F11" s="73" t="n"/>
      <c r="G11" s="62" t="n"/>
      <c r="H11" s="61" t="n"/>
      <c r="I11" s="62" t="n"/>
      <c r="J11" s="61" t="n"/>
    </row>
    <row r="12" ht="26" customHeight="1">
      <c r="A12" s="69" t="n"/>
      <c r="B12" s="69" t="n"/>
      <c r="C12" s="70" t="n"/>
      <c r="D12" s="70">
        <f>IF(C12="",0,C12*12)</f>
        <v/>
      </c>
      <c r="E12" s="71" t="n"/>
      <c r="F12" s="72" t="n"/>
      <c r="G12" s="71" t="n"/>
      <c r="H12" s="69" t="n"/>
      <c r="I12" s="71" t="n"/>
      <c r="J12" s="69" t="n"/>
    </row>
    <row r="13" ht="26" customHeight="1">
      <c r="A13" s="61" t="n"/>
      <c r="B13" s="61" t="n"/>
      <c r="C13" s="63" t="n"/>
      <c r="D13" s="63">
        <f>IF(C13="",0,C13*12)</f>
        <v/>
      </c>
      <c r="E13" s="62" t="n"/>
      <c r="F13" s="73" t="n"/>
      <c r="G13" s="62" t="n"/>
      <c r="H13" s="61" t="n"/>
      <c r="I13" s="62" t="n"/>
      <c r="J13" s="61" t="n"/>
    </row>
    <row r="14" ht="26" customHeight="1">
      <c r="A14" s="69" t="n"/>
      <c r="B14" s="69" t="n"/>
      <c r="C14" s="70" t="n"/>
      <c r="D14" s="70">
        <f>IF(C14="",0,C14*12)</f>
        <v/>
      </c>
      <c r="E14" s="71" t="n"/>
      <c r="F14" s="72" t="n"/>
      <c r="G14" s="71" t="n"/>
      <c r="H14" s="69" t="n"/>
      <c r="I14" s="71" t="n"/>
      <c r="J14" s="69" t="n"/>
    </row>
    <row r="15" ht="26" customHeight="1">
      <c r="A15" s="61" t="n"/>
      <c r="B15" s="61" t="n"/>
      <c r="C15" s="63" t="n"/>
      <c r="D15" s="63">
        <f>IF(C15="",0,C15*12)</f>
        <v/>
      </c>
      <c r="E15" s="62" t="n"/>
      <c r="F15" s="73" t="n"/>
      <c r="G15" s="62" t="n"/>
      <c r="H15" s="61" t="n"/>
      <c r="I15" s="62" t="n"/>
      <c r="J15" s="61" t="n"/>
    </row>
    <row r="16" ht="26" customHeight="1">
      <c r="A16" s="69" t="n"/>
      <c r="B16" s="69" t="n"/>
      <c r="C16" s="70" t="n"/>
      <c r="D16" s="70">
        <f>IF(C16="",0,C16*12)</f>
        <v/>
      </c>
      <c r="E16" s="71" t="n"/>
      <c r="F16" s="72" t="n"/>
      <c r="G16" s="71" t="n"/>
      <c r="H16" s="69" t="n"/>
      <c r="I16" s="71" t="n"/>
      <c r="J16" s="69" t="n"/>
    </row>
    <row r="17" ht="26" customHeight="1">
      <c r="A17" s="61" t="n"/>
      <c r="B17" s="61" t="n"/>
      <c r="C17" s="63" t="n"/>
      <c r="D17" s="63">
        <f>IF(C17="",0,C17*12)</f>
        <v/>
      </c>
      <c r="E17" s="62" t="n"/>
      <c r="F17" s="73" t="n"/>
      <c r="G17" s="62" t="n"/>
      <c r="H17" s="61" t="n"/>
      <c r="I17" s="62" t="n"/>
      <c r="J17" s="61" t="n"/>
    </row>
    <row r="18" ht="26" customHeight="1">
      <c r="A18" s="69" t="n"/>
      <c r="B18" s="69" t="n"/>
      <c r="C18" s="70" t="n"/>
      <c r="D18" s="70">
        <f>IF(C18="",0,C18*12)</f>
        <v/>
      </c>
      <c r="E18" s="71" t="n"/>
      <c r="F18" s="72" t="n"/>
      <c r="G18" s="71" t="n"/>
      <c r="H18" s="69" t="n"/>
      <c r="I18" s="71" t="n"/>
      <c r="J18" s="69" t="n"/>
    </row>
    <row r="19" ht="26" customHeight="1">
      <c r="A19" s="61" t="n"/>
      <c r="B19" s="61" t="n"/>
      <c r="C19" s="63" t="n"/>
      <c r="D19" s="63">
        <f>IF(C19="",0,C19*12)</f>
        <v/>
      </c>
      <c r="E19" s="62" t="n"/>
      <c r="F19" s="73" t="n"/>
      <c r="G19" s="62" t="n"/>
      <c r="H19" s="61" t="n"/>
      <c r="I19" s="62" t="n"/>
      <c r="J19" s="61" t="n"/>
    </row>
    <row r="20" ht="26" customHeight="1">
      <c r="A20" s="69" t="n"/>
      <c r="B20" s="69" t="n"/>
      <c r="C20" s="70" t="n"/>
      <c r="D20" s="70">
        <f>IF(C20="",0,C20*12)</f>
        <v/>
      </c>
      <c r="E20" s="71" t="n"/>
      <c r="F20" s="72" t="n"/>
      <c r="G20" s="71" t="n"/>
      <c r="H20" s="69" t="n"/>
      <c r="I20" s="71" t="n"/>
      <c r="J20" s="69" t="n"/>
    </row>
    <row r="21" ht="26" customHeight="1">
      <c r="A21" s="61" t="n"/>
      <c r="B21" s="61" t="n"/>
      <c r="C21" s="63" t="n"/>
      <c r="D21" s="63">
        <f>IF(C21="",0,C21*12)</f>
        <v/>
      </c>
      <c r="E21" s="62" t="n"/>
      <c r="F21" s="73" t="n"/>
      <c r="G21" s="62" t="n"/>
      <c r="H21" s="61" t="n"/>
      <c r="I21" s="62" t="n"/>
      <c r="J21" s="61" t="n"/>
    </row>
    <row r="22" ht="26" customHeight="1">
      <c r="A22" s="69" t="n"/>
      <c r="B22" s="69" t="n"/>
      <c r="C22" s="70" t="n"/>
      <c r="D22" s="70">
        <f>IF(C22="",0,C22*12)</f>
        <v/>
      </c>
      <c r="E22" s="71" t="n"/>
      <c r="F22" s="72" t="n"/>
      <c r="G22" s="71" t="n"/>
      <c r="H22" s="69" t="n"/>
      <c r="I22" s="71" t="n"/>
      <c r="J22" s="69" t="n"/>
    </row>
    <row r="23" ht="26" customHeight="1">
      <c r="A23" s="61" t="n"/>
      <c r="B23" s="61" t="n"/>
      <c r="C23" s="63" t="n"/>
      <c r="D23" s="63">
        <f>IF(C23="",0,C23*12)</f>
        <v/>
      </c>
      <c r="E23" s="62" t="n"/>
      <c r="F23" s="73" t="n"/>
      <c r="G23" s="62" t="n"/>
      <c r="H23" s="61" t="n"/>
      <c r="I23" s="62" t="n"/>
      <c r="J23" s="61" t="n"/>
    </row>
    <row r="24" ht="26" customHeight="1">
      <c r="A24" s="69" t="n"/>
      <c r="B24" s="69" t="n"/>
      <c r="C24" s="70" t="n"/>
      <c r="D24" s="70">
        <f>IF(C24="",0,C24*12)</f>
        <v/>
      </c>
      <c r="E24" s="71" t="n"/>
      <c r="F24" s="72" t="n"/>
      <c r="G24" s="71" t="n"/>
      <c r="H24" s="69" t="n"/>
      <c r="I24" s="71" t="n"/>
      <c r="J24" s="69" t="n"/>
    </row>
    <row r="25" ht="26" customHeight="1">
      <c r="A25" s="61" t="n"/>
      <c r="B25" s="61" t="n"/>
      <c r="C25" s="63" t="n"/>
      <c r="D25" s="63">
        <f>IF(C25="",0,C25*12)</f>
        <v/>
      </c>
      <c r="E25" s="62" t="n"/>
      <c r="F25" s="73" t="n"/>
      <c r="G25" s="62" t="n"/>
      <c r="H25" s="61" t="n"/>
      <c r="I25" s="62" t="n"/>
      <c r="J25" s="61" t="n"/>
    </row>
    <row r="26" ht="26" customHeight="1">
      <c r="A26" s="69" t="n"/>
      <c r="B26" s="69" t="n"/>
      <c r="C26" s="70" t="n"/>
      <c r="D26" s="70">
        <f>IF(C26="",0,C26*12)</f>
        <v/>
      </c>
      <c r="E26" s="71" t="n"/>
      <c r="F26" s="72" t="n"/>
      <c r="G26" s="71" t="n"/>
      <c r="H26" s="69" t="n"/>
      <c r="I26" s="71" t="n"/>
      <c r="J26" s="69" t="n"/>
    </row>
    <row r="27" ht="26" customHeight="1">
      <c r="A27" s="61" t="n"/>
      <c r="B27" s="61" t="n"/>
      <c r="C27" s="63" t="n"/>
      <c r="D27" s="63">
        <f>IF(C27="",0,C27*12)</f>
        <v/>
      </c>
      <c r="E27" s="62" t="n"/>
      <c r="F27" s="73" t="n"/>
      <c r="G27" s="62" t="n"/>
      <c r="H27" s="61" t="n"/>
      <c r="I27" s="62" t="n"/>
      <c r="J27" s="61" t="n"/>
    </row>
    <row r="28" ht="26" customHeight="1">
      <c r="A28" s="69" t="n"/>
      <c r="B28" s="69" t="n"/>
      <c r="C28" s="70" t="n"/>
      <c r="D28" s="70">
        <f>IF(C28="",0,C28*12)</f>
        <v/>
      </c>
      <c r="E28" s="71" t="n"/>
      <c r="F28" s="72" t="n"/>
      <c r="G28" s="71" t="n"/>
      <c r="H28" s="69" t="n"/>
      <c r="I28" s="71" t="n"/>
      <c r="J28" s="69" t="n"/>
    </row>
    <row r="29" ht="26" customHeight="1">
      <c r="A29" s="61" t="n"/>
      <c r="B29" s="61" t="n"/>
      <c r="C29" s="63" t="n"/>
      <c r="D29" s="63">
        <f>IF(C29="",0,C29*12)</f>
        <v/>
      </c>
      <c r="E29" s="62" t="n"/>
      <c r="F29" s="73" t="n"/>
      <c r="G29" s="62" t="n"/>
      <c r="H29" s="61" t="n"/>
      <c r="I29" s="62" t="n"/>
      <c r="J29" s="61" t="n"/>
    </row>
    <row r="30" ht="26" customHeight="1">
      <c r="A30" s="69" t="n"/>
      <c r="B30" s="69" t="n"/>
      <c r="C30" s="70" t="n"/>
      <c r="D30" s="70">
        <f>IF(C30="",0,C30*12)</f>
        <v/>
      </c>
      <c r="E30" s="71" t="n"/>
      <c r="F30" s="72" t="n"/>
      <c r="G30" s="71" t="n"/>
      <c r="H30" s="69" t="n"/>
      <c r="I30" s="71" t="n"/>
      <c r="J30" s="69" t="n"/>
    </row>
    <row r="31" ht="26" customHeight="1">
      <c r="A31" s="61" t="n"/>
      <c r="B31" s="61" t="n"/>
      <c r="C31" s="63" t="n"/>
      <c r="D31" s="63">
        <f>IF(C31="",0,C31*12)</f>
        <v/>
      </c>
      <c r="E31" s="62" t="n"/>
      <c r="F31" s="73" t="n"/>
      <c r="G31" s="62" t="n"/>
      <c r="H31" s="61" t="n"/>
      <c r="I31" s="62" t="n"/>
      <c r="J31" s="61" t="n"/>
    </row>
    <row r="32" ht="26" customHeight="1">
      <c r="A32" s="69" t="n"/>
      <c r="B32" s="69" t="n"/>
      <c r="C32" s="70" t="n"/>
      <c r="D32" s="70">
        <f>IF(C32="",0,C32*12)</f>
        <v/>
      </c>
      <c r="E32" s="71" t="n"/>
      <c r="F32" s="72" t="n"/>
      <c r="G32" s="71" t="n"/>
      <c r="H32" s="69" t="n"/>
      <c r="I32" s="71" t="n"/>
      <c r="J32" s="69" t="n"/>
    </row>
    <row r="33" ht="26" customHeight="1">
      <c r="A33" s="61" t="n"/>
      <c r="B33" s="61" t="n"/>
      <c r="C33" s="63" t="n"/>
      <c r="D33" s="63">
        <f>IF(C33="",0,C33*12)</f>
        <v/>
      </c>
      <c r="E33" s="62" t="n"/>
      <c r="F33" s="73" t="n"/>
      <c r="G33" s="62" t="n"/>
      <c r="H33" s="61" t="n"/>
      <c r="I33" s="62" t="n"/>
      <c r="J33" s="61" t="n"/>
    </row>
    <row r="34" ht="26" customHeight="1">
      <c r="A34" s="69" t="n"/>
      <c r="B34" s="69" t="n"/>
      <c r="C34" s="70" t="n"/>
      <c r="D34" s="70">
        <f>IF(C34="",0,C34*12)</f>
        <v/>
      </c>
      <c r="E34" s="71" t="n"/>
      <c r="F34" s="72" t="n"/>
      <c r="G34" s="71" t="n"/>
      <c r="H34" s="69" t="n"/>
      <c r="I34" s="71" t="n"/>
      <c r="J34" s="69" t="n"/>
    </row>
    <row r="35" ht="26" customHeight="1">
      <c r="A35" s="61" t="n"/>
      <c r="B35" s="61" t="n"/>
      <c r="C35" s="63" t="n"/>
      <c r="D35" s="63">
        <f>IF(C35="",0,C35*12)</f>
        <v/>
      </c>
      <c r="E35" s="62" t="n"/>
      <c r="F35" s="73" t="n"/>
      <c r="G35" s="62" t="n"/>
      <c r="H35" s="61" t="n"/>
      <c r="I35" s="62" t="n"/>
      <c r="J35" s="61" t="n"/>
    </row>
    <row r="36" ht="26" customHeight="1">
      <c r="A36" s="69" t="n"/>
      <c r="B36" s="69" t="n"/>
      <c r="C36" s="70" t="n"/>
      <c r="D36" s="70">
        <f>IF(C36="",0,C36*12)</f>
        <v/>
      </c>
      <c r="E36" s="71" t="n"/>
      <c r="F36" s="72" t="n"/>
      <c r="G36" s="71" t="n"/>
      <c r="H36" s="69" t="n"/>
      <c r="I36" s="71" t="n"/>
      <c r="J36" s="69" t="n"/>
    </row>
    <row r="37" ht="26" customHeight="1">
      <c r="A37" s="61" t="n"/>
      <c r="B37" s="61" t="n"/>
      <c r="C37" s="63" t="n"/>
      <c r="D37" s="63">
        <f>IF(C37="",0,C37*12)</f>
        <v/>
      </c>
      <c r="E37" s="62" t="n"/>
      <c r="F37" s="73" t="n"/>
      <c r="G37" s="62" t="n"/>
      <c r="H37" s="61" t="n"/>
      <c r="I37" s="62" t="n"/>
      <c r="J37" s="61" t="n"/>
    </row>
    <row r="38" ht="26" customHeight="1">
      <c r="A38" s="69" t="n"/>
      <c r="B38" s="69" t="n"/>
      <c r="C38" s="70" t="n"/>
      <c r="D38" s="70">
        <f>IF(C38="",0,C38*12)</f>
        <v/>
      </c>
      <c r="E38" s="71" t="n"/>
      <c r="F38" s="72" t="n"/>
      <c r="G38" s="71" t="n"/>
      <c r="H38" s="69" t="n"/>
      <c r="I38" s="71" t="n"/>
      <c r="J38" s="69" t="n"/>
    </row>
    <row r="39" ht="26" customHeight="1">
      <c r="A39" s="61" t="n"/>
      <c r="B39" s="61" t="n"/>
      <c r="C39" s="63" t="n"/>
      <c r="D39" s="63">
        <f>IF(C39="",0,C39*12)</f>
        <v/>
      </c>
      <c r="E39" s="62" t="n"/>
      <c r="F39" s="73" t="n"/>
      <c r="G39" s="62" t="n"/>
      <c r="H39" s="61" t="n"/>
      <c r="I39" s="62" t="n"/>
      <c r="J39" s="61" t="n"/>
    </row>
    <row r="40" ht="26" customHeight="1">
      <c r="A40" s="69" t="n"/>
      <c r="B40" s="69" t="n"/>
      <c r="C40" s="70" t="n"/>
      <c r="D40" s="70">
        <f>IF(C40="",0,C40*12)</f>
        <v/>
      </c>
      <c r="E40" s="71" t="n"/>
      <c r="F40" s="72" t="n"/>
      <c r="G40" s="71" t="n"/>
      <c r="H40" s="69" t="n"/>
      <c r="I40" s="71" t="n"/>
      <c r="J40" s="69" t="n"/>
    </row>
    <row r="41" ht="26" customHeight="1">
      <c r="A41" s="61" t="n"/>
      <c r="B41" s="61" t="n"/>
      <c r="C41" s="63" t="n"/>
      <c r="D41" s="63">
        <f>IF(C41="",0,C41*12)</f>
        <v/>
      </c>
      <c r="E41" s="62" t="n"/>
      <c r="F41" s="73" t="n"/>
      <c r="G41" s="62" t="n"/>
      <c r="H41" s="61" t="n"/>
      <c r="I41" s="62" t="n"/>
      <c r="J41" s="61" t="n"/>
    </row>
    <row r="42" ht="26" customHeight="1">
      <c r="A42" s="69" t="n"/>
      <c r="B42" s="69" t="n"/>
      <c r="C42" s="70" t="n"/>
      <c r="D42" s="70">
        <f>IF(C42="",0,C42*12)</f>
        <v/>
      </c>
      <c r="E42" s="71" t="n"/>
      <c r="F42" s="72" t="n"/>
      <c r="G42" s="71" t="n"/>
      <c r="H42" s="69" t="n"/>
      <c r="I42" s="71" t="n"/>
      <c r="J42" s="69" t="n"/>
    </row>
    <row r="43" ht="26" customHeight="1">
      <c r="A43" s="61" t="n"/>
      <c r="B43" s="61" t="n"/>
      <c r="C43" s="63" t="n"/>
      <c r="D43" s="63">
        <f>IF(C43="",0,C43*12)</f>
        <v/>
      </c>
      <c r="E43" s="62" t="n"/>
      <c r="F43" s="73" t="n"/>
      <c r="G43" s="62" t="n"/>
      <c r="H43" s="61" t="n"/>
      <c r="I43" s="62" t="n"/>
      <c r="J43" s="61" t="n"/>
    </row>
    <row r="44" ht="26" customHeight="1">
      <c r="A44" s="69" t="n"/>
      <c r="B44" s="69" t="n"/>
      <c r="C44" s="70" t="n"/>
      <c r="D44" s="70">
        <f>IF(C44="",0,C44*12)</f>
        <v/>
      </c>
      <c r="E44" s="71" t="n"/>
      <c r="F44" s="72" t="n"/>
      <c r="G44" s="71" t="n"/>
      <c r="H44" s="69" t="n"/>
      <c r="I44" s="71" t="n"/>
      <c r="J44" s="69" t="n"/>
    </row>
    <row r="45" ht="26" customHeight="1">
      <c r="A45" s="61" t="n"/>
      <c r="B45" s="61" t="n"/>
      <c r="C45" s="63" t="n"/>
      <c r="D45" s="63">
        <f>IF(C45="",0,C45*12)</f>
        <v/>
      </c>
      <c r="E45" s="62" t="n"/>
      <c r="F45" s="73" t="n"/>
      <c r="G45" s="62" t="n"/>
      <c r="H45" s="61" t="n"/>
      <c r="I45" s="62" t="n"/>
      <c r="J45" s="61" t="n"/>
    </row>
    <row r="46" ht="26" customHeight="1">
      <c r="A46" s="69" t="n"/>
      <c r="B46" s="69" t="n"/>
      <c r="C46" s="70" t="n"/>
      <c r="D46" s="70">
        <f>IF(C46="",0,C46*12)</f>
        <v/>
      </c>
      <c r="E46" s="71" t="n"/>
      <c r="F46" s="72" t="n"/>
      <c r="G46" s="71" t="n"/>
      <c r="H46" s="69" t="n"/>
      <c r="I46" s="71" t="n"/>
      <c r="J46" s="69" t="n"/>
    </row>
    <row r="47" ht="26" customHeight="1">
      <c r="A47" s="61" t="n"/>
      <c r="B47" s="61" t="n"/>
      <c r="C47" s="63" t="n"/>
      <c r="D47" s="63">
        <f>IF(C47="",0,C47*12)</f>
        <v/>
      </c>
      <c r="E47" s="62" t="n"/>
      <c r="F47" s="73" t="n"/>
      <c r="G47" s="62" t="n"/>
      <c r="H47" s="61" t="n"/>
      <c r="I47" s="62" t="n"/>
      <c r="J47" s="61" t="n"/>
    </row>
    <row r="48" ht="26" customHeight="1">
      <c r="A48" s="69" t="n"/>
      <c r="B48" s="69" t="n"/>
      <c r="C48" s="70" t="n"/>
      <c r="D48" s="70">
        <f>IF(C48="",0,C48*12)</f>
        <v/>
      </c>
      <c r="E48" s="71" t="n"/>
      <c r="F48" s="72" t="n"/>
      <c r="G48" s="71" t="n"/>
      <c r="H48" s="69" t="n"/>
      <c r="I48" s="71" t="n"/>
      <c r="J48" s="69" t="n"/>
    </row>
    <row r="49" ht="26" customHeight="1">
      <c r="A49" s="61" t="n"/>
      <c r="B49" s="61" t="n"/>
      <c r="C49" s="63" t="n"/>
      <c r="D49" s="63">
        <f>IF(C49="",0,C49*12)</f>
        <v/>
      </c>
      <c r="E49" s="62" t="n"/>
      <c r="F49" s="73" t="n"/>
      <c r="G49" s="62" t="n"/>
      <c r="H49" s="61" t="n"/>
      <c r="I49" s="62" t="n"/>
      <c r="J49" s="61" t="n"/>
    </row>
    <row r="50" ht="26" customHeight="1">
      <c r="A50" s="69" t="n"/>
      <c r="B50" s="69" t="n"/>
      <c r="C50" s="70" t="n"/>
      <c r="D50" s="70">
        <f>IF(C50="",0,C50*12)</f>
        <v/>
      </c>
      <c r="E50" s="71" t="n"/>
      <c r="F50" s="72" t="n"/>
      <c r="G50" s="71" t="n"/>
      <c r="H50" s="69" t="n"/>
      <c r="I50" s="71" t="n"/>
      <c r="J50" s="69" t="n"/>
    </row>
    <row r="51" ht="26" customHeight="1">
      <c r="A51" s="61" t="n"/>
      <c r="B51" s="61" t="n"/>
      <c r="C51" s="63" t="n"/>
      <c r="D51" s="63">
        <f>IF(C51="",0,C51*12)</f>
        <v/>
      </c>
      <c r="E51" s="62" t="n"/>
      <c r="F51" s="73" t="n"/>
      <c r="G51" s="62" t="n"/>
      <c r="H51" s="61" t="n"/>
      <c r="I51" s="62" t="n"/>
      <c r="J51" s="61" t="n"/>
    </row>
    <row r="52" ht="26" customHeight="1">
      <c r="A52" s="69" t="n"/>
      <c r="B52" s="69" t="n"/>
      <c r="C52" s="70" t="n"/>
      <c r="D52" s="70">
        <f>IF(C52="",0,C52*12)</f>
        <v/>
      </c>
      <c r="E52" s="71" t="n"/>
      <c r="F52" s="72" t="n"/>
      <c r="G52" s="71" t="n"/>
      <c r="H52" s="69" t="n"/>
      <c r="I52" s="71" t="n"/>
      <c r="J52" s="69" t="n"/>
    </row>
    <row r="53" ht="26" customHeight="1">
      <c r="A53" s="61" t="n"/>
      <c r="B53" s="61" t="n"/>
      <c r="C53" s="63" t="n"/>
      <c r="D53" s="63">
        <f>IF(C53="",0,C53*12)</f>
        <v/>
      </c>
      <c r="E53" s="62" t="n"/>
      <c r="F53" s="73" t="n"/>
      <c r="G53" s="62" t="n"/>
      <c r="H53" s="61" t="n"/>
      <c r="I53" s="62" t="n"/>
      <c r="J53" s="61" t="n"/>
    </row>
    <row r="54" ht="26" customHeight="1">
      <c r="A54" s="69" t="n"/>
      <c r="B54" s="69" t="n"/>
      <c r="C54" s="70" t="n"/>
      <c r="D54" s="70">
        <f>IF(C54="",0,C54*12)</f>
        <v/>
      </c>
      <c r="E54" s="71" t="n"/>
      <c r="F54" s="72" t="n"/>
      <c r="G54" s="71" t="n"/>
      <c r="H54" s="69" t="n"/>
      <c r="I54" s="71" t="n"/>
      <c r="J54" s="69" t="n"/>
    </row>
    <row r="55" ht="26" customHeight="1">
      <c r="A55" s="61" t="n"/>
      <c r="B55" s="61" t="n"/>
      <c r="C55" s="63" t="n"/>
      <c r="D55" s="63">
        <f>IF(C55="",0,C55*12)</f>
        <v/>
      </c>
      <c r="E55" s="62" t="n"/>
      <c r="F55" s="73" t="n"/>
      <c r="G55" s="62" t="n"/>
      <c r="H55" s="61" t="n"/>
      <c r="I55" s="62" t="n"/>
      <c r="J55" s="61" t="n"/>
    </row>
    <row r="56" ht="26" customHeight="1">
      <c r="A56" s="69" t="n"/>
      <c r="B56" s="69" t="n"/>
      <c r="C56" s="70" t="n"/>
      <c r="D56" s="70">
        <f>IF(C56="",0,C56*12)</f>
        <v/>
      </c>
      <c r="E56" s="71" t="n"/>
      <c r="F56" s="72" t="n"/>
      <c r="G56" s="71" t="n"/>
      <c r="H56" s="69" t="n"/>
      <c r="I56" s="71" t="n"/>
      <c r="J56" s="69" t="n"/>
    </row>
    <row r="57" ht="26" customHeight="1">
      <c r="A57" s="61" t="n"/>
      <c r="B57" s="61" t="n"/>
      <c r="C57" s="63" t="n"/>
      <c r="D57" s="63">
        <f>IF(C57="",0,C57*12)</f>
        <v/>
      </c>
      <c r="E57" s="62" t="n"/>
      <c r="F57" s="73" t="n"/>
      <c r="G57" s="62" t="n"/>
      <c r="H57" s="61" t="n"/>
      <c r="I57" s="62" t="n"/>
      <c r="J57" s="61" t="n"/>
    </row>
    <row r="58" ht="26" customHeight="1">
      <c r="A58" s="69" t="n"/>
      <c r="B58" s="69" t="n"/>
      <c r="C58" s="70" t="n"/>
      <c r="D58" s="70">
        <f>IF(C58="",0,C58*12)</f>
        <v/>
      </c>
      <c r="E58" s="71" t="n"/>
      <c r="F58" s="72" t="n"/>
      <c r="G58" s="71" t="n"/>
      <c r="H58" s="69" t="n"/>
      <c r="I58" s="71" t="n"/>
      <c r="J58" s="69" t="n"/>
    </row>
    <row r="59" ht="26" customHeight="1">
      <c r="A59" s="61" t="n"/>
      <c r="B59" s="61" t="n"/>
      <c r="C59" s="63" t="n"/>
      <c r="D59" s="63">
        <f>IF(C59="",0,C59*12)</f>
        <v/>
      </c>
      <c r="E59" s="62" t="n"/>
      <c r="F59" s="73" t="n"/>
      <c r="G59" s="62" t="n"/>
      <c r="H59" s="61" t="n"/>
      <c r="I59" s="62" t="n"/>
      <c r="J59" s="61" t="n"/>
    </row>
    <row r="60" ht="26" customHeight="1">
      <c r="A60" s="69" t="n"/>
      <c r="B60" s="69" t="n"/>
      <c r="C60" s="70" t="n"/>
      <c r="D60" s="70">
        <f>IF(C60="",0,C60*12)</f>
        <v/>
      </c>
      <c r="E60" s="71" t="n"/>
      <c r="F60" s="72" t="n"/>
      <c r="G60" s="71" t="n"/>
      <c r="H60" s="69" t="n"/>
      <c r="I60" s="71" t="n"/>
      <c r="J60" s="69" t="n"/>
    </row>
    <row r="61" ht="26" customHeight="1">
      <c r="A61" s="61" t="n"/>
      <c r="B61" s="61" t="n"/>
      <c r="C61" s="63" t="n"/>
      <c r="D61" s="63">
        <f>IF(C61="",0,C61*12)</f>
        <v/>
      </c>
      <c r="E61" s="62" t="n"/>
      <c r="F61" s="73" t="n"/>
      <c r="G61" s="62" t="n"/>
      <c r="H61" s="61" t="n"/>
      <c r="I61" s="62" t="n"/>
      <c r="J61" s="61" t="n"/>
    </row>
    <row r="62" ht="26" customHeight="1">
      <c r="A62" s="69" t="n"/>
      <c r="B62" s="69" t="n"/>
      <c r="C62" s="70" t="n"/>
      <c r="D62" s="70">
        <f>IF(C62="",0,C62*12)</f>
        <v/>
      </c>
      <c r="E62" s="71" t="n"/>
      <c r="F62" s="72" t="n"/>
      <c r="G62" s="71" t="n"/>
      <c r="H62" s="69" t="n"/>
      <c r="I62" s="71" t="n"/>
      <c r="J62" s="69" t="n"/>
    </row>
    <row r="63" ht="26" customHeight="1">
      <c r="A63" s="61" t="n"/>
      <c r="B63" s="61" t="n"/>
      <c r="C63" s="63" t="n"/>
      <c r="D63" s="63">
        <f>IF(C63="",0,C63*12)</f>
        <v/>
      </c>
      <c r="E63" s="62" t="n"/>
      <c r="F63" s="73" t="n"/>
      <c r="G63" s="62" t="n"/>
      <c r="H63" s="61" t="n"/>
      <c r="I63" s="62" t="n"/>
      <c r="J63" s="61" t="n"/>
    </row>
    <row r="64" ht="26" customHeight="1">
      <c r="A64" s="69" t="n"/>
      <c r="B64" s="69" t="n"/>
      <c r="C64" s="70" t="n"/>
      <c r="D64" s="70">
        <f>IF(C64="",0,C64*12)</f>
        <v/>
      </c>
      <c r="E64" s="71" t="n"/>
      <c r="F64" s="72" t="n"/>
      <c r="G64" s="71" t="n"/>
      <c r="H64" s="69" t="n"/>
      <c r="I64" s="71" t="n"/>
      <c r="J64" s="69" t="n"/>
    </row>
    <row r="65" ht="26" customHeight="1">
      <c r="A65" s="61" t="n"/>
      <c r="B65" s="61" t="n"/>
      <c r="C65" s="63" t="n"/>
      <c r="D65" s="63">
        <f>IF(C65="",0,C65*12)</f>
        <v/>
      </c>
      <c r="E65" s="62" t="n"/>
      <c r="F65" s="73" t="n"/>
      <c r="G65" s="62" t="n"/>
      <c r="H65" s="61" t="n"/>
      <c r="I65" s="62" t="n"/>
      <c r="J65" s="61" t="n"/>
    </row>
    <row r="66" ht="26" customHeight="1">
      <c r="A66" s="69" t="n"/>
      <c r="B66" s="69" t="n"/>
      <c r="C66" s="70" t="n"/>
      <c r="D66" s="70">
        <f>IF(C66="",0,C66*12)</f>
        <v/>
      </c>
      <c r="E66" s="71" t="n"/>
      <c r="F66" s="72" t="n"/>
      <c r="G66" s="71" t="n"/>
      <c r="H66" s="69" t="n"/>
      <c r="I66" s="71" t="n"/>
      <c r="J66" s="69" t="n"/>
    </row>
    <row r="67" ht="26" customHeight="1">
      <c r="A67" s="61" t="n"/>
      <c r="B67" s="61" t="n"/>
      <c r="C67" s="63" t="n"/>
      <c r="D67" s="63">
        <f>IF(C67="",0,C67*12)</f>
        <v/>
      </c>
      <c r="E67" s="62" t="n"/>
      <c r="F67" s="73" t="n"/>
      <c r="G67" s="62" t="n"/>
      <c r="H67" s="61" t="n"/>
      <c r="I67" s="62" t="n"/>
      <c r="J67" s="61" t="n"/>
    </row>
    <row r="68" ht="26" customHeight="1">
      <c r="A68" s="69" t="n"/>
      <c r="B68" s="69" t="n"/>
      <c r="C68" s="70" t="n"/>
      <c r="D68" s="70">
        <f>IF(C68="",0,C68*12)</f>
        <v/>
      </c>
      <c r="E68" s="71" t="n"/>
      <c r="F68" s="72" t="n"/>
      <c r="G68" s="71" t="n"/>
      <c r="H68" s="69" t="n"/>
      <c r="I68" s="71" t="n"/>
      <c r="J68" s="69" t="n"/>
    </row>
    <row r="69" ht="26" customHeight="1">
      <c r="A69" s="61" t="n"/>
      <c r="B69" s="61" t="n"/>
      <c r="C69" s="63" t="n"/>
      <c r="D69" s="63">
        <f>IF(C69="",0,C69*12)</f>
        <v/>
      </c>
      <c r="E69" s="62" t="n"/>
      <c r="F69" s="73" t="n"/>
      <c r="G69" s="62" t="n"/>
      <c r="H69" s="61" t="n"/>
      <c r="I69" s="62" t="n"/>
      <c r="J69" s="61" t="n"/>
    </row>
    <row r="70" ht="26" customHeight="1">
      <c r="A70" s="69" t="n"/>
      <c r="B70" s="69" t="n"/>
      <c r="C70" s="70" t="n"/>
      <c r="D70" s="70">
        <f>IF(C70="",0,C70*12)</f>
        <v/>
      </c>
      <c r="E70" s="71" t="n"/>
      <c r="F70" s="72" t="n"/>
      <c r="G70" s="71" t="n"/>
      <c r="H70" s="69" t="n"/>
      <c r="I70" s="71" t="n"/>
      <c r="J70" s="69" t="n"/>
    </row>
    <row r="71" ht="26" customHeight="1">
      <c r="A71" s="61" t="n"/>
      <c r="B71" s="61" t="n"/>
      <c r="C71" s="63" t="n"/>
      <c r="D71" s="63">
        <f>IF(C71="",0,C71*12)</f>
        <v/>
      </c>
      <c r="E71" s="62" t="n"/>
      <c r="F71" s="73" t="n"/>
      <c r="G71" s="62" t="n"/>
      <c r="H71" s="61" t="n"/>
      <c r="I71" s="62" t="n"/>
      <c r="J71" s="61" t="n"/>
    </row>
    <row r="72" ht="26" customHeight="1">
      <c r="A72" s="69" t="n"/>
      <c r="B72" s="69" t="n"/>
      <c r="C72" s="70" t="n"/>
      <c r="D72" s="70">
        <f>IF(C72="",0,C72*12)</f>
        <v/>
      </c>
      <c r="E72" s="71" t="n"/>
      <c r="F72" s="72" t="n"/>
      <c r="G72" s="71" t="n"/>
      <c r="H72" s="69" t="n"/>
      <c r="I72" s="71" t="n"/>
      <c r="J72" s="69" t="n"/>
    </row>
    <row r="73" ht="26" customHeight="1">
      <c r="A73" s="61" t="n"/>
      <c r="B73" s="61" t="n"/>
      <c r="C73" s="63" t="n"/>
      <c r="D73" s="63">
        <f>IF(C73="",0,C73*12)</f>
        <v/>
      </c>
      <c r="E73" s="62" t="n"/>
      <c r="F73" s="73" t="n"/>
      <c r="G73" s="62" t="n"/>
      <c r="H73" s="61" t="n"/>
      <c r="I73" s="62" t="n"/>
      <c r="J73" s="61" t="n"/>
    </row>
    <row r="74" ht="26" customHeight="1">
      <c r="A74" s="69" t="n"/>
      <c r="B74" s="69" t="n"/>
      <c r="C74" s="70" t="n"/>
      <c r="D74" s="70">
        <f>IF(C74="",0,C74*12)</f>
        <v/>
      </c>
      <c r="E74" s="71" t="n"/>
      <c r="F74" s="72" t="n"/>
      <c r="G74" s="71" t="n"/>
      <c r="H74" s="69" t="n"/>
      <c r="I74" s="71" t="n"/>
      <c r="J74" s="69" t="n"/>
    </row>
    <row r="75" ht="26" customHeight="1">
      <c r="A75" s="61" t="n"/>
      <c r="B75" s="61" t="n"/>
      <c r="C75" s="63" t="n"/>
      <c r="D75" s="63">
        <f>IF(C75="",0,C75*12)</f>
        <v/>
      </c>
      <c r="E75" s="62" t="n"/>
      <c r="F75" s="73" t="n"/>
      <c r="G75" s="62" t="n"/>
      <c r="H75" s="61" t="n"/>
      <c r="I75" s="62" t="n"/>
      <c r="J75" s="61" t="n"/>
    </row>
    <row r="76" ht="26" customHeight="1">
      <c r="A76" s="69" t="n"/>
      <c r="B76" s="69" t="n"/>
      <c r="C76" s="70" t="n"/>
      <c r="D76" s="70">
        <f>IF(C76="",0,C76*12)</f>
        <v/>
      </c>
      <c r="E76" s="71" t="n"/>
      <c r="F76" s="72" t="n"/>
      <c r="G76" s="71" t="n"/>
      <c r="H76" s="69" t="n"/>
      <c r="I76" s="71" t="n"/>
      <c r="J76" s="69" t="n"/>
    </row>
    <row r="77" ht="26" customHeight="1">
      <c r="A77" s="61" t="n"/>
      <c r="B77" s="61" t="n"/>
      <c r="C77" s="63" t="n"/>
      <c r="D77" s="63">
        <f>IF(C77="",0,C77*12)</f>
        <v/>
      </c>
      <c r="E77" s="62" t="n"/>
      <c r="F77" s="73" t="n"/>
      <c r="G77" s="62" t="n"/>
      <c r="H77" s="61" t="n"/>
      <c r="I77" s="62" t="n"/>
      <c r="J77" s="61" t="n"/>
    </row>
    <row r="78" ht="26" customHeight="1">
      <c r="A78" s="69" t="n"/>
      <c r="B78" s="69" t="n"/>
      <c r="C78" s="70" t="n"/>
      <c r="D78" s="70">
        <f>IF(C78="",0,C78*12)</f>
        <v/>
      </c>
      <c r="E78" s="71" t="n"/>
      <c r="F78" s="72" t="n"/>
      <c r="G78" s="71" t="n"/>
      <c r="H78" s="69" t="n"/>
      <c r="I78" s="71" t="n"/>
      <c r="J78" s="69" t="n"/>
    </row>
    <row r="79" ht="26" customHeight="1">
      <c r="A79" s="61" t="n"/>
      <c r="B79" s="61" t="n"/>
      <c r="C79" s="63" t="n"/>
      <c r="D79" s="63">
        <f>IF(C79="",0,C79*12)</f>
        <v/>
      </c>
      <c r="E79" s="62" t="n"/>
      <c r="F79" s="73" t="n"/>
      <c r="G79" s="62" t="n"/>
      <c r="H79" s="61" t="n"/>
      <c r="I79" s="62" t="n"/>
      <c r="J79" s="61" t="n"/>
    </row>
    <row r="80" ht="26" customHeight="1">
      <c r="A80" s="69" t="n"/>
      <c r="B80" s="69" t="n"/>
      <c r="C80" s="70" t="n"/>
      <c r="D80" s="70">
        <f>IF(C80="",0,C80*12)</f>
        <v/>
      </c>
      <c r="E80" s="71" t="n"/>
      <c r="F80" s="72" t="n"/>
      <c r="G80" s="71" t="n"/>
      <c r="H80" s="69" t="n"/>
      <c r="I80" s="71" t="n"/>
      <c r="J80" s="69" t="n"/>
    </row>
    <row r="81" ht="26" customHeight="1">
      <c r="A81" s="61" t="n"/>
      <c r="B81" s="61" t="n"/>
      <c r="C81" s="63" t="n"/>
      <c r="D81" s="63">
        <f>IF(C81="",0,C81*12)</f>
        <v/>
      </c>
      <c r="E81" s="62" t="n"/>
      <c r="F81" s="73" t="n"/>
      <c r="G81" s="62" t="n"/>
      <c r="H81" s="61" t="n"/>
      <c r="I81" s="62" t="n"/>
      <c r="J81" s="61" t="n"/>
    </row>
    <row r="82" ht="26" customHeight="1">
      <c r="A82" s="69" t="n"/>
      <c r="B82" s="69" t="n"/>
      <c r="C82" s="70" t="n"/>
      <c r="D82" s="70">
        <f>IF(C82="",0,C82*12)</f>
        <v/>
      </c>
      <c r="E82" s="71" t="n"/>
      <c r="F82" s="72" t="n"/>
      <c r="G82" s="71" t="n"/>
      <c r="H82" s="69" t="n"/>
      <c r="I82" s="71" t="n"/>
      <c r="J82" s="69" t="n"/>
    </row>
    <row r="83" ht="26" customHeight="1">
      <c r="A83" s="61" t="n"/>
      <c r="B83" s="61" t="n"/>
      <c r="C83" s="63" t="n"/>
      <c r="D83" s="63">
        <f>IF(C83="",0,C83*12)</f>
        <v/>
      </c>
      <c r="E83" s="62" t="n"/>
      <c r="F83" s="73" t="n"/>
      <c r="G83" s="62" t="n"/>
      <c r="H83" s="61" t="n"/>
      <c r="I83" s="62" t="n"/>
      <c r="J83" s="61" t="n"/>
    </row>
    <row r="84" ht="26" customHeight="1">
      <c r="A84" s="69" t="n"/>
      <c r="B84" s="69" t="n"/>
      <c r="C84" s="70" t="n"/>
      <c r="D84" s="70">
        <f>IF(C84="",0,C84*12)</f>
        <v/>
      </c>
      <c r="E84" s="71" t="n"/>
      <c r="F84" s="72" t="n"/>
      <c r="G84" s="71" t="n"/>
      <c r="H84" s="69" t="n"/>
      <c r="I84" s="71" t="n"/>
      <c r="J84" s="69" t="n"/>
    </row>
    <row r="85" ht="26" customHeight="1">
      <c r="A85" s="61" t="n"/>
      <c r="B85" s="61" t="n"/>
      <c r="C85" s="63" t="n"/>
      <c r="D85" s="63">
        <f>IF(C85="",0,C85*12)</f>
        <v/>
      </c>
      <c r="E85" s="62" t="n"/>
      <c r="F85" s="73" t="n"/>
      <c r="G85" s="62" t="n"/>
      <c r="H85" s="61" t="n"/>
      <c r="I85" s="62" t="n"/>
      <c r="J85" s="61" t="n"/>
    </row>
    <row r="86" ht="26" customHeight="1">
      <c r="A86" s="69" t="n"/>
      <c r="B86" s="69" t="n"/>
      <c r="C86" s="70" t="n"/>
      <c r="D86" s="70">
        <f>IF(C86="",0,C86*12)</f>
        <v/>
      </c>
      <c r="E86" s="71" t="n"/>
      <c r="F86" s="72" t="n"/>
      <c r="G86" s="71" t="n"/>
      <c r="H86" s="69" t="n"/>
      <c r="I86" s="71" t="n"/>
      <c r="J86" s="69" t="n"/>
    </row>
    <row r="87" ht="26" customHeight="1">
      <c r="A87" s="61" t="n"/>
      <c r="B87" s="61" t="n"/>
      <c r="C87" s="63" t="n"/>
      <c r="D87" s="63">
        <f>IF(C87="",0,C87*12)</f>
        <v/>
      </c>
      <c r="E87" s="62" t="n"/>
      <c r="F87" s="73" t="n"/>
      <c r="G87" s="62" t="n"/>
      <c r="H87" s="61" t="n"/>
      <c r="I87" s="62" t="n"/>
      <c r="J87" s="61" t="n"/>
    </row>
    <row r="88" ht="26" customHeight="1">
      <c r="A88" s="69" t="n"/>
      <c r="B88" s="69" t="n"/>
      <c r="C88" s="70" t="n"/>
      <c r="D88" s="70">
        <f>IF(C88="",0,C88*12)</f>
        <v/>
      </c>
      <c r="E88" s="71" t="n"/>
      <c r="F88" s="72" t="n"/>
      <c r="G88" s="71" t="n"/>
      <c r="H88" s="69" t="n"/>
      <c r="I88" s="71" t="n"/>
      <c r="J88" s="69" t="n"/>
    </row>
    <row r="89" ht="26" customHeight="1">
      <c r="A89" s="61" t="n"/>
      <c r="B89" s="61" t="n"/>
      <c r="C89" s="63" t="n"/>
      <c r="D89" s="63">
        <f>IF(C89="",0,C89*12)</f>
        <v/>
      </c>
      <c r="E89" s="62" t="n"/>
      <c r="F89" s="73" t="n"/>
      <c r="G89" s="62" t="n"/>
      <c r="H89" s="61" t="n"/>
      <c r="I89" s="62" t="n"/>
      <c r="J89" s="61" t="n"/>
    </row>
    <row r="90" ht="26" customHeight="1">
      <c r="A90" s="69" t="n"/>
      <c r="B90" s="69" t="n"/>
      <c r="C90" s="70" t="n"/>
      <c r="D90" s="70">
        <f>IF(C90="",0,C90*12)</f>
        <v/>
      </c>
      <c r="E90" s="71" t="n"/>
      <c r="F90" s="72" t="n"/>
      <c r="G90" s="71" t="n"/>
      <c r="H90" s="69" t="n"/>
      <c r="I90" s="71" t="n"/>
      <c r="J90" s="69" t="n"/>
    </row>
    <row r="91" ht="26" customHeight="1">
      <c r="A91" s="61" t="n"/>
      <c r="B91" s="61" t="n"/>
      <c r="C91" s="63" t="n"/>
      <c r="D91" s="63">
        <f>IF(C91="",0,C91*12)</f>
        <v/>
      </c>
      <c r="E91" s="62" t="n"/>
      <c r="F91" s="73" t="n"/>
      <c r="G91" s="62" t="n"/>
      <c r="H91" s="61" t="n"/>
      <c r="I91" s="62" t="n"/>
      <c r="J91" s="61" t="n"/>
    </row>
    <row r="92" ht="26" customHeight="1">
      <c r="A92" s="69" t="n"/>
      <c r="B92" s="69" t="n"/>
      <c r="C92" s="70" t="n"/>
      <c r="D92" s="70">
        <f>IF(C92="",0,C92*12)</f>
        <v/>
      </c>
      <c r="E92" s="71" t="n"/>
      <c r="F92" s="72" t="n"/>
      <c r="G92" s="71" t="n"/>
      <c r="H92" s="69" t="n"/>
      <c r="I92" s="71" t="n"/>
      <c r="J92" s="69" t="n"/>
    </row>
    <row r="93" ht="26" customHeight="1">
      <c r="A93" s="61" t="n"/>
      <c r="B93" s="61" t="n"/>
      <c r="C93" s="63" t="n"/>
      <c r="D93" s="63">
        <f>IF(C93="",0,C93*12)</f>
        <v/>
      </c>
      <c r="E93" s="62" t="n"/>
      <c r="F93" s="73" t="n"/>
      <c r="G93" s="62" t="n"/>
      <c r="H93" s="61" t="n"/>
      <c r="I93" s="62" t="n"/>
      <c r="J93" s="61" t="n"/>
    </row>
    <row r="94" ht="26" customHeight="1">
      <c r="A94" s="69" t="n"/>
      <c r="B94" s="69" t="n"/>
      <c r="C94" s="70" t="n"/>
      <c r="D94" s="70">
        <f>IF(C94="",0,C94*12)</f>
        <v/>
      </c>
      <c r="E94" s="71" t="n"/>
      <c r="F94" s="72" t="n"/>
      <c r="G94" s="71" t="n"/>
      <c r="H94" s="69" t="n"/>
      <c r="I94" s="71" t="n"/>
      <c r="J94" s="69" t="n"/>
    </row>
    <row r="95" ht="26" customHeight="1">
      <c r="A95" s="61" t="n"/>
      <c r="B95" s="61" t="n"/>
      <c r="C95" s="63" t="n"/>
      <c r="D95" s="63">
        <f>IF(C95="",0,C95*12)</f>
        <v/>
      </c>
      <c r="E95" s="62" t="n"/>
      <c r="F95" s="73" t="n"/>
      <c r="G95" s="62" t="n"/>
      <c r="H95" s="61" t="n"/>
      <c r="I95" s="62" t="n"/>
      <c r="J95" s="61" t="n"/>
    </row>
    <row r="96" ht="26" customHeight="1">
      <c r="A96" s="69" t="n"/>
      <c r="B96" s="69" t="n"/>
      <c r="C96" s="70" t="n"/>
      <c r="D96" s="70">
        <f>IF(C96="",0,C96*12)</f>
        <v/>
      </c>
      <c r="E96" s="71" t="n"/>
      <c r="F96" s="72" t="n"/>
      <c r="G96" s="71" t="n"/>
      <c r="H96" s="69" t="n"/>
      <c r="I96" s="71" t="n"/>
      <c r="J96" s="69" t="n"/>
    </row>
    <row r="97" ht="26" customHeight="1">
      <c r="A97" s="61" t="n"/>
      <c r="B97" s="61" t="n"/>
      <c r="C97" s="63" t="n"/>
      <c r="D97" s="63">
        <f>IF(C97="",0,C97*12)</f>
        <v/>
      </c>
      <c r="E97" s="62" t="n"/>
      <c r="F97" s="73" t="n"/>
      <c r="G97" s="62" t="n"/>
      <c r="H97" s="61" t="n"/>
      <c r="I97" s="62" t="n"/>
      <c r="J97" s="61" t="n"/>
    </row>
    <row r="98" ht="26" customHeight="1">
      <c r="A98" s="69" t="n"/>
      <c r="B98" s="69" t="n"/>
      <c r="C98" s="70" t="n"/>
      <c r="D98" s="70">
        <f>IF(C98="",0,C98*12)</f>
        <v/>
      </c>
      <c r="E98" s="71" t="n"/>
      <c r="F98" s="72" t="n"/>
      <c r="G98" s="71" t="n"/>
      <c r="H98" s="69" t="n"/>
      <c r="I98" s="71" t="n"/>
      <c r="J98" s="69" t="n"/>
    </row>
    <row r="99" ht="26" customHeight="1">
      <c r="A99" s="61" t="n"/>
      <c r="B99" s="61" t="n"/>
      <c r="C99" s="63" t="n"/>
      <c r="D99" s="63">
        <f>IF(C99="",0,C99*12)</f>
        <v/>
      </c>
      <c r="E99" s="62" t="n"/>
      <c r="F99" s="73" t="n"/>
      <c r="G99" s="62" t="n"/>
      <c r="H99" s="61" t="n"/>
      <c r="I99" s="62" t="n"/>
      <c r="J99" s="61" t="n"/>
    </row>
    <row r="100" ht="26" customHeight="1">
      <c r="A100" s="69" t="n"/>
      <c r="B100" s="69" t="n"/>
      <c r="C100" s="70" t="n"/>
      <c r="D100" s="70">
        <f>IF(C100="",0,C100*12)</f>
        <v/>
      </c>
      <c r="E100" s="71" t="n"/>
      <c r="F100" s="72" t="n"/>
      <c r="G100" s="71" t="n"/>
      <c r="H100" s="69" t="n"/>
      <c r="I100" s="71" t="n"/>
      <c r="J100" s="69" t="n"/>
    </row>
    <row r="101" ht="26" customHeight="1">
      <c r="A101" s="61" t="n"/>
      <c r="B101" s="61" t="n"/>
      <c r="C101" s="63" t="n"/>
      <c r="D101" s="63">
        <f>IF(C101="",0,C101*12)</f>
        <v/>
      </c>
      <c r="E101" s="62" t="n"/>
      <c r="F101" s="73" t="n"/>
      <c r="G101" s="62" t="n"/>
      <c r="H101" s="61" t="n"/>
      <c r="I101" s="62" t="n"/>
      <c r="J101" s="61" t="n"/>
    </row>
    <row r="102" ht="26" customHeight="1">
      <c r="A102" s="69" t="n"/>
      <c r="B102" s="69" t="n"/>
      <c r="C102" s="70" t="n"/>
      <c r="D102" s="70">
        <f>IF(C102="",0,C102*12)</f>
        <v/>
      </c>
      <c r="E102" s="71" t="n"/>
      <c r="F102" s="72" t="n"/>
      <c r="G102" s="71" t="n"/>
      <c r="H102" s="69" t="n"/>
      <c r="I102" s="71" t="n"/>
      <c r="J102" s="69" t="n"/>
    </row>
    <row r="103" ht="26" customHeight="1">
      <c r="A103" s="61" t="n"/>
      <c r="B103" s="61" t="n"/>
      <c r="C103" s="63" t="n"/>
      <c r="D103" s="63">
        <f>IF(C103="",0,C103*12)</f>
        <v/>
      </c>
      <c r="E103" s="62" t="n"/>
      <c r="F103" s="73" t="n"/>
      <c r="G103" s="62" t="n"/>
      <c r="H103" s="61" t="n"/>
      <c r="I103" s="62" t="n"/>
      <c r="J103" s="61" t="n"/>
    </row>
  </sheetData>
  <autoFilter ref="A3:J103"/>
  <mergeCells count="2">
    <mergeCell ref="A1:J1"/>
    <mergeCell ref="A2:J2"/>
  </mergeCells>
  <conditionalFormatting sqref="I4:I103">
    <cfRule type="cellIs" priority="1" operator="equal" dxfId="1">
      <formula>"Active"</formula>
    </cfRule>
    <cfRule type="cellIs" priority="2" operator="equal" dxfId="2">
      <formula>"Paused"</formula>
    </cfRule>
    <cfRule type="cellIs" priority="3" operator="equal" dxfId="3">
      <formula>"Consider Canceling"</formula>
    </cfRule>
    <cfRule type="cellIs" priority="4" operator="equal" dxfId="4">
      <formula>"Canceled"</formula>
    </cfRule>
  </conditionalFormatting>
  <conditionalFormatting sqref="A4:A103">
    <cfRule type="expression" priority="5" dxfId="4">
      <formula>$I4="Canceled"</formula>
    </cfRule>
  </conditionalFormatting>
  <conditionalFormatting sqref="B4:B103">
    <cfRule type="expression" priority="6" dxfId="4">
      <formula>$I4="Canceled"</formula>
    </cfRule>
  </conditionalFormatting>
  <conditionalFormatting sqref="C4:C103">
    <cfRule type="expression" priority="7" dxfId="4">
      <formula>$I4="Canceled"</formula>
    </cfRule>
  </conditionalFormatting>
  <conditionalFormatting sqref="D4:D103">
    <cfRule type="expression" priority="8" dxfId="4">
      <formula>$I4="Canceled"</formula>
    </cfRule>
  </conditionalFormatting>
  <conditionalFormatting sqref="E4:E103">
    <cfRule type="expression" priority="9" dxfId="4">
      <formula>$I4="Canceled"</formula>
    </cfRule>
  </conditionalFormatting>
  <conditionalFormatting sqref="F4:F103">
    <cfRule type="expression" priority="10" dxfId="4">
      <formula>$I4="Canceled"</formula>
    </cfRule>
  </conditionalFormatting>
  <conditionalFormatting sqref="G4:G103">
    <cfRule type="expression" priority="11" dxfId="4">
      <formula>$I4="Canceled"</formula>
    </cfRule>
  </conditionalFormatting>
  <conditionalFormatting sqref="H4:H103">
    <cfRule type="expression" priority="12" dxfId="4">
      <formula>$I4="Canceled"</formula>
    </cfRule>
  </conditionalFormatting>
  <conditionalFormatting sqref="J4:J103">
    <cfRule type="expression" priority="13" dxfId="4">
      <formula>$I4="Canceled"</formula>
    </cfRule>
  </conditionalFormatting>
  <dataValidations count="6">
    <dataValidation sqref="B4:B103" showDropDown="0" showInputMessage="0" showErrorMessage="0" allowBlank="1" errorTitle="Invalid Category" error="Please select a valid category" promptTitle="Category" prompt="Select a category" type="list">
      <formula1>"Entertainment,Software,Health &amp; Fitness,News &amp; Media,Food &amp; Delivery,Cloud Storage,Music,Gaming,Productivity,Other"</formula1>
    </dataValidation>
    <dataValidation sqref="E4:E103" showDropDown="0" showInputMessage="0" showErrorMessage="0" allowBlank="1" type="list">
      <formula1>"Monthly,Annual,Quarterly,Weekly"</formula1>
    </dataValidation>
    <dataValidation sqref="G4:G103" showDropDown="0" showInputMessage="0" showErrorMessage="0" allowBlank="1" type="list">
      <formula1>"Yes,No"</formula1>
    </dataValidation>
    <dataValidation sqref="H4:H103" showDropDown="0" showInputMessage="0" showErrorMessage="0" allowBlank="1" type="list">
      <formula1>"Credit Card,Debit,PayPal,Apple Pay,Google Pay,Bank Transfer"</formula1>
    </dataValidation>
    <dataValidation sqref="I4:I103" showDropDown="0" showInputMessage="0" showErrorMessage="0" allowBlank="1" type="list">
      <formula1>"Active,Paused,Consider Canceling,Canceled"</formula1>
    </dataValidation>
    <dataValidation sqref="C4:C103" showDropDown="0" showInputMessage="0" showErrorMessage="0" allowBlank="1" errorTitle="Invalid Cost" error="Please enter a positive number for the monthly cost." promptTitle="Monthly Cost" prompt="Enter the monthly cost of this subscription." type="decimal" operator="greaterThanOrEqual">
      <formula1>0</formula1>
    </dataValidation>
  </dataValidations>
  <pageMargins left="0.4" right="0.4" top="0.4" bottom="0.4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E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6" customWidth="1" min="4" max="4"/>
    <col width="18" customWidth="1" min="5" max="5"/>
  </cols>
  <sheetData>
    <row r="1" ht="50" customHeight="1">
      <c r="A1" s="28" t="inlineStr">
        <is>
          <t>RENEWAL CALENDAR</t>
        </is>
      </c>
      <c r="B1" s="123" t="n"/>
      <c r="C1" s="123" t="n"/>
      <c r="D1" s="123" t="n"/>
      <c r="E1" s="121" t="n"/>
    </row>
    <row r="2" ht="26" customHeight="1">
      <c r="A2" s="29" t="inlineStr">
        <is>
          <t>See when your subscriptions renew each month. Formulas pull from the All Subscriptions sheet.</t>
        </is>
      </c>
    </row>
    <row r="4" ht="32" customHeight="1">
      <c r="B4" s="74" t="inlineStr">
        <is>
          <t>JANUARY</t>
        </is>
      </c>
      <c r="C4" s="123" t="n"/>
      <c r="D4" s="123" t="n"/>
      <c r="E4" s="121" t="n"/>
    </row>
    <row r="5">
      <c r="B5" s="75" t="inlineStr">
        <is>
          <t>Service</t>
        </is>
      </c>
      <c r="C5" s="75" t="inlineStr">
        <is>
          <t>Category</t>
        </is>
      </c>
      <c r="D5" s="75" t="inlineStr">
        <is>
          <t>Renewal Date</t>
        </is>
      </c>
      <c r="E5" s="75" t="inlineStr">
        <is>
          <t>Amount</t>
        </is>
      </c>
    </row>
    <row r="6" ht="22" customHeight="1">
      <c r="B6" s="61">
        <f>IFERROR(INDEX('All Subscriptions'!A4:A103,SMALL(IF(MONTH('All Subscriptions'!F4:F103)=1,ROW('All Subscriptions'!F4:F103)-3),1)),"")</f>
        <v/>
      </c>
      <c r="C6" s="62">
        <f>IFERROR(INDEX('All Subscriptions'!B4:B103,SMALL(IF(MONTH('All Subscriptions'!F4:F103)=1,ROW('All Subscriptions'!F4:F103)-3),1)),"")</f>
        <v/>
      </c>
      <c r="D6" s="73">
        <f>IFERROR(INDEX('All Subscriptions'!F4:F103,SMALL(IF(MONTH('All Subscriptions'!F4:F103)=1,ROW('All Subscriptions'!F4:F103)-3),1)),"")</f>
        <v/>
      </c>
      <c r="E6" s="63">
        <f>IFERROR(INDEX('All Subscriptions'!C4:C103,SMALL(IF(MONTH('All Subscriptions'!F4:F103)=1,ROW('All Subscriptions'!F4:F103)-3),1)),"")</f>
        <v/>
      </c>
    </row>
    <row r="7" ht="22" customHeight="1">
      <c r="B7" s="69">
        <f>IFERROR(INDEX('All Subscriptions'!A4:A103,SMALL(IF(MONTH('All Subscriptions'!F4:F103)=1,ROW('All Subscriptions'!F4:F103)-3),2)),"")</f>
        <v/>
      </c>
      <c r="C7" s="71">
        <f>IFERROR(INDEX('All Subscriptions'!B4:B103,SMALL(IF(MONTH('All Subscriptions'!F4:F103)=1,ROW('All Subscriptions'!F4:F103)-3),2)),"")</f>
        <v/>
      </c>
      <c r="D7" s="72">
        <f>IFERROR(INDEX('All Subscriptions'!F4:F103,SMALL(IF(MONTH('All Subscriptions'!F4:F103)=1,ROW('All Subscriptions'!F4:F103)-3),2)),"")</f>
        <v/>
      </c>
      <c r="E7" s="70">
        <f>IFERROR(INDEX('All Subscriptions'!C4:C103,SMALL(IF(MONTH('All Subscriptions'!F4:F103)=1,ROW('All Subscriptions'!F4:F103)-3),2)),"")</f>
        <v/>
      </c>
    </row>
    <row r="8" ht="22" customHeight="1">
      <c r="B8" s="61">
        <f>IFERROR(INDEX('All Subscriptions'!A4:A103,SMALL(IF(MONTH('All Subscriptions'!F4:F103)=1,ROW('All Subscriptions'!F4:F103)-3),3)),"")</f>
        <v/>
      </c>
      <c r="C8" s="62">
        <f>IFERROR(INDEX('All Subscriptions'!B4:B103,SMALL(IF(MONTH('All Subscriptions'!F4:F103)=1,ROW('All Subscriptions'!F4:F103)-3),3)),"")</f>
        <v/>
      </c>
      <c r="D8" s="73">
        <f>IFERROR(INDEX('All Subscriptions'!F4:F103,SMALL(IF(MONTH('All Subscriptions'!F4:F103)=1,ROW('All Subscriptions'!F4:F103)-3),3)),"")</f>
        <v/>
      </c>
      <c r="E8" s="63">
        <f>IFERROR(INDEX('All Subscriptions'!C4:C103,SMALL(IF(MONTH('All Subscriptions'!F4:F103)=1,ROW('All Subscriptions'!F4:F103)-3),3)),"")</f>
        <v/>
      </c>
    </row>
    <row r="9" ht="22" customHeight="1">
      <c r="B9" s="69">
        <f>IFERROR(INDEX('All Subscriptions'!A4:A103,SMALL(IF(MONTH('All Subscriptions'!F4:F103)=1,ROW('All Subscriptions'!F4:F103)-3),4)),"")</f>
        <v/>
      </c>
      <c r="C9" s="71">
        <f>IFERROR(INDEX('All Subscriptions'!B4:B103,SMALL(IF(MONTH('All Subscriptions'!F4:F103)=1,ROW('All Subscriptions'!F4:F103)-3),4)),"")</f>
        <v/>
      </c>
      <c r="D9" s="72">
        <f>IFERROR(INDEX('All Subscriptions'!F4:F103,SMALL(IF(MONTH('All Subscriptions'!F4:F103)=1,ROW('All Subscriptions'!F4:F103)-3),4)),"")</f>
        <v/>
      </c>
      <c r="E9" s="70">
        <f>IFERROR(INDEX('All Subscriptions'!C4:C103,SMALL(IF(MONTH('All Subscriptions'!F4:F103)=1,ROW('All Subscriptions'!F4:F103)-3),4)),"")</f>
        <v/>
      </c>
    </row>
    <row r="10" ht="22" customHeight="1">
      <c r="B10" s="61">
        <f>IFERROR(INDEX('All Subscriptions'!A4:A103,SMALL(IF(MONTH('All Subscriptions'!F4:F103)=1,ROW('All Subscriptions'!F4:F103)-3),5)),"")</f>
        <v/>
      </c>
      <c r="C10" s="62">
        <f>IFERROR(INDEX('All Subscriptions'!B4:B103,SMALL(IF(MONTH('All Subscriptions'!F4:F103)=1,ROW('All Subscriptions'!F4:F103)-3),5)),"")</f>
        <v/>
      </c>
      <c r="D10" s="73">
        <f>IFERROR(INDEX('All Subscriptions'!F4:F103,SMALL(IF(MONTH('All Subscriptions'!F4:F103)=1,ROW('All Subscriptions'!F4:F103)-3),5)),"")</f>
        <v/>
      </c>
      <c r="E10" s="63">
        <f>IFERROR(INDEX('All Subscriptions'!C4:C103,SMALL(IF(MONTH('All Subscriptions'!F4:F103)=1,ROW('All Subscriptions'!F4:F103)-3),5)),"")</f>
        <v/>
      </c>
    </row>
    <row r="11" ht="22" customHeight="1">
      <c r="B11" s="69">
        <f>IFERROR(INDEX('All Subscriptions'!A4:A103,SMALL(IF(MONTH('All Subscriptions'!F4:F103)=1,ROW('All Subscriptions'!F4:F103)-3),6)),"")</f>
        <v/>
      </c>
      <c r="C11" s="71">
        <f>IFERROR(INDEX('All Subscriptions'!B4:B103,SMALL(IF(MONTH('All Subscriptions'!F4:F103)=1,ROW('All Subscriptions'!F4:F103)-3),6)),"")</f>
        <v/>
      </c>
      <c r="D11" s="72">
        <f>IFERROR(INDEX('All Subscriptions'!F4:F103,SMALL(IF(MONTH('All Subscriptions'!F4:F103)=1,ROW('All Subscriptions'!F4:F103)-3),6)),"")</f>
        <v/>
      </c>
      <c r="E11" s="70">
        <f>IFERROR(INDEX('All Subscriptions'!C4:C103,SMALL(IF(MONTH('All Subscriptions'!F4:F103)=1,ROW('All Subscriptions'!F4:F103)-3),6)),"")</f>
        <v/>
      </c>
    </row>
    <row r="12" ht="22" customHeight="1">
      <c r="B12" s="61">
        <f>IFERROR(INDEX('All Subscriptions'!A4:A103,SMALL(IF(MONTH('All Subscriptions'!F4:F103)=1,ROW('All Subscriptions'!F4:F103)-3),7)),"")</f>
        <v/>
      </c>
      <c r="C12" s="62">
        <f>IFERROR(INDEX('All Subscriptions'!B4:B103,SMALL(IF(MONTH('All Subscriptions'!F4:F103)=1,ROW('All Subscriptions'!F4:F103)-3),7)),"")</f>
        <v/>
      </c>
      <c r="D12" s="73">
        <f>IFERROR(INDEX('All Subscriptions'!F4:F103,SMALL(IF(MONTH('All Subscriptions'!F4:F103)=1,ROW('All Subscriptions'!F4:F103)-3),7)),"")</f>
        <v/>
      </c>
      <c r="E12" s="63">
        <f>IFERROR(INDEX('All Subscriptions'!C4:C103,SMALL(IF(MONTH('All Subscriptions'!F4:F103)=1,ROW('All Subscriptions'!F4:F103)-3),7)),"")</f>
        <v/>
      </c>
    </row>
    <row r="13" ht="22" customHeight="1">
      <c r="B13" s="69">
        <f>IFERROR(INDEX('All Subscriptions'!A4:A103,SMALL(IF(MONTH('All Subscriptions'!F4:F103)=1,ROW('All Subscriptions'!F4:F103)-3),8)),"")</f>
        <v/>
      </c>
      <c r="C13" s="71">
        <f>IFERROR(INDEX('All Subscriptions'!B4:B103,SMALL(IF(MONTH('All Subscriptions'!F4:F103)=1,ROW('All Subscriptions'!F4:F103)-3),8)),"")</f>
        <v/>
      </c>
      <c r="D13" s="72">
        <f>IFERROR(INDEX('All Subscriptions'!F4:F103,SMALL(IF(MONTH('All Subscriptions'!F4:F103)=1,ROW('All Subscriptions'!F4:F103)-3),8)),"")</f>
        <v/>
      </c>
      <c r="E13" s="70">
        <f>IFERROR(INDEX('All Subscriptions'!C4:C103,SMALL(IF(MONTH('All Subscriptions'!F4:F103)=1,ROW('All Subscriptions'!F4:F103)-3),8)),"")</f>
        <v/>
      </c>
    </row>
    <row r="14" ht="22" customHeight="1">
      <c r="B14" s="61">
        <f>IFERROR(INDEX('All Subscriptions'!A4:A103,SMALL(IF(MONTH('All Subscriptions'!F4:F103)=1,ROW('All Subscriptions'!F4:F103)-3),9)),"")</f>
        <v/>
      </c>
      <c r="C14" s="62">
        <f>IFERROR(INDEX('All Subscriptions'!B4:B103,SMALL(IF(MONTH('All Subscriptions'!F4:F103)=1,ROW('All Subscriptions'!F4:F103)-3),9)),"")</f>
        <v/>
      </c>
      <c r="D14" s="73">
        <f>IFERROR(INDEX('All Subscriptions'!F4:F103,SMALL(IF(MONTH('All Subscriptions'!F4:F103)=1,ROW('All Subscriptions'!F4:F103)-3),9)),"")</f>
        <v/>
      </c>
      <c r="E14" s="63">
        <f>IFERROR(INDEX('All Subscriptions'!C4:C103,SMALL(IF(MONTH('All Subscriptions'!F4:F103)=1,ROW('All Subscriptions'!F4:F103)-3),9)),"")</f>
        <v/>
      </c>
    </row>
    <row r="15" ht="22" customHeight="1">
      <c r="B15" s="69">
        <f>IFERROR(INDEX('All Subscriptions'!A4:A103,SMALL(IF(MONTH('All Subscriptions'!F4:F103)=1,ROW('All Subscriptions'!F4:F103)-3),10)),"")</f>
        <v/>
      </c>
      <c r="C15" s="71">
        <f>IFERROR(INDEX('All Subscriptions'!B4:B103,SMALL(IF(MONTH('All Subscriptions'!F4:F103)=1,ROW('All Subscriptions'!F4:F103)-3),10)),"")</f>
        <v/>
      </c>
      <c r="D15" s="72">
        <f>IFERROR(INDEX('All Subscriptions'!F4:F103,SMALL(IF(MONTH('All Subscriptions'!F4:F103)=1,ROW('All Subscriptions'!F4:F103)-3),10)),"")</f>
        <v/>
      </c>
      <c r="E15" s="70">
        <f>IFERROR(INDEX('All Subscriptions'!C4:C103,SMALL(IF(MONTH('All Subscriptions'!F4:F103)=1,ROW('All Subscriptions'!F4:F103)-3),10)),"")</f>
        <v/>
      </c>
    </row>
    <row r="16" ht="22" customHeight="1">
      <c r="B16" s="61">
        <f>IFERROR(INDEX('All Subscriptions'!A4:A103,SMALL(IF(MONTH('All Subscriptions'!F4:F103)=1,ROW('All Subscriptions'!F4:F103)-3),11)),"")</f>
        <v/>
      </c>
      <c r="C16" s="62">
        <f>IFERROR(INDEX('All Subscriptions'!B4:B103,SMALL(IF(MONTH('All Subscriptions'!F4:F103)=1,ROW('All Subscriptions'!F4:F103)-3),11)),"")</f>
        <v/>
      </c>
      <c r="D16" s="73">
        <f>IFERROR(INDEX('All Subscriptions'!F4:F103,SMALL(IF(MONTH('All Subscriptions'!F4:F103)=1,ROW('All Subscriptions'!F4:F103)-3),11)),"")</f>
        <v/>
      </c>
      <c r="E16" s="63">
        <f>IFERROR(INDEX('All Subscriptions'!C4:C103,SMALL(IF(MONTH('All Subscriptions'!F4:F103)=1,ROW('All Subscriptions'!F4:F103)-3),11)),"")</f>
        <v/>
      </c>
    </row>
    <row r="17" ht="22" customHeight="1">
      <c r="B17" s="69">
        <f>IFERROR(INDEX('All Subscriptions'!A4:A103,SMALL(IF(MONTH('All Subscriptions'!F4:F103)=1,ROW('All Subscriptions'!F4:F103)-3),12)),"")</f>
        <v/>
      </c>
      <c r="C17" s="71">
        <f>IFERROR(INDEX('All Subscriptions'!B4:B103,SMALL(IF(MONTH('All Subscriptions'!F4:F103)=1,ROW('All Subscriptions'!F4:F103)-3),12)),"")</f>
        <v/>
      </c>
      <c r="D17" s="72">
        <f>IFERROR(INDEX('All Subscriptions'!F4:F103,SMALL(IF(MONTH('All Subscriptions'!F4:F103)=1,ROW('All Subscriptions'!F4:F103)-3),12)),"")</f>
        <v/>
      </c>
      <c r="E17" s="70">
        <f>IFERROR(INDEX('All Subscriptions'!C4:C103,SMALL(IF(MONTH('All Subscriptions'!F4:F103)=1,ROW('All Subscriptions'!F4:F103)-3),12)),"")</f>
        <v/>
      </c>
    </row>
    <row r="18" ht="28" customHeight="1">
      <c r="B18" s="30" t="inlineStr">
        <is>
          <t>January Total</t>
        </is>
      </c>
      <c r="C18" s="76" t="n"/>
      <c r="D18" s="76" t="n"/>
      <c r="E18" s="77">
        <f>SUMPRODUCT((MONTH('All Subscriptions'!F4:F103)=1)*('All Subscriptions'!I4:I103&lt;&gt;"Canceled")*'All Subscriptions'!C4:C103)</f>
        <v/>
      </c>
    </row>
    <row r="20" ht="32" customHeight="1">
      <c r="B20" s="74" t="inlineStr">
        <is>
          <t>FEBRUARY</t>
        </is>
      </c>
      <c r="C20" s="123" t="n"/>
      <c r="D20" s="123" t="n"/>
      <c r="E20" s="121" t="n"/>
    </row>
    <row r="21">
      <c r="B21" s="75" t="inlineStr">
        <is>
          <t>Service</t>
        </is>
      </c>
      <c r="C21" s="75" t="inlineStr">
        <is>
          <t>Category</t>
        </is>
      </c>
      <c r="D21" s="75" t="inlineStr">
        <is>
          <t>Renewal Date</t>
        </is>
      </c>
      <c r="E21" s="75" t="inlineStr">
        <is>
          <t>Amount</t>
        </is>
      </c>
    </row>
    <row r="22" ht="22" customHeight="1">
      <c r="B22" s="61">
        <f>IFERROR(INDEX('All Subscriptions'!A4:A103,SMALL(IF(MONTH('All Subscriptions'!F4:F103)=2,ROW('All Subscriptions'!F4:F103)-3),1)),"")</f>
        <v/>
      </c>
      <c r="C22" s="62">
        <f>IFERROR(INDEX('All Subscriptions'!B4:B103,SMALL(IF(MONTH('All Subscriptions'!F4:F103)=2,ROW('All Subscriptions'!F4:F103)-3),1)),"")</f>
        <v/>
      </c>
      <c r="D22" s="73">
        <f>IFERROR(INDEX('All Subscriptions'!F4:F103,SMALL(IF(MONTH('All Subscriptions'!F4:F103)=2,ROW('All Subscriptions'!F4:F103)-3),1)),"")</f>
        <v/>
      </c>
      <c r="E22" s="63">
        <f>IFERROR(INDEX('All Subscriptions'!C4:C103,SMALL(IF(MONTH('All Subscriptions'!F4:F103)=2,ROW('All Subscriptions'!F4:F103)-3),1)),"")</f>
        <v/>
      </c>
    </row>
    <row r="23" ht="22" customHeight="1">
      <c r="B23" s="69">
        <f>IFERROR(INDEX('All Subscriptions'!A4:A103,SMALL(IF(MONTH('All Subscriptions'!F4:F103)=2,ROW('All Subscriptions'!F4:F103)-3),2)),"")</f>
        <v/>
      </c>
      <c r="C23" s="71">
        <f>IFERROR(INDEX('All Subscriptions'!B4:B103,SMALL(IF(MONTH('All Subscriptions'!F4:F103)=2,ROW('All Subscriptions'!F4:F103)-3),2)),"")</f>
        <v/>
      </c>
      <c r="D23" s="72">
        <f>IFERROR(INDEX('All Subscriptions'!F4:F103,SMALL(IF(MONTH('All Subscriptions'!F4:F103)=2,ROW('All Subscriptions'!F4:F103)-3),2)),"")</f>
        <v/>
      </c>
      <c r="E23" s="70">
        <f>IFERROR(INDEX('All Subscriptions'!C4:C103,SMALL(IF(MONTH('All Subscriptions'!F4:F103)=2,ROW('All Subscriptions'!F4:F103)-3),2)),"")</f>
        <v/>
      </c>
    </row>
    <row r="24" ht="22" customHeight="1">
      <c r="B24" s="61">
        <f>IFERROR(INDEX('All Subscriptions'!A4:A103,SMALL(IF(MONTH('All Subscriptions'!F4:F103)=2,ROW('All Subscriptions'!F4:F103)-3),3)),"")</f>
        <v/>
      </c>
      <c r="C24" s="62">
        <f>IFERROR(INDEX('All Subscriptions'!B4:B103,SMALL(IF(MONTH('All Subscriptions'!F4:F103)=2,ROW('All Subscriptions'!F4:F103)-3),3)),"")</f>
        <v/>
      </c>
      <c r="D24" s="73">
        <f>IFERROR(INDEX('All Subscriptions'!F4:F103,SMALL(IF(MONTH('All Subscriptions'!F4:F103)=2,ROW('All Subscriptions'!F4:F103)-3),3)),"")</f>
        <v/>
      </c>
      <c r="E24" s="63">
        <f>IFERROR(INDEX('All Subscriptions'!C4:C103,SMALL(IF(MONTH('All Subscriptions'!F4:F103)=2,ROW('All Subscriptions'!F4:F103)-3),3)),"")</f>
        <v/>
      </c>
    </row>
    <row r="25" ht="22" customHeight="1">
      <c r="B25" s="69">
        <f>IFERROR(INDEX('All Subscriptions'!A4:A103,SMALL(IF(MONTH('All Subscriptions'!F4:F103)=2,ROW('All Subscriptions'!F4:F103)-3),4)),"")</f>
        <v/>
      </c>
      <c r="C25" s="71">
        <f>IFERROR(INDEX('All Subscriptions'!B4:B103,SMALL(IF(MONTH('All Subscriptions'!F4:F103)=2,ROW('All Subscriptions'!F4:F103)-3),4)),"")</f>
        <v/>
      </c>
      <c r="D25" s="72">
        <f>IFERROR(INDEX('All Subscriptions'!F4:F103,SMALL(IF(MONTH('All Subscriptions'!F4:F103)=2,ROW('All Subscriptions'!F4:F103)-3),4)),"")</f>
        <v/>
      </c>
      <c r="E25" s="70">
        <f>IFERROR(INDEX('All Subscriptions'!C4:C103,SMALL(IF(MONTH('All Subscriptions'!F4:F103)=2,ROW('All Subscriptions'!F4:F103)-3),4)),"")</f>
        <v/>
      </c>
    </row>
    <row r="26" ht="22" customHeight="1">
      <c r="B26" s="61">
        <f>IFERROR(INDEX('All Subscriptions'!A4:A103,SMALL(IF(MONTH('All Subscriptions'!F4:F103)=2,ROW('All Subscriptions'!F4:F103)-3),5)),"")</f>
        <v/>
      </c>
      <c r="C26" s="62">
        <f>IFERROR(INDEX('All Subscriptions'!B4:B103,SMALL(IF(MONTH('All Subscriptions'!F4:F103)=2,ROW('All Subscriptions'!F4:F103)-3),5)),"")</f>
        <v/>
      </c>
      <c r="D26" s="73">
        <f>IFERROR(INDEX('All Subscriptions'!F4:F103,SMALL(IF(MONTH('All Subscriptions'!F4:F103)=2,ROW('All Subscriptions'!F4:F103)-3),5)),"")</f>
        <v/>
      </c>
      <c r="E26" s="63">
        <f>IFERROR(INDEX('All Subscriptions'!C4:C103,SMALL(IF(MONTH('All Subscriptions'!F4:F103)=2,ROW('All Subscriptions'!F4:F103)-3),5)),"")</f>
        <v/>
      </c>
    </row>
    <row r="27" ht="22" customHeight="1">
      <c r="B27" s="69">
        <f>IFERROR(INDEX('All Subscriptions'!A4:A103,SMALL(IF(MONTH('All Subscriptions'!F4:F103)=2,ROW('All Subscriptions'!F4:F103)-3),6)),"")</f>
        <v/>
      </c>
      <c r="C27" s="71">
        <f>IFERROR(INDEX('All Subscriptions'!B4:B103,SMALL(IF(MONTH('All Subscriptions'!F4:F103)=2,ROW('All Subscriptions'!F4:F103)-3),6)),"")</f>
        <v/>
      </c>
      <c r="D27" s="72">
        <f>IFERROR(INDEX('All Subscriptions'!F4:F103,SMALL(IF(MONTH('All Subscriptions'!F4:F103)=2,ROW('All Subscriptions'!F4:F103)-3),6)),"")</f>
        <v/>
      </c>
      <c r="E27" s="70">
        <f>IFERROR(INDEX('All Subscriptions'!C4:C103,SMALL(IF(MONTH('All Subscriptions'!F4:F103)=2,ROW('All Subscriptions'!F4:F103)-3),6)),"")</f>
        <v/>
      </c>
    </row>
    <row r="28" ht="22" customHeight="1">
      <c r="B28" s="61">
        <f>IFERROR(INDEX('All Subscriptions'!A4:A103,SMALL(IF(MONTH('All Subscriptions'!F4:F103)=2,ROW('All Subscriptions'!F4:F103)-3),7)),"")</f>
        <v/>
      </c>
      <c r="C28" s="62">
        <f>IFERROR(INDEX('All Subscriptions'!B4:B103,SMALL(IF(MONTH('All Subscriptions'!F4:F103)=2,ROW('All Subscriptions'!F4:F103)-3),7)),"")</f>
        <v/>
      </c>
      <c r="D28" s="73">
        <f>IFERROR(INDEX('All Subscriptions'!F4:F103,SMALL(IF(MONTH('All Subscriptions'!F4:F103)=2,ROW('All Subscriptions'!F4:F103)-3),7)),"")</f>
        <v/>
      </c>
      <c r="E28" s="63">
        <f>IFERROR(INDEX('All Subscriptions'!C4:C103,SMALL(IF(MONTH('All Subscriptions'!F4:F103)=2,ROW('All Subscriptions'!F4:F103)-3),7)),"")</f>
        <v/>
      </c>
    </row>
    <row r="29" ht="22" customHeight="1">
      <c r="B29" s="69">
        <f>IFERROR(INDEX('All Subscriptions'!A4:A103,SMALL(IF(MONTH('All Subscriptions'!F4:F103)=2,ROW('All Subscriptions'!F4:F103)-3),8)),"")</f>
        <v/>
      </c>
      <c r="C29" s="71">
        <f>IFERROR(INDEX('All Subscriptions'!B4:B103,SMALL(IF(MONTH('All Subscriptions'!F4:F103)=2,ROW('All Subscriptions'!F4:F103)-3),8)),"")</f>
        <v/>
      </c>
      <c r="D29" s="72">
        <f>IFERROR(INDEX('All Subscriptions'!F4:F103,SMALL(IF(MONTH('All Subscriptions'!F4:F103)=2,ROW('All Subscriptions'!F4:F103)-3),8)),"")</f>
        <v/>
      </c>
      <c r="E29" s="70">
        <f>IFERROR(INDEX('All Subscriptions'!C4:C103,SMALL(IF(MONTH('All Subscriptions'!F4:F103)=2,ROW('All Subscriptions'!F4:F103)-3),8)),"")</f>
        <v/>
      </c>
    </row>
    <row r="30" ht="22" customHeight="1">
      <c r="B30" s="61">
        <f>IFERROR(INDEX('All Subscriptions'!A4:A103,SMALL(IF(MONTH('All Subscriptions'!F4:F103)=2,ROW('All Subscriptions'!F4:F103)-3),9)),"")</f>
        <v/>
      </c>
      <c r="C30" s="62">
        <f>IFERROR(INDEX('All Subscriptions'!B4:B103,SMALL(IF(MONTH('All Subscriptions'!F4:F103)=2,ROW('All Subscriptions'!F4:F103)-3),9)),"")</f>
        <v/>
      </c>
      <c r="D30" s="73">
        <f>IFERROR(INDEX('All Subscriptions'!F4:F103,SMALL(IF(MONTH('All Subscriptions'!F4:F103)=2,ROW('All Subscriptions'!F4:F103)-3),9)),"")</f>
        <v/>
      </c>
      <c r="E30" s="63">
        <f>IFERROR(INDEX('All Subscriptions'!C4:C103,SMALL(IF(MONTH('All Subscriptions'!F4:F103)=2,ROW('All Subscriptions'!F4:F103)-3),9)),"")</f>
        <v/>
      </c>
    </row>
    <row r="31" ht="22" customHeight="1">
      <c r="B31" s="69">
        <f>IFERROR(INDEX('All Subscriptions'!A4:A103,SMALL(IF(MONTH('All Subscriptions'!F4:F103)=2,ROW('All Subscriptions'!F4:F103)-3),10)),"")</f>
        <v/>
      </c>
      <c r="C31" s="71">
        <f>IFERROR(INDEX('All Subscriptions'!B4:B103,SMALL(IF(MONTH('All Subscriptions'!F4:F103)=2,ROW('All Subscriptions'!F4:F103)-3),10)),"")</f>
        <v/>
      </c>
      <c r="D31" s="72">
        <f>IFERROR(INDEX('All Subscriptions'!F4:F103,SMALL(IF(MONTH('All Subscriptions'!F4:F103)=2,ROW('All Subscriptions'!F4:F103)-3),10)),"")</f>
        <v/>
      </c>
      <c r="E31" s="70">
        <f>IFERROR(INDEX('All Subscriptions'!C4:C103,SMALL(IF(MONTH('All Subscriptions'!F4:F103)=2,ROW('All Subscriptions'!F4:F103)-3),10)),"")</f>
        <v/>
      </c>
    </row>
    <row r="32" ht="22" customHeight="1">
      <c r="B32" s="61">
        <f>IFERROR(INDEX('All Subscriptions'!A4:A103,SMALL(IF(MONTH('All Subscriptions'!F4:F103)=2,ROW('All Subscriptions'!F4:F103)-3),11)),"")</f>
        <v/>
      </c>
      <c r="C32" s="62">
        <f>IFERROR(INDEX('All Subscriptions'!B4:B103,SMALL(IF(MONTH('All Subscriptions'!F4:F103)=2,ROW('All Subscriptions'!F4:F103)-3),11)),"")</f>
        <v/>
      </c>
      <c r="D32" s="73">
        <f>IFERROR(INDEX('All Subscriptions'!F4:F103,SMALL(IF(MONTH('All Subscriptions'!F4:F103)=2,ROW('All Subscriptions'!F4:F103)-3),11)),"")</f>
        <v/>
      </c>
      <c r="E32" s="63">
        <f>IFERROR(INDEX('All Subscriptions'!C4:C103,SMALL(IF(MONTH('All Subscriptions'!F4:F103)=2,ROW('All Subscriptions'!F4:F103)-3),11)),"")</f>
        <v/>
      </c>
    </row>
    <row r="33" ht="22" customHeight="1">
      <c r="B33" s="69">
        <f>IFERROR(INDEX('All Subscriptions'!A4:A103,SMALL(IF(MONTH('All Subscriptions'!F4:F103)=2,ROW('All Subscriptions'!F4:F103)-3),12)),"")</f>
        <v/>
      </c>
      <c r="C33" s="71">
        <f>IFERROR(INDEX('All Subscriptions'!B4:B103,SMALL(IF(MONTH('All Subscriptions'!F4:F103)=2,ROW('All Subscriptions'!F4:F103)-3),12)),"")</f>
        <v/>
      </c>
      <c r="D33" s="72">
        <f>IFERROR(INDEX('All Subscriptions'!F4:F103,SMALL(IF(MONTH('All Subscriptions'!F4:F103)=2,ROW('All Subscriptions'!F4:F103)-3),12)),"")</f>
        <v/>
      </c>
      <c r="E33" s="70">
        <f>IFERROR(INDEX('All Subscriptions'!C4:C103,SMALL(IF(MONTH('All Subscriptions'!F4:F103)=2,ROW('All Subscriptions'!F4:F103)-3),12)),"")</f>
        <v/>
      </c>
    </row>
    <row r="34" ht="28" customHeight="1">
      <c r="B34" s="30" t="inlineStr">
        <is>
          <t>February Total</t>
        </is>
      </c>
      <c r="C34" s="76" t="n"/>
      <c r="D34" s="76" t="n"/>
      <c r="E34" s="77">
        <f>SUMPRODUCT((MONTH('All Subscriptions'!F4:F103)=2)*('All Subscriptions'!I4:I103&lt;&gt;"Canceled")*'All Subscriptions'!C4:C103)</f>
        <v/>
      </c>
    </row>
    <row r="36" ht="32" customHeight="1">
      <c r="B36" s="74" t="inlineStr">
        <is>
          <t>MARCH</t>
        </is>
      </c>
      <c r="C36" s="123" t="n"/>
      <c r="D36" s="123" t="n"/>
      <c r="E36" s="121" t="n"/>
    </row>
    <row r="37">
      <c r="B37" s="75" t="inlineStr">
        <is>
          <t>Service</t>
        </is>
      </c>
      <c r="C37" s="75" t="inlineStr">
        <is>
          <t>Category</t>
        </is>
      </c>
      <c r="D37" s="75" t="inlineStr">
        <is>
          <t>Renewal Date</t>
        </is>
      </c>
      <c r="E37" s="75" t="inlineStr">
        <is>
          <t>Amount</t>
        </is>
      </c>
    </row>
    <row r="38" ht="22" customHeight="1">
      <c r="B38" s="61">
        <f>IFERROR(INDEX('All Subscriptions'!A4:A103,SMALL(IF(MONTH('All Subscriptions'!F4:F103)=3,ROW('All Subscriptions'!F4:F103)-3),1)),"")</f>
        <v/>
      </c>
      <c r="C38" s="62">
        <f>IFERROR(INDEX('All Subscriptions'!B4:B103,SMALL(IF(MONTH('All Subscriptions'!F4:F103)=3,ROW('All Subscriptions'!F4:F103)-3),1)),"")</f>
        <v/>
      </c>
      <c r="D38" s="73">
        <f>IFERROR(INDEX('All Subscriptions'!F4:F103,SMALL(IF(MONTH('All Subscriptions'!F4:F103)=3,ROW('All Subscriptions'!F4:F103)-3),1)),"")</f>
        <v/>
      </c>
      <c r="E38" s="63">
        <f>IFERROR(INDEX('All Subscriptions'!C4:C103,SMALL(IF(MONTH('All Subscriptions'!F4:F103)=3,ROW('All Subscriptions'!F4:F103)-3),1)),"")</f>
        <v/>
      </c>
    </row>
    <row r="39" ht="22" customHeight="1">
      <c r="B39" s="69">
        <f>IFERROR(INDEX('All Subscriptions'!A4:A103,SMALL(IF(MONTH('All Subscriptions'!F4:F103)=3,ROW('All Subscriptions'!F4:F103)-3),2)),"")</f>
        <v/>
      </c>
      <c r="C39" s="71">
        <f>IFERROR(INDEX('All Subscriptions'!B4:B103,SMALL(IF(MONTH('All Subscriptions'!F4:F103)=3,ROW('All Subscriptions'!F4:F103)-3),2)),"")</f>
        <v/>
      </c>
      <c r="D39" s="72">
        <f>IFERROR(INDEX('All Subscriptions'!F4:F103,SMALL(IF(MONTH('All Subscriptions'!F4:F103)=3,ROW('All Subscriptions'!F4:F103)-3),2)),"")</f>
        <v/>
      </c>
      <c r="E39" s="70">
        <f>IFERROR(INDEX('All Subscriptions'!C4:C103,SMALL(IF(MONTH('All Subscriptions'!F4:F103)=3,ROW('All Subscriptions'!F4:F103)-3),2)),"")</f>
        <v/>
      </c>
    </row>
    <row r="40" ht="22" customHeight="1">
      <c r="B40" s="61">
        <f>IFERROR(INDEX('All Subscriptions'!A4:A103,SMALL(IF(MONTH('All Subscriptions'!F4:F103)=3,ROW('All Subscriptions'!F4:F103)-3),3)),"")</f>
        <v/>
      </c>
      <c r="C40" s="62">
        <f>IFERROR(INDEX('All Subscriptions'!B4:B103,SMALL(IF(MONTH('All Subscriptions'!F4:F103)=3,ROW('All Subscriptions'!F4:F103)-3),3)),"")</f>
        <v/>
      </c>
      <c r="D40" s="73">
        <f>IFERROR(INDEX('All Subscriptions'!F4:F103,SMALL(IF(MONTH('All Subscriptions'!F4:F103)=3,ROW('All Subscriptions'!F4:F103)-3),3)),"")</f>
        <v/>
      </c>
      <c r="E40" s="63">
        <f>IFERROR(INDEX('All Subscriptions'!C4:C103,SMALL(IF(MONTH('All Subscriptions'!F4:F103)=3,ROW('All Subscriptions'!F4:F103)-3),3)),"")</f>
        <v/>
      </c>
    </row>
    <row r="41" ht="22" customHeight="1">
      <c r="B41" s="69">
        <f>IFERROR(INDEX('All Subscriptions'!A4:A103,SMALL(IF(MONTH('All Subscriptions'!F4:F103)=3,ROW('All Subscriptions'!F4:F103)-3),4)),"")</f>
        <v/>
      </c>
      <c r="C41" s="71">
        <f>IFERROR(INDEX('All Subscriptions'!B4:B103,SMALL(IF(MONTH('All Subscriptions'!F4:F103)=3,ROW('All Subscriptions'!F4:F103)-3),4)),"")</f>
        <v/>
      </c>
      <c r="D41" s="72">
        <f>IFERROR(INDEX('All Subscriptions'!F4:F103,SMALL(IF(MONTH('All Subscriptions'!F4:F103)=3,ROW('All Subscriptions'!F4:F103)-3),4)),"")</f>
        <v/>
      </c>
      <c r="E41" s="70">
        <f>IFERROR(INDEX('All Subscriptions'!C4:C103,SMALL(IF(MONTH('All Subscriptions'!F4:F103)=3,ROW('All Subscriptions'!F4:F103)-3),4)),"")</f>
        <v/>
      </c>
    </row>
    <row r="42" ht="22" customHeight="1">
      <c r="B42" s="61">
        <f>IFERROR(INDEX('All Subscriptions'!A4:A103,SMALL(IF(MONTH('All Subscriptions'!F4:F103)=3,ROW('All Subscriptions'!F4:F103)-3),5)),"")</f>
        <v/>
      </c>
      <c r="C42" s="62">
        <f>IFERROR(INDEX('All Subscriptions'!B4:B103,SMALL(IF(MONTH('All Subscriptions'!F4:F103)=3,ROW('All Subscriptions'!F4:F103)-3),5)),"")</f>
        <v/>
      </c>
      <c r="D42" s="73">
        <f>IFERROR(INDEX('All Subscriptions'!F4:F103,SMALL(IF(MONTH('All Subscriptions'!F4:F103)=3,ROW('All Subscriptions'!F4:F103)-3),5)),"")</f>
        <v/>
      </c>
      <c r="E42" s="63">
        <f>IFERROR(INDEX('All Subscriptions'!C4:C103,SMALL(IF(MONTH('All Subscriptions'!F4:F103)=3,ROW('All Subscriptions'!F4:F103)-3),5)),"")</f>
        <v/>
      </c>
    </row>
    <row r="43" ht="22" customHeight="1">
      <c r="B43" s="69">
        <f>IFERROR(INDEX('All Subscriptions'!A4:A103,SMALL(IF(MONTH('All Subscriptions'!F4:F103)=3,ROW('All Subscriptions'!F4:F103)-3),6)),"")</f>
        <v/>
      </c>
      <c r="C43" s="71">
        <f>IFERROR(INDEX('All Subscriptions'!B4:B103,SMALL(IF(MONTH('All Subscriptions'!F4:F103)=3,ROW('All Subscriptions'!F4:F103)-3),6)),"")</f>
        <v/>
      </c>
      <c r="D43" s="72">
        <f>IFERROR(INDEX('All Subscriptions'!F4:F103,SMALL(IF(MONTH('All Subscriptions'!F4:F103)=3,ROW('All Subscriptions'!F4:F103)-3),6)),"")</f>
        <v/>
      </c>
      <c r="E43" s="70">
        <f>IFERROR(INDEX('All Subscriptions'!C4:C103,SMALL(IF(MONTH('All Subscriptions'!F4:F103)=3,ROW('All Subscriptions'!F4:F103)-3),6)),"")</f>
        <v/>
      </c>
    </row>
    <row r="44" ht="22" customHeight="1">
      <c r="B44" s="61">
        <f>IFERROR(INDEX('All Subscriptions'!A4:A103,SMALL(IF(MONTH('All Subscriptions'!F4:F103)=3,ROW('All Subscriptions'!F4:F103)-3),7)),"")</f>
        <v/>
      </c>
      <c r="C44" s="62">
        <f>IFERROR(INDEX('All Subscriptions'!B4:B103,SMALL(IF(MONTH('All Subscriptions'!F4:F103)=3,ROW('All Subscriptions'!F4:F103)-3),7)),"")</f>
        <v/>
      </c>
      <c r="D44" s="73">
        <f>IFERROR(INDEX('All Subscriptions'!F4:F103,SMALL(IF(MONTH('All Subscriptions'!F4:F103)=3,ROW('All Subscriptions'!F4:F103)-3),7)),"")</f>
        <v/>
      </c>
      <c r="E44" s="63">
        <f>IFERROR(INDEX('All Subscriptions'!C4:C103,SMALL(IF(MONTH('All Subscriptions'!F4:F103)=3,ROW('All Subscriptions'!F4:F103)-3),7)),"")</f>
        <v/>
      </c>
    </row>
    <row r="45" ht="22" customHeight="1">
      <c r="B45" s="69">
        <f>IFERROR(INDEX('All Subscriptions'!A4:A103,SMALL(IF(MONTH('All Subscriptions'!F4:F103)=3,ROW('All Subscriptions'!F4:F103)-3),8)),"")</f>
        <v/>
      </c>
      <c r="C45" s="71">
        <f>IFERROR(INDEX('All Subscriptions'!B4:B103,SMALL(IF(MONTH('All Subscriptions'!F4:F103)=3,ROW('All Subscriptions'!F4:F103)-3),8)),"")</f>
        <v/>
      </c>
      <c r="D45" s="72">
        <f>IFERROR(INDEX('All Subscriptions'!F4:F103,SMALL(IF(MONTH('All Subscriptions'!F4:F103)=3,ROW('All Subscriptions'!F4:F103)-3),8)),"")</f>
        <v/>
      </c>
      <c r="E45" s="70">
        <f>IFERROR(INDEX('All Subscriptions'!C4:C103,SMALL(IF(MONTH('All Subscriptions'!F4:F103)=3,ROW('All Subscriptions'!F4:F103)-3),8)),"")</f>
        <v/>
      </c>
    </row>
    <row r="46" ht="22" customHeight="1">
      <c r="B46" s="61">
        <f>IFERROR(INDEX('All Subscriptions'!A4:A103,SMALL(IF(MONTH('All Subscriptions'!F4:F103)=3,ROW('All Subscriptions'!F4:F103)-3),9)),"")</f>
        <v/>
      </c>
      <c r="C46" s="62">
        <f>IFERROR(INDEX('All Subscriptions'!B4:B103,SMALL(IF(MONTH('All Subscriptions'!F4:F103)=3,ROW('All Subscriptions'!F4:F103)-3),9)),"")</f>
        <v/>
      </c>
      <c r="D46" s="73">
        <f>IFERROR(INDEX('All Subscriptions'!F4:F103,SMALL(IF(MONTH('All Subscriptions'!F4:F103)=3,ROW('All Subscriptions'!F4:F103)-3),9)),"")</f>
        <v/>
      </c>
      <c r="E46" s="63">
        <f>IFERROR(INDEX('All Subscriptions'!C4:C103,SMALL(IF(MONTH('All Subscriptions'!F4:F103)=3,ROW('All Subscriptions'!F4:F103)-3),9)),"")</f>
        <v/>
      </c>
    </row>
    <row r="47" ht="22" customHeight="1">
      <c r="B47" s="69">
        <f>IFERROR(INDEX('All Subscriptions'!A4:A103,SMALL(IF(MONTH('All Subscriptions'!F4:F103)=3,ROW('All Subscriptions'!F4:F103)-3),10)),"")</f>
        <v/>
      </c>
      <c r="C47" s="71">
        <f>IFERROR(INDEX('All Subscriptions'!B4:B103,SMALL(IF(MONTH('All Subscriptions'!F4:F103)=3,ROW('All Subscriptions'!F4:F103)-3),10)),"")</f>
        <v/>
      </c>
      <c r="D47" s="72">
        <f>IFERROR(INDEX('All Subscriptions'!F4:F103,SMALL(IF(MONTH('All Subscriptions'!F4:F103)=3,ROW('All Subscriptions'!F4:F103)-3),10)),"")</f>
        <v/>
      </c>
      <c r="E47" s="70">
        <f>IFERROR(INDEX('All Subscriptions'!C4:C103,SMALL(IF(MONTH('All Subscriptions'!F4:F103)=3,ROW('All Subscriptions'!F4:F103)-3),10)),"")</f>
        <v/>
      </c>
    </row>
    <row r="48" ht="22" customHeight="1">
      <c r="B48" s="61">
        <f>IFERROR(INDEX('All Subscriptions'!A4:A103,SMALL(IF(MONTH('All Subscriptions'!F4:F103)=3,ROW('All Subscriptions'!F4:F103)-3),11)),"")</f>
        <v/>
      </c>
      <c r="C48" s="62">
        <f>IFERROR(INDEX('All Subscriptions'!B4:B103,SMALL(IF(MONTH('All Subscriptions'!F4:F103)=3,ROW('All Subscriptions'!F4:F103)-3),11)),"")</f>
        <v/>
      </c>
      <c r="D48" s="73">
        <f>IFERROR(INDEX('All Subscriptions'!F4:F103,SMALL(IF(MONTH('All Subscriptions'!F4:F103)=3,ROW('All Subscriptions'!F4:F103)-3),11)),"")</f>
        <v/>
      </c>
      <c r="E48" s="63">
        <f>IFERROR(INDEX('All Subscriptions'!C4:C103,SMALL(IF(MONTH('All Subscriptions'!F4:F103)=3,ROW('All Subscriptions'!F4:F103)-3),11)),"")</f>
        <v/>
      </c>
    </row>
    <row r="49" ht="22" customHeight="1">
      <c r="B49" s="69">
        <f>IFERROR(INDEX('All Subscriptions'!A4:A103,SMALL(IF(MONTH('All Subscriptions'!F4:F103)=3,ROW('All Subscriptions'!F4:F103)-3),12)),"")</f>
        <v/>
      </c>
      <c r="C49" s="71">
        <f>IFERROR(INDEX('All Subscriptions'!B4:B103,SMALL(IF(MONTH('All Subscriptions'!F4:F103)=3,ROW('All Subscriptions'!F4:F103)-3),12)),"")</f>
        <v/>
      </c>
      <c r="D49" s="72">
        <f>IFERROR(INDEX('All Subscriptions'!F4:F103,SMALL(IF(MONTH('All Subscriptions'!F4:F103)=3,ROW('All Subscriptions'!F4:F103)-3),12)),"")</f>
        <v/>
      </c>
      <c r="E49" s="70">
        <f>IFERROR(INDEX('All Subscriptions'!C4:C103,SMALL(IF(MONTH('All Subscriptions'!F4:F103)=3,ROW('All Subscriptions'!F4:F103)-3),12)),"")</f>
        <v/>
      </c>
    </row>
    <row r="50" ht="28" customHeight="1">
      <c r="B50" s="30" t="inlineStr">
        <is>
          <t>March Total</t>
        </is>
      </c>
      <c r="C50" s="76" t="n"/>
      <c r="D50" s="76" t="n"/>
      <c r="E50" s="77">
        <f>SUMPRODUCT((MONTH('All Subscriptions'!F4:F103)=3)*('All Subscriptions'!I4:I103&lt;&gt;"Canceled")*'All Subscriptions'!C4:C103)</f>
        <v/>
      </c>
    </row>
    <row r="52" ht="32" customHeight="1">
      <c r="B52" s="74" t="inlineStr">
        <is>
          <t>APRIL</t>
        </is>
      </c>
      <c r="C52" s="123" t="n"/>
      <c r="D52" s="123" t="n"/>
      <c r="E52" s="121" t="n"/>
    </row>
    <row r="53">
      <c r="B53" s="75" t="inlineStr">
        <is>
          <t>Service</t>
        </is>
      </c>
      <c r="C53" s="75" t="inlineStr">
        <is>
          <t>Category</t>
        </is>
      </c>
      <c r="D53" s="75" t="inlineStr">
        <is>
          <t>Renewal Date</t>
        </is>
      </c>
      <c r="E53" s="75" t="inlineStr">
        <is>
          <t>Amount</t>
        </is>
      </c>
    </row>
    <row r="54" ht="22" customHeight="1">
      <c r="B54" s="61">
        <f>IFERROR(INDEX('All Subscriptions'!A4:A103,SMALL(IF(MONTH('All Subscriptions'!F4:F103)=4,ROW('All Subscriptions'!F4:F103)-3),1)),"")</f>
        <v/>
      </c>
      <c r="C54" s="62">
        <f>IFERROR(INDEX('All Subscriptions'!B4:B103,SMALL(IF(MONTH('All Subscriptions'!F4:F103)=4,ROW('All Subscriptions'!F4:F103)-3),1)),"")</f>
        <v/>
      </c>
      <c r="D54" s="73">
        <f>IFERROR(INDEX('All Subscriptions'!F4:F103,SMALL(IF(MONTH('All Subscriptions'!F4:F103)=4,ROW('All Subscriptions'!F4:F103)-3),1)),"")</f>
        <v/>
      </c>
      <c r="E54" s="63">
        <f>IFERROR(INDEX('All Subscriptions'!C4:C103,SMALL(IF(MONTH('All Subscriptions'!F4:F103)=4,ROW('All Subscriptions'!F4:F103)-3),1)),"")</f>
        <v/>
      </c>
    </row>
    <row r="55" ht="22" customHeight="1">
      <c r="B55" s="69">
        <f>IFERROR(INDEX('All Subscriptions'!A4:A103,SMALL(IF(MONTH('All Subscriptions'!F4:F103)=4,ROW('All Subscriptions'!F4:F103)-3),2)),"")</f>
        <v/>
      </c>
      <c r="C55" s="71">
        <f>IFERROR(INDEX('All Subscriptions'!B4:B103,SMALL(IF(MONTH('All Subscriptions'!F4:F103)=4,ROW('All Subscriptions'!F4:F103)-3),2)),"")</f>
        <v/>
      </c>
      <c r="D55" s="72">
        <f>IFERROR(INDEX('All Subscriptions'!F4:F103,SMALL(IF(MONTH('All Subscriptions'!F4:F103)=4,ROW('All Subscriptions'!F4:F103)-3),2)),"")</f>
        <v/>
      </c>
      <c r="E55" s="70">
        <f>IFERROR(INDEX('All Subscriptions'!C4:C103,SMALL(IF(MONTH('All Subscriptions'!F4:F103)=4,ROW('All Subscriptions'!F4:F103)-3),2)),"")</f>
        <v/>
      </c>
    </row>
    <row r="56" ht="22" customHeight="1">
      <c r="B56" s="61">
        <f>IFERROR(INDEX('All Subscriptions'!A4:A103,SMALL(IF(MONTH('All Subscriptions'!F4:F103)=4,ROW('All Subscriptions'!F4:F103)-3),3)),"")</f>
        <v/>
      </c>
      <c r="C56" s="62">
        <f>IFERROR(INDEX('All Subscriptions'!B4:B103,SMALL(IF(MONTH('All Subscriptions'!F4:F103)=4,ROW('All Subscriptions'!F4:F103)-3),3)),"")</f>
        <v/>
      </c>
      <c r="D56" s="73">
        <f>IFERROR(INDEX('All Subscriptions'!F4:F103,SMALL(IF(MONTH('All Subscriptions'!F4:F103)=4,ROW('All Subscriptions'!F4:F103)-3),3)),"")</f>
        <v/>
      </c>
      <c r="E56" s="63">
        <f>IFERROR(INDEX('All Subscriptions'!C4:C103,SMALL(IF(MONTH('All Subscriptions'!F4:F103)=4,ROW('All Subscriptions'!F4:F103)-3),3)),"")</f>
        <v/>
      </c>
    </row>
    <row r="57" ht="22" customHeight="1">
      <c r="B57" s="69">
        <f>IFERROR(INDEX('All Subscriptions'!A4:A103,SMALL(IF(MONTH('All Subscriptions'!F4:F103)=4,ROW('All Subscriptions'!F4:F103)-3),4)),"")</f>
        <v/>
      </c>
      <c r="C57" s="71">
        <f>IFERROR(INDEX('All Subscriptions'!B4:B103,SMALL(IF(MONTH('All Subscriptions'!F4:F103)=4,ROW('All Subscriptions'!F4:F103)-3),4)),"")</f>
        <v/>
      </c>
      <c r="D57" s="72">
        <f>IFERROR(INDEX('All Subscriptions'!F4:F103,SMALL(IF(MONTH('All Subscriptions'!F4:F103)=4,ROW('All Subscriptions'!F4:F103)-3),4)),"")</f>
        <v/>
      </c>
      <c r="E57" s="70">
        <f>IFERROR(INDEX('All Subscriptions'!C4:C103,SMALL(IF(MONTH('All Subscriptions'!F4:F103)=4,ROW('All Subscriptions'!F4:F103)-3),4)),"")</f>
        <v/>
      </c>
    </row>
    <row r="58" ht="22" customHeight="1">
      <c r="B58" s="61">
        <f>IFERROR(INDEX('All Subscriptions'!A4:A103,SMALL(IF(MONTH('All Subscriptions'!F4:F103)=4,ROW('All Subscriptions'!F4:F103)-3),5)),"")</f>
        <v/>
      </c>
      <c r="C58" s="62">
        <f>IFERROR(INDEX('All Subscriptions'!B4:B103,SMALL(IF(MONTH('All Subscriptions'!F4:F103)=4,ROW('All Subscriptions'!F4:F103)-3),5)),"")</f>
        <v/>
      </c>
      <c r="D58" s="73">
        <f>IFERROR(INDEX('All Subscriptions'!F4:F103,SMALL(IF(MONTH('All Subscriptions'!F4:F103)=4,ROW('All Subscriptions'!F4:F103)-3),5)),"")</f>
        <v/>
      </c>
      <c r="E58" s="63">
        <f>IFERROR(INDEX('All Subscriptions'!C4:C103,SMALL(IF(MONTH('All Subscriptions'!F4:F103)=4,ROW('All Subscriptions'!F4:F103)-3),5)),"")</f>
        <v/>
      </c>
    </row>
    <row r="59" ht="22" customHeight="1">
      <c r="B59" s="69">
        <f>IFERROR(INDEX('All Subscriptions'!A4:A103,SMALL(IF(MONTH('All Subscriptions'!F4:F103)=4,ROW('All Subscriptions'!F4:F103)-3),6)),"")</f>
        <v/>
      </c>
      <c r="C59" s="71">
        <f>IFERROR(INDEX('All Subscriptions'!B4:B103,SMALL(IF(MONTH('All Subscriptions'!F4:F103)=4,ROW('All Subscriptions'!F4:F103)-3),6)),"")</f>
        <v/>
      </c>
      <c r="D59" s="72">
        <f>IFERROR(INDEX('All Subscriptions'!F4:F103,SMALL(IF(MONTH('All Subscriptions'!F4:F103)=4,ROW('All Subscriptions'!F4:F103)-3),6)),"")</f>
        <v/>
      </c>
      <c r="E59" s="70">
        <f>IFERROR(INDEX('All Subscriptions'!C4:C103,SMALL(IF(MONTH('All Subscriptions'!F4:F103)=4,ROW('All Subscriptions'!F4:F103)-3),6)),"")</f>
        <v/>
      </c>
    </row>
    <row r="60" ht="22" customHeight="1">
      <c r="B60" s="61">
        <f>IFERROR(INDEX('All Subscriptions'!A4:A103,SMALL(IF(MONTH('All Subscriptions'!F4:F103)=4,ROW('All Subscriptions'!F4:F103)-3),7)),"")</f>
        <v/>
      </c>
      <c r="C60" s="62">
        <f>IFERROR(INDEX('All Subscriptions'!B4:B103,SMALL(IF(MONTH('All Subscriptions'!F4:F103)=4,ROW('All Subscriptions'!F4:F103)-3),7)),"")</f>
        <v/>
      </c>
      <c r="D60" s="73">
        <f>IFERROR(INDEX('All Subscriptions'!F4:F103,SMALL(IF(MONTH('All Subscriptions'!F4:F103)=4,ROW('All Subscriptions'!F4:F103)-3),7)),"")</f>
        <v/>
      </c>
      <c r="E60" s="63">
        <f>IFERROR(INDEX('All Subscriptions'!C4:C103,SMALL(IF(MONTH('All Subscriptions'!F4:F103)=4,ROW('All Subscriptions'!F4:F103)-3),7)),"")</f>
        <v/>
      </c>
    </row>
    <row r="61" ht="22" customHeight="1">
      <c r="B61" s="69">
        <f>IFERROR(INDEX('All Subscriptions'!A4:A103,SMALL(IF(MONTH('All Subscriptions'!F4:F103)=4,ROW('All Subscriptions'!F4:F103)-3),8)),"")</f>
        <v/>
      </c>
      <c r="C61" s="71">
        <f>IFERROR(INDEX('All Subscriptions'!B4:B103,SMALL(IF(MONTH('All Subscriptions'!F4:F103)=4,ROW('All Subscriptions'!F4:F103)-3),8)),"")</f>
        <v/>
      </c>
      <c r="D61" s="72">
        <f>IFERROR(INDEX('All Subscriptions'!F4:F103,SMALL(IF(MONTH('All Subscriptions'!F4:F103)=4,ROW('All Subscriptions'!F4:F103)-3),8)),"")</f>
        <v/>
      </c>
      <c r="E61" s="70">
        <f>IFERROR(INDEX('All Subscriptions'!C4:C103,SMALL(IF(MONTH('All Subscriptions'!F4:F103)=4,ROW('All Subscriptions'!F4:F103)-3),8)),"")</f>
        <v/>
      </c>
    </row>
    <row r="62" ht="22" customHeight="1">
      <c r="B62" s="61">
        <f>IFERROR(INDEX('All Subscriptions'!A4:A103,SMALL(IF(MONTH('All Subscriptions'!F4:F103)=4,ROW('All Subscriptions'!F4:F103)-3),9)),"")</f>
        <v/>
      </c>
      <c r="C62" s="62">
        <f>IFERROR(INDEX('All Subscriptions'!B4:B103,SMALL(IF(MONTH('All Subscriptions'!F4:F103)=4,ROW('All Subscriptions'!F4:F103)-3),9)),"")</f>
        <v/>
      </c>
      <c r="D62" s="73">
        <f>IFERROR(INDEX('All Subscriptions'!F4:F103,SMALL(IF(MONTH('All Subscriptions'!F4:F103)=4,ROW('All Subscriptions'!F4:F103)-3),9)),"")</f>
        <v/>
      </c>
      <c r="E62" s="63">
        <f>IFERROR(INDEX('All Subscriptions'!C4:C103,SMALL(IF(MONTH('All Subscriptions'!F4:F103)=4,ROW('All Subscriptions'!F4:F103)-3),9)),"")</f>
        <v/>
      </c>
    </row>
    <row r="63" ht="22" customHeight="1">
      <c r="B63" s="69">
        <f>IFERROR(INDEX('All Subscriptions'!A4:A103,SMALL(IF(MONTH('All Subscriptions'!F4:F103)=4,ROW('All Subscriptions'!F4:F103)-3),10)),"")</f>
        <v/>
      </c>
      <c r="C63" s="71">
        <f>IFERROR(INDEX('All Subscriptions'!B4:B103,SMALL(IF(MONTH('All Subscriptions'!F4:F103)=4,ROW('All Subscriptions'!F4:F103)-3),10)),"")</f>
        <v/>
      </c>
      <c r="D63" s="72">
        <f>IFERROR(INDEX('All Subscriptions'!F4:F103,SMALL(IF(MONTH('All Subscriptions'!F4:F103)=4,ROW('All Subscriptions'!F4:F103)-3),10)),"")</f>
        <v/>
      </c>
      <c r="E63" s="70">
        <f>IFERROR(INDEX('All Subscriptions'!C4:C103,SMALL(IF(MONTH('All Subscriptions'!F4:F103)=4,ROW('All Subscriptions'!F4:F103)-3),10)),"")</f>
        <v/>
      </c>
    </row>
    <row r="64" ht="22" customHeight="1">
      <c r="B64" s="61">
        <f>IFERROR(INDEX('All Subscriptions'!A4:A103,SMALL(IF(MONTH('All Subscriptions'!F4:F103)=4,ROW('All Subscriptions'!F4:F103)-3),11)),"")</f>
        <v/>
      </c>
      <c r="C64" s="62">
        <f>IFERROR(INDEX('All Subscriptions'!B4:B103,SMALL(IF(MONTH('All Subscriptions'!F4:F103)=4,ROW('All Subscriptions'!F4:F103)-3),11)),"")</f>
        <v/>
      </c>
      <c r="D64" s="73">
        <f>IFERROR(INDEX('All Subscriptions'!F4:F103,SMALL(IF(MONTH('All Subscriptions'!F4:F103)=4,ROW('All Subscriptions'!F4:F103)-3),11)),"")</f>
        <v/>
      </c>
      <c r="E64" s="63">
        <f>IFERROR(INDEX('All Subscriptions'!C4:C103,SMALL(IF(MONTH('All Subscriptions'!F4:F103)=4,ROW('All Subscriptions'!F4:F103)-3),11)),"")</f>
        <v/>
      </c>
    </row>
    <row r="65" ht="22" customHeight="1">
      <c r="B65" s="69">
        <f>IFERROR(INDEX('All Subscriptions'!A4:A103,SMALL(IF(MONTH('All Subscriptions'!F4:F103)=4,ROW('All Subscriptions'!F4:F103)-3),12)),"")</f>
        <v/>
      </c>
      <c r="C65" s="71">
        <f>IFERROR(INDEX('All Subscriptions'!B4:B103,SMALL(IF(MONTH('All Subscriptions'!F4:F103)=4,ROW('All Subscriptions'!F4:F103)-3),12)),"")</f>
        <v/>
      </c>
      <c r="D65" s="72">
        <f>IFERROR(INDEX('All Subscriptions'!F4:F103,SMALL(IF(MONTH('All Subscriptions'!F4:F103)=4,ROW('All Subscriptions'!F4:F103)-3),12)),"")</f>
        <v/>
      </c>
      <c r="E65" s="70">
        <f>IFERROR(INDEX('All Subscriptions'!C4:C103,SMALL(IF(MONTH('All Subscriptions'!F4:F103)=4,ROW('All Subscriptions'!F4:F103)-3),12)),"")</f>
        <v/>
      </c>
    </row>
    <row r="66" ht="28" customHeight="1">
      <c r="B66" s="30" t="inlineStr">
        <is>
          <t>April Total</t>
        </is>
      </c>
      <c r="C66" s="76" t="n"/>
      <c r="D66" s="76" t="n"/>
      <c r="E66" s="77">
        <f>SUMPRODUCT((MONTH('All Subscriptions'!F4:F103)=4)*('All Subscriptions'!I4:I103&lt;&gt;"Canceled")*'All Subscriptions'!C4:C103)</f>
        <v/>
      </c>
    </row>
    <row r="68" ht="32" customHeight="1">
      <c r="B68" s="74" t="inlineStr">
        <is>
          <t>MAY</t>
        </is>
      </c>
      <c r="C68" s="123" t="n"/>
      <c r="D68" s="123" t="n"/>
      <c r="E68" s="121" t="n"/>
    </row>
    <row r="69">
      <c r="B69" s="75" t="inlineStr">
        <is>
          <t>Service</t>
        </is>
      </c>
      <c r="C69" s="75" t="inlineStr">
        <is>
          <t>Category</t>
        </is>
      </c>
      <c r="D69" s="75" t="inlineStr">
        <is>
          <t>Renewal Date</t>
        </is>
      </c>
      <c r="E69" s="75" t="inlineStr">
        <is>
          <t>Amount</t>
        </is>
      </c>
    </row>
    <row r="70" ht="22" customHeight="1">
      <c r="B70" s="61">
        <f>IFERROR(INDEX('All Subscriptions'!A4:A103,SMALL(IF(MONTH('All Subscriptions'!F4:F103)=5,ROW('All Subscriptions'!F4:F103)-3),1)),"")</f>
        <v/>
      </c>
      <c r="C70" s="62">
        <f>IFERROR(INDEX('All Subscriptions'!B4:B103,SMALL(IF(MONTH('All Subscriptions'!F4:F103)=5,ROW('All Subscriptions'!F4:F103)-3),1)),"")</f>
        <v/>
      </c>
      <c r="D70" s="73">
        <f>IFERROR(INDEX('All Subscriptions'!F4:F103,SMALL(IF(MONTH('All Subscriptions'!F4:F103)=5,ROW('All Subscriptions'!F4:F103)-3),1)),"")</f>
        <v/>
      </c>
      <c r="E70" s="63">
        <f>IFERROR(INDEX('All Subscriptions'!C4:C103,SMALL(IF(MONTH('All Subscriptions'!F4:F103)=5,ROW('All Subscriptions'!F4:F103)-3),1)),"")</f>
        <v/>
      </c>
    </row>
    <row r="71" ht="22" customHeight="1">
      <c r="B71" s="69">
        <f>IFERROR(INDEX('All Subscriptions'!A4:A103,SMALL(IF(MONTH('All Subscriptions'!F4:F103)=5,ROW('All Subscriptions'!F4:F103)-3),2)),"")</f>
        <v/>
      </c>
      <c r="C71" s="71">
        <f>IFERROR(INDEX('All Subscriptions'!B4:B103,SMALL(IF(MONTH('All Subscriptions'!F4:F103)=5,ROW('All Subscriptions'!F4:F103)-3),2)),"")</f>
        <v/>
      </c>
      <c r="D71" s="72">
        <f>IFERROR(INDEX('All Subscriptions'!F4:F103,SMALL(IF(MONTH('All Subscriptions'!F4:F103)=5,ROW('All Subscriptions'!F4:F103)-3),2)),"")</f>
        <v/>
      </c>
      <c r="E71" s="70">
        <f>IFERROR(INDEX('All Subscriptions'!C4:C103,SMALL(IF(MONTH('All Subscriptions'!F4:F103)=5,ROW('All Subscriptions'!F4:F103)-3),2)),"")</f>
        <v/>
      </c>
    </row>
    <row r="72" ht="22" customHeight="1">
      <c r="B72" s="61">
        <f>IFERROR(INDEX('All Subscriptions'!A4:A103,SMALL(IF(MONTH('All Subscriptions'!F4:F103)=5,ROW('All Subscriptions'!F4:F103)-3),3)),"")</f>
        <v/>
      </c>
      <c r="C72" s="62">
        <f>IFERROR(INDEX('All Subscriptions'!B4:B103,SMALL(IF(MONTH('All Subscriptions'!F4:F103)=5,ROW('All Subscriptions'!F4:F103)-3),3)),"")</f>
        <v/>
      </c>
      <c r="D72" s="73">
        <f>IFERROR(INDEX('All Subscriptions'!F4:F103,SMALL(IF(MONTH('All Subscriptions'!F4:F103)=5,ROW('All Subscriptions'!F4:F103)-3),3)),"")</f>
        <v/>
      </c>
      <c r="E72" s="63">
        <f>IFERROR(INDEX('All Subscriptions'!C4:C103,SMALL(IF(MONTH('All Subscriptions'!F4:F103)=5,ROW('All Subscriptions'!F4:F103)-3),3)),"")</f>
        <v/>
      </c>
    </row>
    <row r="73" ht="22" customHeight="1">
      <c r="B73" s="69">
        <f>IFERROR(INDEX('All Subscriptions'!A4:A103,SMALL(IF(MONTH('All Subscriptions'!F4:F103)=5,ROW('All Subscriptions'!F4:F103)-3),4)),"")</f>
        <v/>
      </c>
      <c r="C73" s="71">
        <f>IFERROR(INDEX('All Subscriptions'!B4:B103,SMALL(IF(MONTH('All Subscriptions'!F4:F103)=5,ROW('All Subscriptions'!F4:F103)-3),4)),"")</f>
        <v/>
      </c>
      <c r="D73" s="72">
        <f>IFERROR(INDEX('All Subscriptions'!F4:F103,SMALL(IF(MONTH('All Subscriptions'!F4:F103)=5,ROW('All Subscriptions'!F4:F103)-3),4)),"")</f>
        <v/>
      </c>
      <c r="E73" s="70">
        <f>IFERROR(INDEX('All Subscriptions'!C4:C103,SMALL(IF(MONTH('All Subscriptions'!F4:F103)=5,ROW('All Subscriptions'!F4:F103)-3),4)),"")</f>
        <v/>
      </c>
    </row>
    <row r="74" ht="22" customHeight="1">
      <c r="B74" s="61">
        <f>IFERROR(INDEX('All Subscriptions'!A4:A103,SMALL(IF(MONTH('All Subscriptions'!F4:F103)=5,ROW('All Subscriptions'!F4:F103)-3),5)),"")</f>
        <v/>
      </c>
      <c r="C74" s="62">
        <f>IFERROR(INDEX('All Subscriptions'!B4:B103,SMALL(IF(MONTH('All Subscriptions'!F4:F103)=5,ROW('All Subscriptions'!F4:F103)-3),5)),"")</f>
        <v/>
      </c>
      <c r="D74" s="73">
        <f>IFERROR(INDEX('All Subscriptions'!F4:F103,SMALL(IF(MONTH('All Subscriptions'!F4:F103)=5,ROW('All Subscriptions'!F4:F103)-3),5)),"")</f>
        <v/>
      </c>
      <c r="E74" s="63">
        <f>IFERROR(INDEX('All Subscriptions'!C4:C103,SMALL(IF(MONTH('All Subscriptions'!F4:F103)=5,ROW('All Subscriptions'!F4:F103)-3),5)),"")</f>
        <v/>
      </c>
    </row>
    <row r="75" ht="22" customHeight="1">
      <c r="B75" s="69">
        <f>IFERROR(INDEX('All Subscriptions'!A4:A103,SMALL(IF(MONTH('All Subscriptions'!F4:F103)=5,ROW('All Subscriptions'!F4:F103)-3),6)),"")</f>
        <v/>
      </c>
      <c r="C75" s="71">
        <f>IFERROR(INDEX('All Subscriptions'!B4:B103,SMALL(IF(MONTH('All Subscriptions'!F4:F103)=5,ROW('All Subscriptions'!F4:F103)-3),6)),"")</f>
        <v/>
      </c>
      <c r="D75" s="72">
        <f>IFERROR(INDEX('All Subscriptions'!F4:F103,SMALL(IF(MONTH('All Subscriptions'!F4:F103)=5,ROW('All Subscriptions'!F4:F103)-3),6)),"")</f>
        <v/>
      </c>
      <c r="E75" s="70">
        <f>IFERROR(INDEX('All Subscriptions'!C4:C103,SMALL(IF(MONTH('All Subscriptions'!F4:F103)=5,ROW('All Subscriptions'!F4:F103)-3),6)),"")</f>
        <v/>
      </c>
    </row>
    <row r="76" ht="22" customHeight="1">
      <c r="B76" s="61">
        <f>IFERROR(INDEX('All Subscriptions'!A4:A103,SMALL(IF(MONTH('All Subscriptions'!F4:F103)=5,ROW('All Subscriptions'!F4:F103)-3),7)),"")</f>
        <v/>
      </c>
      <c r="C76" s="62">
        <f>IFERROR(INDEX('All Subscriptions'!B4:B103,SMALL(IF(MONTH('All Subscriptions'!F4:F103)=5,ROW('All Subscriptions'!F4:F103)-3),7)),"")</f>
        <v/>
      </c>
      <c r="D76" s="73">
        <f>IFERROR(INDEX('All Subscriptions'!F4:F103,SMALL(IF(MONTH('All Subscriptions'!F4:F103)=5,ROW('All Subscriptions'!F4:F103)-3),7)),"")</f>
        <v/>
      </c>
      <c r="E76" s="63">
        <f>IFERROR(INDEX('All Subscriptions'!C4:C103,SMALL(IF(MONTH('All Subscriptions'!F4:F103)=5,ROW('All Subscriptions'!F4:F103)-3),7)),"")</f>
        <v/>
      </c>
    </row>
    <row r="77" ht="22" customHeight="1">
      <c r="B77" s="69">
        <f>IFERROR(INDEX('All Subscriptions'!A4:A103,SMALL(IF(MONTH('All Subscriptions'!F4:F103)=5,ROW('All Subscriptions'!F4:F103)-3),8)),"")</f>
        <v/>
      </c>
      <c r="C77" s="71">
        <f>IFERROR(INDEX('All Subscriptions'!B4:B103,SMALL(IF(MONTH('All Subscriptions'!F4:F103)=5,ROW('All Subscriptions'!F4:F103)-3),8)),"")</f>
        <v/>
      </c>
      <c r="D77" s="72">
        <f>IFERROR(INDEX('All Subscriptions'!F4:F103,SMALL(IF(MONTH('All Subscriptions'!F4:F103)=5,ROW('All Subscriptions'!F4:F103)-3),8)),"")</f>
        <v/>
      </c>
      <c r="E77" s="70">
        <f>IFERROR(INDEX('All Subscriptions'!C4:C103,SMALL(IF(MONTH('All Subscriptions'!F4:F103)=5,ROW('All Subscriptions'!F4:F103)-3),8)),"")</f>
        <v/>
      </c>
    </row>
    <row r="78" ht="22" customHeight="1">
      <c r="B78" s="61">
        <f>IFERROR(INDEX('All Subscriptions'!A4:A103,SMALL(IF(MONTH('All Subscriptions'!F4:F103)=5,ROW('All Subscriptions'!F4:F103)-3),9)),"")</f>
        <v/>
      </c>
      <c r="C78" s="62">
        <f>IFERROR(INDEX('All Subscriptions'!B4:B103,SMALL(IF(MONTH('All Subscriptions'!F4:F103)=5,ROW('All Subscriptions'!F4:F103)-3),9)),"")</f>
        <v/>
      </c>
      <c r="D78" s="73">
        <f>IFERROR(INDEX('All Subscriptions'!F4:F103,SMALL(IF(MONTH('All Subscriptions'!F4:F103)=5,ROW('All Subscriptions'!F4:F103)-3),9)),"")</f>
        <v/>
      </c>
      <c r="E78" s="63">
        <f>IFERROR(INDEX('All Subscriptions'!C4:C103,SMALL(IF(MONTH('All Subscriptions'!F4:F103)=5,ROW('All Subscriptions'!F4:F103)-3),9)),"")</f>
        <v/>
      </c>
    </row>
    <row r="79" ht="22" customHeight="1">
      <c r="B79" s="69">
        <f>IFERROR(INDEX('All Subscriptions'!A4:A103,SMALL(IF(MONTH('All Subscriptions'!F4:F103)=5,ROW('All Subscriptions'!F4:F103)-3),10)),"")</f>
        <v/>
      </c>
      <c r="C79" s="71">
        <f>IFERROR(INDEX('All Subscriptions'!B4:B103,SMALL(IF(MONTH('All Subscriptions'!F4:F103)=5,ROW('All Subscriptions'!F4:F103)-3),10)),"")</f>
        <v/>
      </c>
      <c r="D79" s="72">
        <f>IFERROR(INDEX('All Subscriptions'!F4:F103,SMALL(IF(MONTH('All Subscriptions'!F4:F103)=5,ROW('All Subscriptions'!F4:F103)-3),10)),"")</f>
        <v/>
      </c>
      <c r="E79" s="70">
        <f>IFERROR(INDEX('All Subscriptions'!C4:C103,SMALL(IF(MONTH('All Subscriptions'!F4:F103)=5,ROW('All Subscriptions'!F4:F103)-3),10)),"")</f>
        <v/>
      </c>
    </row>
    <row r="80" ht="22" customHeight="1">
      <c r="B80" s="61">
        <f>IFERROR(INDEX('All Subscriptions'!A4:A103,SMALL(IF(MONTH('All Subscriptions'!F4:F103)=5,ROW('All Subscriptions'!F4:F103)-3),11)),"")</f>
        <v/>
      </c>
      <c r="C80" s="62">
        <f>IFERROR(INDEX('All Subscriptions'!B4:B103,SMALL(IF(MONTH('All Subscriptions'!F4:F103)=5,ROW('All Subscriptions'!F4:F103)-3),11)),"")</f>
        <v/>
      </c>
      <c r="D80" s="73">
        <f>IFERROR(INDEX('All Subscriptions'!F4:F103,SMALL(IF(MONTH('All Subscriptions'!F4:F103)=5,ROW('All Subscriptions'!F4:F103)-3),11)),"")</f>
        <v/>
      </c>
      <c r="E80" s="63">
        <f>IFERROR(INDEX('All Subscriptions'!C4:C103,SMALL(IF(MONTH('All Subscriptions'!F4:F103)=5,ROW('All Subscriptions'!F4:F103)-3),11)),"")</f>
        <v/>
      </c>
    </row>
    <row r="81" ht="22" customHeight="1">
      <c r="B81" s="69">
        <f>IFERROR(INDEX('All Subscriptions'!A4:A103,SMALL(IF(MONTH('All Subscriptions'!F4:F103)=5,ROW('All Subscriptions'!F4:F103)-3),12)),"")</f>
        <v/>
      </c>
      <c r="C81" s="71">
        <f>IFERROR(INDEX('All Subscriptions'!B4:B103,SMALL(IF(MONTH('All Subscriptions'!F4:F103)=5,ROW('All Subscriptions'!F4:F103)-3),12)),"")</f>
        <v/>
      </c>
      <c r="D81" s="72">
        <f>IFERROR(INDEX('All Subscriptions'!F4:F103,SMALL(IF(MONTH('All Subscriptions'!F4:F103)=5,ROW('All Subscriptions'!F4:F103)-3),12)),"")</f>
        <v/>
      </c>
      <c r="E81" s="70">
        <f>IFERROR(INDEX('All Subscriptions'!C4:C103,SMALL(IF(MONTH('All Subscriptions'!F4:F103)=5,ROW('All Subscriptions'!F4:F103)-3),12)),"")</f>
        <v/>
      </c>
    </row>
    <row r="82" ht="28" customHeight="1">
      <c r="B82" s="30" t="inlineStr">
        <is>
          <t>May Total</t>
        </is>
      </c>
      <c r="C82" s="76" t="n"/>
      <c r="D82" s="76" t="n"/>
      <c r="E82" s="77">
        <f>SUMPRODUCT((MONTH('All Subscriptions'!F4:F103)=5)*('All Subscriptions'!I4:I103&lt;&gt;"Canceled")*'All Subscriptions'!C4:C103)</f>
        <v/>
      </c>
    </row>
    <row r="84" ht="32" customHeight="1">
      <c r="B84" s="74" t="inlineStr">
        <is>
          <t>JUNE</t>
        </is>
      </c>
      <c r="C84" s="123" t="n"/>
      <c r="D84" s="123" t="n"/>
      <c r="E84" s="121" t="n"/>
    </row>
    <row r="85">
      <c r="B85" s="75" t="inlineStr">
        <is>
          <t>Service</t>
        </is>
      </c>
      <c r="C85" s="75" t="inlineStr">
        <is>
          <t>Category</t>
        </is>
      </c>
      <c r="D85" s="75" t="inlineStr">
        <is>
          <t>Renewal Date</t>
        </is>
      </c>
      <c r="E85" s="75" t="inlineStr">
        <is>
          <t>Amount</t>
        </is>
      </c>
    </row>
    <row r="86" ht="22" customHeight="1">
      <c r="B86" s="61">
        <f>IFERROR(INDEX('All Subscriptions'!A4:A103,SMALL(IF(MONTH('All Subscriptions'!F4:F103)=6,ROW('All Subscriptions'!F4:F103)-3),1)),"")</f>
        <v/>
      </c>
      <c r="C86" s="62">
        <f>IFERROR(INDEX('All Subscriptions'!B4:B103,SMALL(IF(MONTH('All Subscriptions'!F4:F103)=6,ROW('All Subscriptions'!F4:F103)-3),1)),"")</f>
        <v/>
      </c>
      <c r="D86" s="73">
        <f>IFERROR(INDEX('All Subscriptions'!F4:F103,SMALL(IF(MONTH('All Subscriptions'!F4:F103)=6,ROW('All Subscriptions'!F4:F103)-3),1)),"")</f>
        <v/>
      </c>
      <c r="E86" s="63">
        <f>IFERROR(INDEX('All Subscriptions'!C4:C103,SMALL(IF(MONTH('All Subscriptions'!F4:F103)=6,ROW('All Subscriptions'!F4:F103)-3),1)),"")</f>
        <v/>
      </c>
    </row>
    <row r="87" ht="22" customHeight="1">
      <c r="B87" s="69">
        <f>IFERROR(INDEX('All Subscriptions'!A4:A103,SMALL(IF(MONTH('All Subscriptions'!F4:F103)=6,ROW('All Subscriptions'!F4:F103)-3),2)),"")</f>
        <v/>
      </c>
      <c r="C87" s="71">
        <f>IFERROR(INDEX('All Subscriptions'!B4:B103,SMALL(IF(MONTH('All Subscriptions'!F4:F103)=6,ROW('All Subscriptions'!F4:F103)-3),2)),"")</f>
        <v/>
      </c>
      <c r="D87" s="72">
        <f>IFERROR(INDEX('All Subscriptions'!F4:F103,SMALL(IF(MONTH('All Subscriptions'!F4:F103)=6,ROW('All Subscriptions'!F4:F103)-3),2)),"")</f>
        <v/>
      </c>
      <c r="E87" s="70">
        <f>IFERROR(INDEX('All Subscriptions'!C4:C103,SMALL(IF(MONTH('All Subscriptions'!F4:F103)=6,ROW('All Subscriptions'!F4:F103)-3),2)),"")</f>
        <v/>
      </c>
    </row>
    <row r="88" ht="22" customHeight="1">
      <c r="B88" s="61">
        <f>IFERROR(INDEX('All Subscriptions'!A4:A103,SMALL(IF(MONTH('All Subscriptions'!F4:F103)=6,ROW('All Subscriptions'!F4:F103)-3),3)),"")</f>
        <v/>
      </c>
      <c r="C88" s="62">
        <f>IFERROR(INDEX('All Subscriptions'!B4:B103,SMALL(IF(MONTH('All Subscriptions'!F4:F103)=6,ROW('All Subscriptions'!F4:F103)-3),3)),"")</f>
        <v/>
      </c>
      <c r="D88" s="73">
        <f>IFERROR(INDEX('All Subscriptions'!F4:F103,SMALL(IF(MONTH('All Subscriptions'!F4:F103)=6,ROW('All Subscriptions'!F4:F103)-3),3)),"")</f>
        <v/>
      </c>
      <c r="E88" s="63">
        <f>IFERROR(INDEX('All Subscriptions'!C4:C103,SMALL(IF(MONTH('All Subscriptions'!F4:F103)=6,ROW('All Subscriptions'!F4:F103)-3),3)),"")</f>
        <v/>
      </c>
    </row>
    <row r="89" ht="22" customHeight="1">
      <c r="B89" s="69">
        <f>IFERROR(INDEX('All Subscriptions'!A4:A103,SMALL(IF(MONTH('All Subscriptions'!F4:F103)=6,ROW('All Subscriptions'!F4:F103)-3),4)),"")</f>
        <v/>
      </c>
      <c r="C89" s="71">
        <f>IFERROR(INDEX('All Subscriptions'!B4:B103,SMALL(IF(MONTH('All Subscriptions'!F4:F103)=6,ROW('All Subscriptions'!F4:F103)-3),4)),"")</f>
        <v/>
      </c>
      <c r="D89" s="72">
        <f>IFERROR(INDEX('All Subscriptions'!F4:F103,SMALL(IF(MONTH('All Subscriptions'!F4:F103)=6,ROW('All Subscriptions'!F4:F103)-3),4)),"")</f>
        <v/>
      </c>
      <c r="E89" s="70">
        <f>IFERROR(INDEX('All Subscriptions'!C4:C103,SMALL(IF(MONTH('All Subscriptions'!F4:F103)=6,ROW('All Subscriptions'!F4:F103)-3),4)),"")</f>
        <v/>
      </c>
    </row>
    <row r="90" ht="22" customHeight="1">
      <c r="B90" s="61">
        <f>IFERROR(INDEX('All Subscriptions'!A4:A103,SMALL(IF(MONTH('All Subscriptions'!F4:F103)=6,ROW('All Subscriptions'!F4:F103)-3),5)),"")</f>
        <v/>
      </c>
      <c r="C90" s="62">
        <f>IFERROR(INDEX('All Subscriptions'!B4:B103,SMALL(IF(MONTH('All Subscriptions'!F4:F103)=6,ROW('All Subscriptions'!F4:F103)-3),5)),"")</f>
        <v/>
      </c>
      <c r="D90" s="73">
        <f>IFERROR(INDEX('All Subscriptions'!F4:F103,SMALL(IF(MONTH('All Subscriptions'!F4:F103)=6,ROW('All Subscriptions'!F4:F103)-3),5)),"")</f>
        <v/>
      </c>
      <c r="E90" s="63">
        <f>IFERROR(INDEX('All Subscriptions'!C4:C103,SMALL(IF(MONTH('All Subscriptions'!F4:F103)=6,ROW('All Subscriptions'!F4:F103)-3),5)),"")</f>
        <v/>
      </c>
    </row>
    <row r="91" ht="22" customHeight="1">
      <c r="B91" s="69">
        <f>IFERROR(INDEX('All Subscriptions'!A4:A103,SMALL(IF(MONTH('All Subscriptions'!F4:F103)=6,ROW('All Subscriptions'!F4:F103)-3),6)),"")</f>
        <v/>
      </c>
      <c r="C91" s="71">
        <f>IFERROR(INDEX('All Subscriptions'!B4:B103,SMALL(IF(MONTH('All Subscriptions'!F4:F103)=6,ROW('All Subscriptions'!F4:F103)-3),6)),"")</f>
        <v/>
      </c>
      <c r="D91" s="72">
        <f>IFERROR(INDEX('All Subscriptions'!F4:F103,SMALL(IF(MONTH('All Subscriptions'!F4:F103)=6,ROW('All Subscriptions'!F4:F103)-3),6)),"")</f>
        <v/>
      </c>
      <c r="E91" s="70">
        <f>IFERROR(INDEX('All Subscriptions'!C4:C103,SMALL(IF(MONTH('All Subscriptions'!F4:F103)=6,ROW('All Subscriptions'!F4:F103)-3),6)),"")</f>
        <v/>
      </c>
    </row>
    <row r="92" ht="22" customHeight="1">
      <c r="B92" s="61">
        <f>IFERROR(INDEX('All Subscriptions'!A4:A103,SMALL(IF(MONTH('All Subscriptions'!F4:F103)=6,ROW('All Subscriptions'!F4:F103)-3),7)),"")</f>
        <v/>
      </c>
      <c r="C92" s="62">
        <f>IFERROR(INDEX('All Subscriptions'!B4:B103,SMALL(IF(MONTH('All Subscriptions'!F4:F103)=6,ROW('All Subscriptions'!F4:F103)-3),7)),"")</f>
        <v/>
      </c>
      <c r="D92" s="73">
        <f>IFERROR(INDEX('All Subscriptions'!F4:F103,SMALL(IF(MONTH('All Subscriptions'!F4:F103)=6,ROW('All Subscriptions'!F4:F103)-3),7)),"")</f>
        <v/>
      </c>
      <c r="E92" s="63">
        <f>IFERROR(INDEX('All Subscriptions'!C4:C103,SMALL(IF(MONTH('All Subscriptions'!F4:F103)=6,ROW('All Subscriptions'!F4:F103)-3),7)),"")</f>
        <v/>
      </c>
    </row>
    <row r="93" ht="22" customHeight="1">
      <c r="B93" s="69">
        <f>IFERROR(INDEX('All Subscriptions'!A4:A103,SMALL(IF(MONTH('All Subscriptions'!F4:F103)=6,ROW('All Subscriptions'!F4:F103)-3),8)),"")</f>
        <v/>
      </c>
      <c r="C93" s="71">
        <f>IFERROR(INDEX('All Subscriptions'!B4:B103,SMALL(IF(MONTH('All Subscriptions'!F4:F103)=6,ROW('All Subscriptions'!F4:F103)-3),8)),"")</f>
        <v/>
      </c>
      <c r="D93" s="72">
        <f>IFERROR(INDEX('All Subscriptions'!F4:F103,SMALL(IF(MONTH('All Subscriptions'!F4:F103)=6,ROW('All Subscriptions'!F4:F103)-3),8)),"")</f>
        <v/>
      </c>
      <c r="E93" s="70">
        <f>IFERROR(INDEX('All Subscriptions'!C4:C103,SMALL(IF(MONTH('All Subscriptions'!F4:F103)=6,ROW('All Subscriptions'!F4:F103)-3),8)),"")</f>
        <v/>
      </c>
    </row>
    <row r="94" ht="22" customHeight="1">
      <c r="B94" s="61">
        <f>IFERROR(INDEX('All Subscriptions'!A4:A103,SMALL(IF(MONTH('All Subscriptions'!F4:F103)=6,ROW('All Subscriptions'!F4:F103)-3),9)),"")</f>
        <v/>
      </c>
      <c r="C94" s="62">
        <f>IFERROR(INDEX('All Subscriptions'!B4:B103,SMALL(IF(MONTH('All Subscriptions'!F4:F103)=6,ROW('All Subscriptions'!F4:F103)-3),9)),"")</f>
        <v/>
      </c>
      <c r="D94" s="73">
        <f>IFERROR(INDEX('All Subscriptions'!F4:F103,SMALL(IF(MONTH('All Subscriptions'!F4:F103)=6,ROW('All Subscriptions'!F4:F103)-3),9)),"")</f>
        <v/>
      </c>
      <c r="E94" s="63">
        <f>IFERROR(INDEX('All Subscriptions'!C4:C103,SMALL(IF(MONTH('All Subscriptions'!F4:F103)=6,ROW('All Subscriptions'!F4:F103)-3),9)),"")</f>
        <v/>
      </c>
    </row>
    <row r="95" ht="22" customHeight="1">
      <c r="B95" s="69">
        <f>IFERROR(INDEX('All Subscriptions'!A4:A103,SMALL(IF(MONTH('All Subscriptions'!F4:F103)=6,ROW('All Subscriptions'!F4:F103)-3),10)),"")</f>
        <v/>
      </c>
      <c r="C95" s="71">
        <f>IFERROR(INDEX('All Subscriptions'!B4:B103,SMALL(IF(MONTH('All Subscriptions'!F4:F103)=6,ROW('All Subscriptions'!F4:F103)-3),10)),"")</f>
        <v/>
      </c>
      <c r="D95" s="72">
        <f>IFERROR(INDEX('All Subscriptions'!F4:F103,SMALL(IF(MONTH('All Subscriptions'!F4:F103)=6,ROW('All Subscriptions'!F4:F103)-3),10)),"")</f>
        <v/>
      </c>
      <c r="E95" s="70">
        <f>IFERROR(INDEX('All Subscriptions'!C4:C103,SMALL(IF(MONTH('All Subscriptions'!F4:F103)=6,ROW('All Subscriptions'!F4:F103)-3),10)),"")</f>
        <v/>
      </c>
    </row>
    <row r="96" ht="22" customHeight="1">
      <c r="B96" s="61">
        <f>IFERROR(INDEX('All Subscriptions'!A4:A103,SMALL(IF(MONTH('All Subscriptions'!F4:F103)=6,ROW('All Subscriptions'!F4:F103)-3),11)),"")</f>
        <v/>
      </c>
      <c r="C96" s="62">
        <f>IFERROR(INDEX('All Subscriptions'!B4:B103,SMALL(IF(MONTH('All Subscriptions'!F4:F103)=6,ROW('All Subscriptions'!F4:F103)-3),11)),"")</f>
        <v/>
      </c>
      <c r="D96" s="73">
        <f>IFERROR(INDEX('All Subscriptions'!F4:F103,SMALL(IF(MONTH('All Subscriptions'!F4:F103)=6,ROW('All Subscriptions'!F4:F103)-3),11)),"")</f>
        <v/>
      </c>
      <c r="E96" s="63">
        <f>IFERROR(INDEX('All Subscriptions'!C4:C103,SMALL(IF(MONTH('All Subscriptions'!F4:F103)=6,ROW('All Subscriptions'!F4:F103)-3),11)),"")</f>
        <v/>
      </c>
    </row>
    <row r="97" ht="22" customHeight="1">
      <c r="B97" s="69">
        <f>IFERROR(INDEX('All Subscriptions'!A4:A103,SMALL(IF(MONTH('All Subscriptions'!F4:F103)=6,ROW('All Subscriptions'!F4:F103)-3),12)),"")</f>
        <v/>
      </c>
      <c r="C97" s="71">
        <f>IFERROR(INDEX('All Subscriptions'!B4:B103,SMALL(IF(MONTH('All Subscriptions'!F4:F103)=6,ROW('All Subscriptions'!F4:F103)-3),12)),"")</f>
        <v/>
      </c>
      <c r="D97" s="72">
        <f>IFERROR(INDEX('All Subscriptions'!F4:F103,SMALL(IF(MONTH('All Subscriptions'!F4:F103)=6,ROW('All Subscriptions'!F4:F103)-3),12)),"")</f>
        <v/>
      </c>
      <c r="E97" s="70">
        <f>IFERROR(INDEX('All Subscriptions'!C4:C103,SMALL(IF(MONTH('All Subscriptions'!F4:F103)=6,ROW('All Subscriptions'!F4:F103)-3),12)),"")</f>
        <v/>
      </c>
    </row>
    <row r="98" ht="28" customHeight="1">
      <c r="B98" s="30" t="inlineStr">
        <is>
          <t>June Total</t>
        </is>
      </c>
      <c r="C98" s="76" t="n"/>
      <c r="D98" s="76" t="n"/>
      <c r="E98" s="77">
        <f>SUMPRODUCT((MONTH('All Subscriptions'!F4:F103)=6)*('All Subscriptions'!I4:I103&lt;&gt;"Canceled")*'All Subscriptions'!C4:C103)</f>
        <v/>
      </c>
    </row>
    <row r="100" ht="32" customHeight="1">
      <c r="B100" s="74" t="inlineStr">
        <is>
          <t>JULY</t>
        </is>
      </c>
      <c r="C100" s="123" t="n"/>
      <c r="D100" s="123" t="n"/>
      <c r="E100" s="121" t="n"/>
    </row>
    <row r="101">
      <c r="B101" s="75" t="inlineStr">
        <is>
          <t>Service</t>
        </is>
      </c>
      <c r="C101" s="75" t="inlineStr">
        <is>
          <t>Category</t>
        </is>
      </c>
      <c r="D101" s="75" t="inlineStr">
        <is>
          <t>Renewal Date</t>
        </is>
      </c>
      <c r="E101" s="75" t="inlineStr">
        <is>
          <t>Amount</t>
        </is>
      </c>
    </row>
    <row r="102" ht="22" customHeight="1">
      <c r="B102" s="61">
        <f>IFERROR(INDEX('All Subscriptions'!A4:A103,SMALL(IF(MONTH('All Subscriptions'!F4:F103)=7,ROW('All Subscriptions'!F4:F103)-3),1)),"")</f>
        <v/>
      </c>
      <c r="C102" s="62">
        <f>IFERROR(INDEX('All Subscriptions'!B4:B103,SMALL(IF(MONTH('All Subscriptions'!F4:F103)=7,ROW('All Subscriptions'!F4:F103)-3),1)),"")</f>
        <v/>
      </c>
      <c r="D102" s="73">
        <f>IFERROR(INDEX('All Subscriptions'!F4:F103,SMALL(IF(MONTH('All Subscriptions'!F4:F103)=7,ROW('All Subscriptions'!F4:F103)-3),1)),"")</f>
        <v/>
      </c>
      <c r="E102" s="63">
        <f>IFERROR(INDEX('All Subscriptions'!C4:C103,SMALL(IF(MONTH('All Subscriptions'!F4:F103)=7,ROW('All Subscriptions'!F4:F103)-3),1)),"")</f>
        <v/>
      </c>
    </row>
    <row r="103" ht="22" customHeight="1">
      <c r="B103" s="69">
        <f>IFERROR(INDEX('All Subscriptions'!A4:A103,SMALL(IF(MONTH('All Subscriptions'!F4:F103)=7,ROW('All Subscriptions'!F4:F103)-3),2)),"")</f>
        <v/>
      </c>
      <c r="C103" s="71">
        <f>IFERROR(INDEX('All Subscriptions'!B4:B103,SMALL(IF(MONTH('All Subscriptions'!F4:F103)=7,ROW('All Subscriptions'!F4:F103)-3),2)),"")</f>
        <v/>
      </c>
      <c r="D103" s="72">
        <f>IFERROR(INDEX('All Subscriptions'!F4:F103,SMALL(IF(MONTH('All Subscriptions'!F4:F103)=7,ROW('All Subscriptions'!F4:F103)-3),2)),"")</f>
        <v/>
      </c>
      <c r="E103" s="70">
        <f>IFERROR(INDEX('All Subscriptions'!C4:C103,SMALL(IF(MONTH('All Subscriptions'!F4:F103)=7,ROW('All Subscriptions'!F4:F103)-3),2)),"")</f>
        <v/>
      </c>
    </row>
    <row r="104" ht="22" customHeight="1">
      <c r="B104" s="61">
        <f>IFERROR(INDEX('All Subscriptions'!A4:A103,SMALL(IF(MONTH('All Subscriptions'!F4:F103)=7,ROW('All Subscriptions'!F4:F103)-3),3)),"")</f>
        <v/>
      </c>
      <c r="C104" s="62">
        <f>IFERROR(INDEX('All Subscriptions'!B4:B103,SMALL(IF(MONTH('All Subscriptions'!F4:F103)=7,ROW('All Subscriptions'!F4:F103)-3),3)),"")</f>
        <v/>
      </c>
      <c r="D104" s="73">
        <f>IFERROR(INDEX('All Subscriptions'!F4:F103,SMALL(IF(MONTH('All Subscriptions'!F4:F103)=7,ROW('All Subscriptions'!F4:F103)-3),3)),"")</f>
        <v/>
      </c>
      <c r="E104" s="63">
        <f>IFERROR(INDEX('All Subscriptions'!C4:C103,SMALL(IF(MONTH('All Subscriptions'!F4:F103)=7,ROW('All Subscriptions'!F4:F103)-3),3)),"")</f>
        <v/>
      </c>
    </row>
    <row r="105" ht="22" customHeight="1">
      <c r="B105" s="69">
        <f>IFERROR(INDEX('All Subscriptions'!A4:A103,SMALL(IF(MONTH('All Subscriptions'!F4:F103)=7,ROW('All Subscriptions'!F4:F103)-3),4)),"")</f>
        <v/>
      </c>
      <c r="C105" s="71">
        <f>IFERROR(INDEX('All Subscriptions'!B4:B103,SMALL(IF(MONTH('All Subscriptions'!F4:F103)=7,ROW('All Subscriptions'!F4:F103)-3),4)),"")</f>
        <v/>
      </c>
      <c r="D105" s="72">
        <f>IFERROR(INDEX('All Subscriptions'!F4:F103,SMALL(IF(MONTH('All Subscriptions'!F4:F103)=7,ROW('All Subscriptions'!F4:F103)-3),4)),"")</f>
        <v/>
      </c>
      <c r="E105" s="70">
        <f>IFERROR(INDEX('All Subscriptions'!C4:C103,SMALL(IF(MONTH('All Subscriptions'!F4:F103)=7,ROW('All Subscriptions'!F4:F103)-3),4)),"")</f>
        <v/>
      </c>
    </row>
    <row r="106" ht="22" customHeight="1">
      <c r="B106" s="61">
        <f>IFERROR(INDEX('All Subscriptions'!A4:A103,SMALL(IF(MONTH('All Subscriptions'!F4:F103)=7,ROW('All Subscriptions'!F4:F103)-3),5)),"")</f>
        <v/>
      </c>
      <c r="C106" s="62">
        <f>IFERROR(INDEX('All Subscriptions'!B4:B103,SMALL(IF(MONTH('All Subscriptions'!F4:F103)=7,ROW('All Subscriptions'!F4:F103)-3),5)),"")</f>
        <v/>
      </c>
      <c r="D106" s="73">
        <f>IFERROR(INDEX('All Subscriptions'!F4:F103,SMALL(IF(MONTH('All Subscriptions'!F4:F103)=7,ROW('All Subscriptions'!F4:F103)-3),5)),"")</f>
        <v/>
      </c>
      <c r="E106" s="63">
        <f>IFERROR(INDEX('All Subscriptions'!C4:C103,SMALL(IF(MONTH('All Subscriptions'!F4:F103)=7,ROW('All Subscriptions'!F4:F103)-3),5)),"")</f>
        <v/>
      </c>
    </row>
    <row r="107" ht="22" customHeight="1">
      <c r="B107" s="69">
        <f>IFERROR(INDEX('All Subscriptions'!A4:A103,SMALL(IF(MONTH('All Subscriptions'!F4:F103)=7,ROW('All Subscriptions'!F4:F103)-3),6)),"")</f>
        <v/>
      </c>
      <c r="C107" s="71">
        <f>IFERROR(INDEX('All Subscriptions'!B4:B103,SMALL(IF(MONTH('All Subscriptions'!F4:F103)=7,ROW('All Subscriptions'!F4:F103)-3),6)),"")</f>
        <v/>
      </c>
      <c r="D107" s="72">
        <f>IFERROR(INDEX('All Subscriptions'!F4:F103,SMALL(IF(MONTH('All Subscriptions'!F4:F103)=7,ROW('All Subscriptions'!F4:F103)-3),6)),"")</f>
        <v/>
      </c>
      <c r="E107" s="70">
        <f>IFERROR(INDEX('All Subscriptions'!C4:C103,SMALL(IF(MONTH('All Subscriptions'!F4:F103)=7,ROW('All Subscriptions'!F4:F103)-3),6)),"")</f>
        <v/>
      </c>
    </row>
    <row r="108" ht="22" customHeight="1">
      <c r="B108" s="61">
        <f>IFERROR(INDEX('All Subscriptions'!A4:A103,SMALL(IF(MONTH('All Subscriptions'!F4:F103)=7,ROW('All Subscriptions'!F4:F103)-3),7)),"")</f>
        <v/>
      </c>
      <c r="C108" s="62">
        <f>IFERROR(INDEX('All Subscriptions'!B4:B103,SMALL(IF(MONTH('All Subscriptions'!F4:F103)=7,ROW('All Subscriptions'!F4:F103)-3),7)),"")</f>
        <v/>
      </c>
      <c r="D108" s="73">
        <f>IFERROR(INDEX('All Subscriptions'!F4:F103,SMALL(IF(MONTH('All Subscriptions'!F4:F103)=7,ROW('All Subscriptions'!F4:F103)-3),7)),"")</f>
        <v/>
      </c>
      <c r="E108" s="63">
        <f>IFERROR(INDEX('All Subscriptions'!C4:C103,SMALL(IF(MONTH('All Subscriptions'!F4:F103)=7,ROW('All Subscriptions'!F4:F103)-3),7)),"")</f>
        <v/>
      </c>
    </row>
    <row r="109" ht="22" customHeight="1">
      <c r="B109" s="69">
        <f>IFERROR(INDEX('All Subscriptions'!A4:A103,SMALL(IF(MONTH('All Subscriptions'!F4:F103)=7,ROW('All Subscriptions'!F4:F103)-3),8)),"")</f>
        <v/>
      </c>
      <c r="C109" s="71">
        <f>IFERROR(INDEX('All Subscriptions'!B4:B103,SMALL(IF(MONTH('All Subscriptions'!F4:F103)=7,ROW('All Subscriptions'!F4:F103)-3),8)),"")</f>
        <v/>
      </c>
      <c r="D109" s="72">
        <f>IFERROR(INDEX('All Subscriptions'!F4:F103,SMALL(IF(MONTH('All Subscriptions'!F4:F103)=7,ROW('All Subscriptions'!F4:F103)-3),8)),"")</f>
        <v/>
      </c>
      <c r="E109" s="70">
        <f>IFERROR(INDEX('All Subscriptions'!C4:C103,SMALL(IF(MONTH('All Subscriptions'!F4:F103)=7,ROW('All Subscriptions'!F4:F103)-3),8)),"")</f>
        <v/>
      </c>
    </row>
    <row r="110" ht="22" customHeight="1">
      <c r="B110" s="61">
        <f>IFERROR(INDEX('All Subscriptions'!A4:A103,SMALL(IF(MONTH('All Subscriptions'!F4:F103)=7,ROW('All Subscriptions'!F4:F103)-3),9)),"")</f>
        <v/>
      </c>
      <c r="C110" s="62">
        <f>IFERROR(INDEX('All Subscriptions'!B4:B103,SMALL(IF(MONTH('All Subscriptions'!F4:F103)=7,ROW('All Subscriptions'!F4:F103)-3),9)),"")</f>
        <v/>
      </c>
      <c r="D110" s="73">
        <f>IFERROR(INDEX('All Subscriptions'!F4:F103,SMALL(IF(MONTH('All Subscriptions'!F4:F103)=7,ROW('All Subscriptions'!F4:F103)-3),9)),"")</f>
        <v/>
      </c>
      <c r="E110" s="63">
        <f>IFERROR(INDEX('All Subscriptions'!C4:C103,SMALL(IF(MONTH('All Subscriptions'!F4:F103)=7,ROW('All Subscriptions'!F4:F103)-3),9)),"")</f>
        <v/>
      </c>
    </row>
    <row r="111" ht="22" customHeight="1">
      <c r="B111" s="69">
        <f>IFERROR(INDEX('All Subscriptions'!A4:A103,SMALL(IF(MONTH('All Subscriptions'!F4:F103)=7,ROW('All Subscriptions'!F4:F103)-3),10)),"")</f>
        <v/>
      </c>
      <c r="C111" s="71">
        <f>IFERROR(INDEX('All Subscriptions'!B4:B103,SMALL(IF(MONTH('All Subscriptions'!F4:F103)=7,ROW('All Subscriptions'!F4:F103)-3),10)),"")</f>
        <v/>
      </c>
      <c r="D111" s="72">
        <f>IFERROR(INDEX('All Subscriptions'!F4:F103,SMALL(IF(MONTH('All Subscriptions'!F4:F103)=7,ROW('All Subscriptions'!F4:F103)-3),10)),"")</f>
        <v/>
      </c>
      <c r="E111" s="70">
        <f>IFERROR(INDEX('All Subscriptions'!C4:C103,SMALL(IF(MONTH('All Subscriptions'!F4:F103)=7,ROW('All Subscriptions'!F4:F103)-3),10)),"")</f>
        <v/>
      </c>
    </row>
    <row r="112" ht="22" customHeight="1">
      <c r="B112" s="61">
        <f>IFERROR(INDEX('All Subscriptions'!A4:A103,SMALL(IF(MONTH('All Subscriptions'!F4:F103)=7,ROW('All Subscriptions'!F4:F103)-3),11)),"")</f>
        <v/>
      </c>
      <c r="C112" s="62">
        <f>IFERROR(INDEX('All Subscriptions'!B4:B103,SMALL(IF(MONTH('All Subscriptions'!F4:F103)=7,ROW('All Subscriptions'!F4:F103)-3),11)),"")</f>
        <v/>
      </c>
      <c r="D112" s="73">
        <f>IFERROR(INDEX('All Subscriptions'!F4:F103,SMALL(IF(MONTH('All Subscriptions'!F4:F103)=7,ROW('All Subscriptions'!F4:F103)-3),11)),"")</f>
        <v/>
      </c>
      <c r="E112" s="63">
        <f>IFERROR(INDEX('All Subscriptions'!C4:C103,SMALL(IF(MONTH('All Subscriptions'!F4:F103)=7,ROW('All Subscriptions'!F4:F103)-3),11)),"")</f>
        <v/>
      </c>
    </row>
    <row r="113" ht="22" customHeight="1">
      <c r="B113" s="69">
        <f>IFERROR(INDEX('All Subscriptions'!A4:A103,SMALL(IF(MONTH('All Subscriptions'!F4:F103)=7,ROW('All Subscriptions'!F4:F103)-3),12)),"")</f>
        <v/>
      </c>
      <c r="C113" s="71">
        <f>IFERROR(INDEX('All Subscriptions'!B4:B103,SMALL(IF(MONTH('All Subscriptions'!F4:F103)=7,ROW('All Subscriptions'!F4:F103)-3),12)),"")</f>
        <v/>
      </c>
      <c r="D113" s="72">
        <f>IFERROR(INDEX('All Subscriptions'!F4:F103,SMALL(IF(MONTH('All Subscriptions'!F4:F103)=7,ROW('All Subscriptions'!F4:F103)-3),12)),"")</f>
        <v/>
      </c>
      <c r="E113" s="70">
        <f>IFERROR(INDEX('All Subscriptions'!C4:C103,SMALL(IF(MONTH('All Subscriptions'!F4:F103)=7,ROW('All Subscriptions'!F4:F103)-3),12)),"")</f>
        <v/>
      </c>
    </row>
    <row r="114" ht="28" customHeight="1">
      <c r="B114" s="30" t="inlineStr">
        <is>
          <t>July Total</t>
        </is>
      </c>
      <c r="C114" s="76" t="n"/>
      <c r="D114" s="76" t="n"/>
      <c r="E114" s="77">
        <f>SUMPRODUCT((MONTH('All Subscriptions'!F4:F103)=7)*('All Subscriptions'!I4:I103&lt;&gt;"Canceled")*'All Subscriptions'!C4:C103)</f>
        <v/>
      </c>
    </row>
    <row r="116" ht="32" customHeight="1">
      <c r="B116" s="74" t="inlineStr">
        <is>
          <t>AUGUST</t>
        </is>
      </c>
      <c r="C116" s="123" t="n"/>
      <c r="D116" s="123" t="n"/>
      <c r="E116" s="121" t="n"/>
    </row>
    <row r="117">
      <c r="B117" s="75" t="inlineStr">
        <is>
          <t>Service</t>
        </is>
      </c>
      <c r="C117" s="75" t="inlineStr">
        <is>
          <t>Category</t>
        </is>
      </c>
      <c r="D117" s="75" t="inlineStr">
        <is>
          <t>Renewal Date</t>
        </is>
      </c>
      <c r="E117" s="75" t="inlineStr">
        <is>
          <t>Amount</t>
        </is>
      </c>
    </row>
    <row r="118" ht="22" customHeight="1">
      <c r="B118" s="61">
        <f>IFERROR(INDEX('All Subscriptions'!A4:A103,SMALL(IF(MONTH('All Subscriptions'!F4:F103)=8,ROW('All Subscriptions'!F4:F103)-3),1)),"")</f>
        <v/>
      </c>
      <c r="C118" s="62">
        <f>IFERROR(INDEX('All Subscriptions'!B4:B103,SMALL(IF(MONTH('All Subscriptions'!F4:F103)=8,ROW('All Subscriptions'!F4:F103)-3),1)),"")</f>
        <v/>
      </c>
      <c r="D118" s="73">
        <f>IFERROR(INDEX('All Subscriptions'!F4:F103,SMALL(IF(MONTH('All Subscriptions'!F4:F103)=8,ROW('All Subscriptions'!F4:F103)-3),1)),"")</f>
        <v/>
      </c>
      <c r="E118" s="63">
        <f>IFERROR(INDEX('All Subscriptions'!C4:C103,SMALL(IF(MONTH('All Subscriptions'!F4:F103)=8,ROW('All Subscriptions'!F4:F103)-3),1)),"")</f>
        <v/>
      </c>
    </row>
    <row r="119" ht="22" customHeight="1">
      <c r="B119" s="69">
        <f>IFERROR(INDEX('All Subscriptions'!A4:A103,SMALL(IF(MONTH('All Subscriptions'!F4:F103)=8,ROW('All Subscriptions'!F4:F103)-3),2)),"")</f>
        <v/>
      </c>
      <c r="C119" s="71">
        <f>IFERROR(INDEX('All Subscriptions'!B4:B103,SMALL(IF(MONTH('All Subscriptions'!F4:F103)=8,ROW('All Subscriptions'!F4:F103)-3),2)),"")</f>
        <v/>
      </c>
      <c r="D119" s="72">
        <f>IFERROR(INDEX('All Subscriptions'!F4:F103,SMALL(IF(MONTH('All Subscriptions'!F4:F103)=8,ROW('All Subscriptions'!F4:F103)-3),2)),"")</f>
        <v/>
      </c>
      <c r="E119" s="70">
        <f>IFERROR(INDEX('All Subscriptions'!C4:C103,SMALL(IF(MONTH('All Subscriptions'!F4:F103)=8,ROW('All Subscriptions'!F4:F103)-3),2)),"")</f>
        <v/>
      </c>
    </row>
    <row r="120" ht="22" customHeight="1">
      <c r="B120" s="61">
        <f>IFERROR(INDEX('All Subscriptions'!A4:A103,SMALL(IF(MONTH('All Subscriptions'!F4:F103)=8,ROW('All Subscriptions'!F4:F103)-3),3)),"")</f>
        <v/>
      </c>
      <c r="C120" s="62">
        <f>IFERROR(INDEX('All Subscriptions'!B4:B103,SMALL(IF(MONTH('All Subscriptions'!F4:F103)=8,ROW('All Subscriptions'!F4:F103)-3),3)),"")</f>
        <v/>
      </c>
      <c r="D120" s="73">
        <f>IFERROR(INDEX('All Subscriptions'!F4:F103,SMALL(IF(MONTH('All Subscriptions'!F4:F103)=8,ROW('All Subscriptions'!F4:F103)-3),3)),"")</f>
        <v/>
      </c>
      <c r="E120" s="63">
        <f>IFERROR(INDEX('All Subscriptions'!C4:C103,SMALL(IF(MONTH('All Subscriptions'!F4:F103)=8,ROW('All Subscriptions'!F4:F103)-3),3)),"")</f>
        <v/>
      </c>
    </row>
    <row r="121" ht="22" customHeight="1">
      <c r="B121" s="69">
        <f>IFERROR(INDEX('All Subscriptions'!A4:A103,SMALL(IF(MONTH('All Subscriptions'!F4:F103)=8,ROW('All Subscriptions'!F4:F103)-3),4)),"")</f>
        <v/>
      </c>
      <c r="C121" s="71">
        <f>IFERROR(INDEX('All Subscriptions'!B4:B103,SMALL(IF(MONTH('All Subscriptions'!F4:F103)=8,ROW('All Subscriptions'!F4:F103)-3),4)),"")</f>
        <v/>
      </c>
      <c r="D121" s="72">
        <f>IFERROR(INDEX('All Subscriptions'!F4:F103,SMALL(IF(MONTH('All Subscriptions'!F4:F103)=8,ROW('All Subscriptions'!F4:F103)-3),4)),"")</f>
        <v/>
      </c>
      <c r="E121" s="70">
        <f>IFERROR(INDEX('All Subscriptions'!C4:C103,SMALL(IF(MONTH('All Subscriptions'!F4:F103)=8,ROW('All Subscriptions'!F4:F103)-3),4)),"")</f>
        <v/>
      </c>
    </row>
    <row r="122" ht="22" customHeight="1">
      <c r="B122" s="61">
        <f>IFERROR(INDEX('All Subscriptions'!A4:A103,SMALL(IF(MONTH('All Subscriptions'!F4:F103)=8,ROW('All Subscriptions'!F4:F103)-3),5)),"")</f>
        <v/>
      </c>
      <c r="C122" s="62">
        <f>IFERROR(INDEX('All Subscriptions'!B4:B103,SMALL(IF(MONTH('All Subscriptions'!F4:F103)=8,ROW('All Subscriptions'!F4:F103)-3),5)),"")</f>
        <v/>
      </c>
      <c r="D122" s="73">
        <f>IFERROR(INDEX('All Subscriptions'!F4:F103,SMALL(IF(MONTH('All Subscriptions'!F4:F103)=8,ROW('All Subscriptions'!F4:F103)-3),5)),"")</f>
        <v/>
      </c>
      <c r="E122" s="63">
        <f>IFERROR(INDEX('All Subscriptions'!C4:C103,SMALL(IF(MONTH('All Subscriptions'!F4:F103)=8,ROW('All Subscriptions'!F4:F103)-3),5)),"")</f>
        <v/>
      </c>
    </row>
    <row r="123" ht="22" customHeight="1">
      <c r="B123" s="69">
        <f>IFERROR(INDEX('All Subscriptions'!A4:A103,SMALL(IF(MONTH('All Subscriptions'!F4:F103)=8,ROW('All Subscriptions'!F4:F103)-3),6)),"")</f>
        <v/>
      </c>
      <c r="C123" s="71">
        <f>IFERROR(INDEX('All Subscriptions'!B4:B103,SMALL(IF(MONTH('All Subscriptions'!F4:F103)=8,ROW('All Subscriptions'!F4:F103)-3),6)),"")</f>
        <v/>
      </c>
      <c r="D123" s="72">
        <f>IFERROR(INDEX('All Subscriptions'!F4:F103,SMALL(IF(MONTH('All Subscriptions'!F4:F103)=8,ROW('All Subscriptions'!F4:F103)-3),6)),"")</f>
        <v/>
      </c>
      <c r="E123" s="70">
        <f>IFERROR(INDEX('All Subscriptions'!C4:C103,SMALL(IF(MONTH('All Subscriptions'!F4:F103)=8,ROW('All Subscriptions'!F4:F103)-3),6)),"")</f>
        <v/>
      </c>
    </row>
    <row r="124" ht="22" customHeight="1">
      <c r="B124" s="61">
        <f>IFERROR(INDEX('All Subscriptions'!A4:A103,SMALL(IF(MONTH('All Subscriptions'!F4:F103)=8,ROW('All Subscriptions'!F4:F103)-3),7)),"")</f>
        <v/>
      </c>
      <c r="C124" s="62">
        <f>IFERROR(INDEX('All Subscriptions'!B4:B103,SMALL(IF(MONTH('All Subscriptions'!F4:F103)=8,ROW('All Subscriptions'!F4:F103)-3),7)),"")</f>
        <v/>
      </c>
      <c r="D124" s="73">
        <f>IFERROR(INDEX('All Subscriptions'!F4:F103,SMALL(IF(MONTH('All Subscriptions'!F4:F103)=8,ROW('All Subscriptions'!F4:F103)-3),7)),"")</f>
        <v/>
      </c>
      <c r="E124" s="63">
        <f>IFERROR(INDEX('All Subscriptions'!C4:C103,SMALL(IF(MONTH('All Subscriptions'!F4:F103)=8,ROW('All Subscriptions'!F4:F103)-3),7)),"")</f>
        <v/>
      </c>
    </row>
    <row r="125" ht="22" customHeight="1">
      <c r="B125" s="69">
        <f>IFERROR(INDEX('All Subscriptions'!A4:A103,SMALL(IF(MONTH('All Subscriptions'!F4:F103)=8,ROW('All Subscriptions'!F4:F103)-3),8)),"")</f>
        <v/>
      </c>
      <c r="C125" s="71">
        <f>IFERROR(INDEX('All Subscriptions'!B4:B103,SMALL(IF(MONTH('All Subscriptions'!F4:F103)=8,ROW('All Subscriptions'!F4:F103)-3),8)),"")</f>
        <v/>
      </c>
      <c r="D125" s="72">
        <f>IFERROR(INDEX('All Subscriptions'!F4:F103,SMALL(IF(MONTH('All Subscriptions'!F4:F103)=8,ROW('All Subscriptions'!F4:F103)-3),8)),"")</f>
        <v/>
      </c>
      <c r="E125" s="70">
        <f>IFERROR(INDEX('All Subscriptions'!C4:C103,SMALL(IF(MONTH('All Subscriptions'!F4:F103)=8,ROW('All Subscriptions'!F4:F103)-3),8)),"")</f>
        <v/>
      </c>
    </row>
    <row r="126" ht="22" customHeight="1">
      <c r="B126" s="61">
        <f>IFERROR(INDEX('All Subscriptions'!A4:A103,SMALL(IF(MONTH('All Subscriptions'!F4:F103)=8,ROW('All Subscriptions'!F4:F103)-3),9)),"")</f>
        <v/>
      </c>
      <c r="C126" s="62">
        <f>IFERROR(INDEX('All Subscriptions'!B4:B103,SMALL(IF(MONTH('All Subscriptions'!F4:F103)=8,ROW('All Subscriptions'!F4:F103)-3),9)),"")</f>
        <v/>
      </c>
      <c r="D126" s="73">
        <f>IFERROR(INDEX('All Subscriptions'!F4:F103,SMALL(IF(MONTH('All Subscriptions'!F4:F103)=8,ROW('All Subscriptions'!F4:F103)-3),9)),"")</f>
        <v/>
      </c>
      <c r="E126" s="63">
        <f>IFERROR(INDEX('All Subscriptions'!C4:C103,SMALL(IF(MONTH('All Subscriptions'!F4:F103)=8,ROW('All Subscriptions'!F4:F103)-3),9)),"")</f>
        <v/>
      </c>
    </row>
    <row r="127" ht="22" customHeight="1">
      <c r="B127" s="69">
        <f>IFERROR(INDEX('All Subscriptions'!A4:A103,SMALL(IF(MONTH('All Subscriptions'!F4:F103)=8,ROW('All Subscriptions'!F4:F103)-3),10)),"")</f>
        <v/>
      </c>
      <c r="C127" s="71">
        <f>IFERROR(INDEX('All Subscriptions'!B4:B103,SMALL(IF(MONTH('All Subscriptions'!F4:F103)=8,ROW('All Subscriptions'!F4:F103)-3),10)),"")</f>
        <v/>
      </c>
      <c r="D127" s="72">
        <f>IFERROR(INDEX('All Subscriptions'!F4:F103,SMALL(IF(MONTH('All Subscriptions'!F4:F103)=8,ROW('All Subscriptions'!F4:F103)-3),10)),"")</f>
        <v/>
      </c>
      <c r="E127" s="70">
        <f>IFERROR(INDEX('All Subscriptions'!C4:C103,SMALL(IF(MONTH('All Subscriptions'!F4:F103)=8,ROW('All Subscriptions'!F4:F103)-3),10)),"")</f>
        <v/>
      </c>
    </row>
    <row r="128" ht="22" customHeight="1">
      <c r="B128" s="61">
        <f>IFERROR(INDEX('All Subscriptions'!A4:A103,SMALL(IF(MONTH('All Subscriptions'!F4:F103)=8,ROW('All Subscriptions'!F4:F103)-3),11)),"")</f>
        <v/>
      </c>
      <c r="C128" s="62">
        <f>IFERROR(INDEX('All Subscriptions'!B4:B103,SMALL(IF(MONTH('All Subscriptions'!F4:F103)=8,ROW('All Subscriptions'!F4:F103)-3),11)),"")</f>
        <v/>
      </c>
      <c r="D128" s="73">
        <f>IFERROR(INDEX('All Subscriptions'!F4:F103,SMALL(IF(MONTH('All Subscriptions'!F4:F103)=8,ROW('All Subscriptions'!F4:F103)-3),11)),"")</f>
        <v/>
      </c>
      <c r="E128" s="63">
        <f>IFERROR(INDEX('All Subscriptions'!C4:C103,SMALL(IF(MONTH('All Subscriptions'!F4:F103)=8,ROW('All Subscriptions'!F4:F103)-3),11)),"")</f>
        <v/>
      </c>
    </row>
    <row r="129" ht="22" customHeight="1">
      <c r="B129" s="69">
        <f>IFERROR(INDEX('All Subscriptions'!A4:A103,SMALL(IF(MONTH('All Subscriptions'!F4:F103)=8,ROW('All Subscriptions'!F4:F103)-3),12)),"")</f>
        <v/>
      </c>
      <c r="C129" s="71">
        <f>IFERROR(INDEX('All Subscriptions'!B4:B103,SMALL(IF(MONTH('All Subscriptions'!F4:F103)=8,ROW('All Subscriptions'!F4:F103)-3),12)),"")</f>
        <v/>
      </c>
      <c r="D129" s="72">
        <f>IFERROR(INDEX('All Subscriptions'!F4:F103,SMALL(IF(MONTH('All Subscriptions'!F4:F103)=8,ROW('All Subscriptions'!F4:F103)-3),12)),"")</f>
        <v/>
      </c>
      <c r="E129" s="70">
        <f>IFERROR(INDEX('All Subscriptions'!C4:C103,SMALL(IF(MONTH('All Subscriptions'!F4:F103)=8,ROW('All Subscriptions'!F4:F103)-3),12)),"")</f>
        <v/>
      </c>
    </row>
    <row r="130" ht="28" customHeight="1">
      <c r="B130" s="30" t="inlineStr">
        <is>
          <t>August Total</t>
        </is>
      </c>
      <c r="C130" s="76" t="n"/>
      <c r="D130" s="76" t="n"/>
      <c r="E130" s="77">
        <f>SUMPRODUCT((MONTH('All Subscriptions'!F4:F103)=8)*('All Subscriptions'!I4:I103&lt;&gt;"Canceled")*'All Subscriptions'!C4:C103)</f>
        <v/>
      </c>
    </row>
    <row r="132" ht="32" customHeight="1">
      <c r="B132" s="74" t="inlineStr">
        <is>
          <t>SEPTEMBER</t>
        </is>
      </c>
      <c r="C132" s="123" t="n"/>
      <c r="D132" s="123" t="n"/>
      <c r="E132" s="121" t="n"/>
    </row>
    <row r="133">
      <c r="B133" s="75" t="inlineStr">
        <is>
          <t>Service</t>
        </is>
      </c>
      <c r="C133" s="75" t="inlineStr">
        <is>
          <t>Category</t>
        </is>
      </c>
      <c r="D133" s="75" t="inlineStr">
        <is>
          <t>Renewal Date</t>
        </is>
      </c>
      <c r="E133" s="75" t="inlineStr">
        <is>
          <t>Amount</t>
        </is>
      </c>
    </row>
    <row r="134" ht="22" customHeight="1">
      <c r="B134" s="61">
        <f>IFERROR(INDEX('All Subscriptions'!A4:A103,SMALL(IF(MONTH('All Subscriptions'!F4:F103)=9,ROW('All Subscriptions'!F4:F103)-3),1)),"")</f>
        <v/>
      </c>
      <c r="C134" s="62">
        <f>IFERROR(INDEX('All Subscriptions'!B4:B103,SMALL(IF(MONTH('All Subscriptions'!F4:F103)=9,ROW('All Subscriptions'!F4:F103)-3),1)),"")</f>
        <v/>
      </c>
      <c r="D134" s="73">
        <f>IFERROR(INDEX('All Subscriptions'!F4:F103,SMALL(IF(MONTH('All Subscriptions'!F4:F103)=9,ROW('All Subscriptions'!F4:F103)-3),1)),"")</f>
        <v/>
      </c>
      <c r="E134" s="63">
        <f>IFERROR(INDEX('All Subscriptions'!C4:C103,SMALL(IF(MONTH('All Subscriptions'!F4:F103)=9,ROW('All Subscriptions'!F4:F103)-3),1)),"")</f>
        <v/>
      </c>
    </row>
    <row r="135" ht="22" customHeight="1">
      <c r="B135" s="69">
        <f>IFERROR(INDEX('All Subscriptions'!A4:A103,SMALL(IF(MONTH('All Subscriptions'!F4:F103)=9,ROW('All Subscriptions'!F4:F103)-3),2)),"")</f>
        <v/>
      </c>
      <c r="C135" s="71">
        <f>IFERROR(INDEX('All Subscriptions'!B4:B103,SMALL(IF(MONTH('All Subscriptions'!F4:F103)=9,ROW('All Subscriptions'!F4:F103)-3),2)),"")</f>
        <v/>
      </c>
      <c r="D135" s="72">
        <f>IFERROR(INDEX('All Subscriptions'!F4:F103,SMALL(IF(MONTH('All Subscriptions'!F4:F103)=9,ROW('All Subscriptions'!F4:F103)-3),2)),"")</f>
        <v/>
      </c>
      <c r="E135" s="70">
        <f>IFERROR(INDEX('All Subscriptions'!C4:C103,SMALL(IF(MONTH('All Subscriptions'!F4:F103)=9,ROW('All Subscriptions'!F4:F103)-3),2)),"")</f>
        <v/>
      </c>
    </row>
    <row r="136" ht="22" customHeight="1">
      <c r="B136" s="61">
        <f>IFERROR(INDEX('All Subscriptions'!A4:A103,SMALL(IF(MONTH('All Subscriptions'!F4:F103)=9,ROW('All Subscriptions'!F4:F103)-3),3)),"")</f>
        <v/>
      </c>
      <c r="C136" s="62">
        <f>IFERROR(INDEX('All Subscriptions'!B4:B103,SMALL(IF(MONTH('All Subscriptions'!F4:F103)=9,ROW('All Subscriptions'!F4:F103)-3),3)),"")</f>
        <v/>
      </c>
      <c r="D136" s="73">
        <f>IFERROR(INDEX('All Subscriptions'!F4:F103,SMALL(IF(MONTH('All Subscriptions'!F4:F103)=9,ROW('All Subscriptions'!F4:F103)-3),3)),"")</f>
        <v/>
      </c>
      <c r="E136" s="63">
        <f>IFERROR(INDEX('All Subscriptions'!C4:C103,SMALL(IF(MONTH('All Subscriptions'!F4:F103)=9,ROW('All Subscriptions'!F4:F103)-3),3)),"")</f>
        <v/>
      </c>
    </row>
    <row r="137" ht="22" customHeight="1">
      <c r="B137" s="69">
        <f>IFERROR(INDEX('All Subscriptions'!A4:A103,SMALL(IF(MONTH('All Subscriptions'!F4:F103)=9,ROW('All Subscriptions'!F4:F103)-3),4)),"")</f>
        <v/>
      </c>
      <c r="C137" s="71">
        <f>IFERROR(INDEX('All Subscriptions'!B4:B103,SMALL(IF(MONTH('All Subscriptions'!F4:F103)=9,ROW('All Subscriptions'!F4:F103)-3),4)),"")</f>
        <v/>
      </c>
      <c r="D137" s="72">
        <f>IFERROR(INDEX('All Subscriptions'!F4:F103,SMALL(IF(MONTH('All Subscriptions'!F4:F103)=9,ROW('All Subscriptions'!F4:F103)-3),4)),"")</f>
        <v/>
      </c>
      <c r="E137" s="70">
        <f>IFERROR(INDEX('All Subscriptions'!C4:C103,SMALL(IF(MONTH('All Subscriptions'!F4:F103)=9,ROW('All Subscriptions'!F4:F103)-3),4)),"")</f>
        <v/>
      </c>
    </row>
    <row r="138" ht="22" customHeight="1">
      <c r="B138" s="61">
        <f>IFERROR(INDEX('All Subscriptions'!A4:A103,SMALL(IF(MONTH('All Subscriptions'!F4:F103)=9,ROW('All Subscriptions'!F4:F103)-3),5)),"")</f>
        <v/>
      </c>
      <c r="C138" s="62">
        <f>IFERROR(INDEX('All Subscriptions'!B4:B103,SMALL(IF(MONTH('All Subscriptions'!F4:F103)=9,ROW('All Subscriptions'!F4:F103)-3),5)),"")</f>
        <v/>
      </c>
      <c r="D138" s="73">
        <f>IFERROR(INDEX('All Subscriptions'!F4:F103,SMALL(IF(MONTH('All Subscriptions'!F4:F103)=9,ROW('All Subscriptions'!F4:F103)-3),5)),"")</f>
        <v/>
      </c>
      <c r="E138" s="63">
        <f>IFERROR(INDEX('All Subscriptions'!C4:C103,SMALL(IF(MONTH('All Subscriptions'!F4:F103)=9,ROW('All Subscriptions'!F4:F103)-3),5)),"")</f>
        <v/>
      </c>
    </row>
    <row r="139" ht="22" customHeight="1">
      <c r="B139" s="69">
        <f>IFERROR(INDEX('All Subscriptions'!A4:A103,SMALL(IF(MONTH('All Subscriptions'!F4:F103)=9,ROW('All Subscriptions'!F4:F103)-3),6)),"")</f>
        <v/>
      </c>
      <c r="C139" s="71">
        <f>IFERROR(INDEX('All Subscriptions'!B4:B103,SMALL(IF(MONTH('All Subscriptions'!F4:F103)=9,ROW('All Subscriptions'!F4:F103)-3),6)),"")</f>
        <v/>
      </c>
      <c r="D139" s="72">
        <f>IFERROR(INDEX('All Subscriptions'!F4:F103,SMALL(IF(MONTH('All Subscriptions'!F4:F103)=9,ROW('All Subscriptions'!F4:F103)-3),6)),"")</f>
        <v/>
      </c>
      <c r="E139" s="70">
        <f>IFERROR(INDEX('All Subscriptions'!C4:C103,SMALL(IF(MONTH('All Subscriptions'!F4:F103)=9,ROW('All Subscriptions'!F4:F103)-3),6)),"")</f>
        <v/>
      </c>
    </row>
    <row r="140" ht="22" customHeight="1">
      <c r="B140" s="61">
        <f>IFERROR(INDEX('All Subscriptions'!A4:A103,SMALL(IF(MONTH('All Subscriptions'!F4:F103)=9,ROW('All Subscriptions'!F4:F103)-3),7)),"")</f>
        <v/>
      </c>
      <c r="C140" s="62">
        <f>IFERROR(INDEX('All Subscriptions'!B4:B103,SMALL(IF(MONTH('All Subscriptions'!F4:F103)=9,ROW('All Subscriptions'!F4:F103)-3),7)),"")</f>
        <v/>
      </c>
      <c r="D140" s="73">
        <f>IFERROR(INDEX('All Subscriptions'!F4:F103,SMALL(IF(MONTH('All Subscriptions'!F4:F103)=9,ROW('All Subscriptions'!F4:F103)-3),7)),"")</f>
        <v/>
      </c>
      <c r="E140" s="63">
        <f>IFERROR(INDEX('All Subscriptions'!C4:C103,SMALL(IF(MONTH('All Subscriptions'!F4:F103)=9,ROW('All Subscriptions'!F4:F103)-3),7)),"")</f>
        <v/>
      </c>
    </row>
    <row r="141" ht="22" customHeight="1">
      <c r="B141" s="69">
        <f>IFERROR(INDEX('All Subscriptions'!A4:A103,SMALL(IF(MONTH('All Subscriptions'!F4:F103)=9,ROW('All Subscriptions'!F4:F103)-3),8)),"")</f>
        <v/>
      </c>
      <c r="C141" s="71">
        <f>IFERROR(INDEX('All Subscriptions'!B4:B103,SMALL(IF(MONTH('All Subscriptions'!F4:F103)=9,ROW('All Subscriptions'!F4:F103)-3),8)),"")</f>
        <v/>
      </c>
      <c r="D141" s="72">
        <f>IFERROR(INDEX('All Subscriptions'!F4:F103,SMALL(IF(MONTH('All Subscriptions'!F4:F103)=9,ROW('All Subscriptions'!F4:F103)-3),8)),"")</f>
        <v/>
      </c>
      <c r="E141" s="70">
        <f>IFERROR(INDEX('All Subscriptions'!C4:C103,SMALL(IF(MONTH('All Subscriptions'!F4:F103)=9,ROW('All Subscriptions'!F4:F103)-3),8)),"")</f>
        <v/>
      </c>
    </row>
    <row r="142" ht="22" customHeight="1">
      <c r="B142" s="61">
        <f>IFERROR(INDEX('All Subscriptions'!A4:A103,SMALL(IF(MONTH('All Subscriptions'!F4:F103)=9,ROW('All Subscriptions'!F4:F103)-3),9)),"")</f>
        <v/>
      </c>
      <c r="C142" s="62">
        <f>IFERROR(INDEX('All Subscriptions'!B4:B103,SMALL(IF(MONTH('All Subscriptions'!F4:F103)=9,ROW('All Subscriptions'!F4:F103)-3),9)),"")</f>
        <v/>
      </c>
      <c r="D142" s="73">
        <f>IFERROR(INDEX('All Subscriptions'!F4:F103,SMALL(IF(MONTH('All Subscriptions'!F4:F103)=9,ROW('All Subscriptions'!F4:F103)-3),9)),"")</f>
        <v/>
      </c>
      <c r="E142" s="63">
        <f>IFERROR(INDEX('All Subscriptions'!C4:C103,SMALL(IF(MONTH('All Subscriptions'!F4:F103)=9,ROW('All Subscriptions'!F4:F103)-3),9)),"")</f>
        <v/>
      </c>
    </row>
    <row r="143" ht="22" customHeight="1">
      <c r="B143" s="69">
        <f>IFERROR(INDEX('All Subscriptions'!A4:A103,SMALL(IF(MONTH('All Subscriptions'!F4:F103)=9,ROW('All Subscriptions'!F4:F103)-3),10)),"")</f>
        <v/>
      </c>
      <c r="C143" s="71">
        <f>IFERROR(INDEX('All Subscriptions'!B4:B103,SMALL(IF(MONTH('All Subscriptions'!F4:F103)=9,ROW('All Subscriptions'!F4:F103)-3),10)),"")</f>
        <v/>
      </c>
      <c r="D143" s="72">
        <f>IFERROR(INDEX('All Subscriptions'!F4:F103,SMALL(IF(MONTH('All Subscriptions'!F4:F103)=9,ROW('All Subscriptions'!F4:F103)-3),10)),"")</f>
        <v/>
      </c>
      <c r="E143" s="70">
        <f>IFERROR(INDEX('All Subscriptions'!C4:C103,SMALL(IF(MONTH('All Subscriptions'!F4:F103)=9,ROW('All Subscriptions'!F4:F103)-3),10)),"")</f>
        <v/>
      </c>
    </row>
    <row r="144" ht="22" customHeight="1">
      <c r="B144" s="61">
        <f>IFERROR(INDEX('All Subscriptions'!A4:A103,SMALL(IF(MONTH('All Subscriptions'!F4:F103)=9,ROW('All Subscriptions'!F4:F103)-3),11)),"")</f>
        <v/>
      </c>
      <c r="C144" s="62">
        <f>IFERROR(INDEX('All Subscriptions'!B4:B103,SMALL(IF(MONTH('All Subscriptions'!F4:F103)=9,ROW('All Subscriptions'!F4:F103)-3),11)),"")</f>
        <v/>
      </c>
      <c r="D144" s="73">
        <f>IFERROR(INDEX('All Subscriptions'!F4:F103,SMALL(IF(MONTH('All Subscriptions'!F4:F103)=9,ROW('All Subscriptions'!F4:F103)-3),11)),"")</f>
        <v/>
      </c>
      <c r="E144" s="63">
        <f>IFERROR(INDEX('All Subscriptions'!C4:C103,SMALL(IF(MONTH('All Subscriptions'!F4:F103)=9,ROW('All Subscriptions'!F4:F103)-3),11)),"")</f>
        <v/>
      </c>
    </row>
    <row r="145" ht="22" customHeight="1">
      <c r="B145" s="69">
        <f>IFERROR(INDEX('All Subscriptions'!A4:A103,SMALL(IF(MONTH('All Subscriptions'!F4:F103)=9,ROW('All Subscriptions'!F4:F103)-3),12)),"")</f>
        <v/>
      </c>
      <c r="C145" s="71">
        <f>IFERROR(INDEX('All Subscriptions'!B4:B103,SMALL(IF(MONTH('All Subscriptions'!F4:F103)=9,ROW('All Subscriptions'!F4:F103)-3),12)),"")</f>
        <v/>
      </c>
      <c r="D145" s="72">
        <f>IFERROR(INDEX('All Subscriptions'!F4:F103,SMALL(IF(MONTH('All Subscriptions'!F4:F103)=9,ROW('All Subscriptions'!F4:F103)-3),12)),"")</f>
        <v/>
      </c>
      <c r="E145" s="70">
        <f>IFERROR(INDEX('All Subscriptions'!C4:C103,SMALL(IF(MONTH('All Subscriptions'!F4:F103)=9,ROW('All Subscriptions'!F4:F103)-3),12)),"")</f>
        <v/>
      </c>
    </row>
    <row r="146" ht="28" customHeight="1">
      <c r="B146" s="30" t="inlineStr">
        <is>
          <t>September Total</t>
        </is>
      </c>
      <c r="C146" s="76" t="n"/>
      <c r="D146" s="76" t="n"/>
      <c r="E146" s="77">
        <f>SUMPRODUCT((MONTH('All Subscriptions'!F4:F103)=9)*('All Subscriptions'!I4:I103&lt;&gt;"Canceled")*'All Subscriptions'!C4:C103)</f>
        <v/>
      </c>
    </row>
    <row r="148" ht="32" customHeight="1">
      <c r="B148" s="74" t="inlineStr">
        <is>
          <t>OCTOBER</t>
        </is>
      </c>
      <c r="C148" s="123" t="n"/>
      <c r="D148" s="123" t="n"/>
      <c r="E148" s="121" t="n"/>
    </row>
    <row r="149">
      <c r="B149" s="75" t="inlineStr">
        <is>
          <t>Service</t>
        </is>
      </c>
      <c r="C149" s="75" t="inlineStr">
        <is>
          <t>Category</t>
        </is>
      </c>
      <c r="D149" s="75" t="inlineStr">
        <is>
          <t>Renewal Date</t>
        </is>
      </c>
      <c r="E149" s="75" t="inlineStr">
        <is>
          <t>Amount</t>
        </is>
      </c>
    </row>
    <row r="150" ht="22" customHeight="1">
      <c r="B150" s="61">
        <f>IFERROR(INDEX('All Subscriptions'!A4:A103,SMALL(IF(MONTH('All Subscriptions'!F4:F103)=10,ROW('All Subscriptions'!F4:F103)-3),1)),"")</f>
        <v/>
      </c>
      <c r="C150" s="62">
        <f>IFERROR(INDEX('All Subscriptions'!B4:B103,SMALL(IF(MONTH('All Subscriptions'!F4:F103)=10,ROW('All Subscriptions'!F4:F103)-3),1)),"")</f>
        <v/>
      </c>
      <c r="D150" s="73">
        <f>IFERROR(INDEX('All Subscriptions'!F4:F103,SMALL(IF(MONTH('All Subscriptions'!F4:F103)=10,ROW('All Subscriptions'!F4:F103)-3),1)),"")</f>
        <v/>
      </c>
      <c r="E150" s="63">
        <f>IFERROR(INDEX('All Subscriptions'!C4:C103,SMALL(IF(MONTH('All Subscriptions'!F4:F103)=10,ROW('All Subscriptions'!F4:F103)-3),1)),"")</f>
        <v/>
      </c>
    </row>
    <row r="151" ht="22" customHeight="1">
      <c r="B151" s="69">
        <f>IFERROR(INDEX('All Subscriptions'!A4:A103,SMALL(IF(MONTH('All Subscriptions'!F4:F103)=10,ROW('All Subscriptions'!F4:F103)-3),2)),"")</f>
        <v/>
      </c>
      <c r="C151" s="71">
        <f>IFERROR(INDEX('All Subscriptions'!B4:B103,SMALL(IF(MONTH('All Subscriptions'!F4:F103)=10,ROW('All Subscriptions'!F4:F103)-3),2)),"")</f>
        <v/>
      </c>
      <c r="D151" s="72">
        <f>IFERROR(INDEX('All Subscriptions'!F4:F103,SMALL(IF(MONTH('All Subscriptions'!F4:F103)=10,ROW('All Subscriptions'!F4:F103)-3),2)),"")</f>
        <v/>
      </c>
      <c r="E151" s="70">
        <f>IFERROR(INDEX('All Subscriptions'!C4:C103,SMALL(IF(MONTH('All Subscriptions'!F4:F103)=10,ROW('All Subscriptions'!F4:F103)-3),2)),"")</f>
        <v/>
      </c>
    </row>
    <row r="152" ht="22" customHeight="1">
      <c r="B152" s="61">
        <f>IFERROR(INDEX('All Subscriptions'!A4:A103,SMALL(IF(MONTH('All Subscriptions'!F4:F103)=10,ROW('All Subscriptions'!F4:F103)-3),3)),"")</f>
        <v/>
      </c>
      <c r="C152" s="62">
        <f>IFERROR(INDEX('All Subscriptions'!B4:B103,SMALL(IF(MONTH('All Subscriptions'!F4:F103)=10,ROW('All Subscriptions'!F4:F103)-3),3)),"")</f>
        <v/>
      </c>
      <c r="D152" s="73">
        <f>IFERROR(INDEX('All Subscriptions'!F4:F103,SMALL(IF(MONTH('All Subscriptions'!F4:F103)=10,ROW('All Subscriptions'!F4:F103)-3),3)),"")</f>
        <v/>
      </c>
      <c r="E152" s="63">
        <f>IFERROR(INDEX('All Subscriptions'!C4:C103,SMALL(IF(MONTH('All Subscriptions'!F4:F103)=10,ROW('All Subscriptions'!F4:F103)-3),3)),"")</f>
        <v/>
      </c>
    </row>
    <row r="153" ht="22" customHeight="1">
      <c r="B153" s="69">
        <f>IFERROR(INDEX('All Subscriptions'!A4:A103,SMALL(IF(MONTH('All Subscriptions'!F4:F103)=10,ROW('All Subscriptions'!F4:F103)-3),4)),"")</f>
        <v/>
      </c>
      <c r="C153" s="71">
        <f>IFERROR(INDEX('All Subscriptions'!B4:B103,SMALL(IF(MONTH('All Subscriptions'!F4:F103)=10,ROW('All Subscriptions'!F4:F103)-3),4)),"")</f>
        <v/>
      </c>
      <c r="D153" s="72">
        <f>IFERROR(INDEX('All Subscriptions'!F4:F103,SMALL(IF(MONTH('All Subscriptions'!F4:F103)=10,ROW('All Subscriptions'!F4:F103)-3),4)),"")</f>
        <v/>
      </c>
      <c r="E153" s="70">
        <f>IFERROR(INDEX('All Subscriptions'!C4:C103,SMALL(IF(MONTH('All Subscriptions'!F4:F103)=10,ROW('All Subscriptions'!F4:F103)-3),4)),"")</f>
        <v/>
      </c>
    </row>
    <row r="154" ht="22" customHeight="1">
      <c r="B154" s="61">
        <f>IFERROR(INDEX('All Subscriptions'!A4:A103,SMALL(IF(MONTH('All Subscriptions'!F4:F103)=10,ROW('All Subscriptions'!F4:F103)-3),5)),"")</f>
        <v/>
      </c>
      <c r="C154" s="62">
        <f>IFERROR(INDEX('All Subscriptions'!B4:B103,SMALL(IF(MONTH('All Subscriptions'!F4:F103)=10,ROW('All Subscriptions'!F4:F103)-3),5)),"")</f>
        <v/>
      </c>
      <c r="D154" s="73">
        <f>IFERROR(INDEX('All Subscriptions'!F4:F103,SMALL(IF(MONTH('All Subscriptions'!F4:F103)=10,ROW('All Subscriptions'!F4:F103)-3),5)),"")</f>
        <v/>
      </c>
      <c r="E154" s="63">
        <f>IFERROR(INDEX('All Subscriptions'!C4:C103,SMALL(IF(MONTH('All Subscriptions'!F4:F103)=10,ROW('All Subscriptions'!F4:F103)-3),5)),"")</f>
        <v/>
      </c>
    </row>
    <row r="155" ht="22" customHeight="1">
      <c r="B155" s="69">
        <f>IFERROR(INDEX('All Subscriptions'!A4:A103,SMALL(IF(MONTH('All Subscriptions'!F4:F103)=10,ROW('All Subscriptions'!F4:F103)-3),6)),"")</f>
        <v/>
      </c>
      <c r="C155" s="71">
        <f>IFERROR(INDEX('All Subscriptions'!B4:B103,SMALL(IF(MONTH('All Subscriptions'!F4:F103)=10,ROW('All Subscriptions'!F4:F103)-3),6)),"")</f>
        <v/>
      </c>
      <c r="D155" s="72">
        <f>IFERROR(INDEX('All Subscriptions'!F4:F103,SMALL(IF(MONTH('All Subscriptions'!F4:F103)=10,ROW('All Subscriptions'!F4:F103)-3),6)),"")</f>
        <v/>
      </c>
      <c r="E155" s="70">
        <f>IFERROR(INDEX('All Subscriptions'!C4:C103,SMALL(IF(MONTH('All Subscriptions'!F4:F103)=10,ROW('All Subscriptions'!F4:F103)-3),6)),"")</f>
        <v/>
      </c>
    </row>
    <row r="156" ht="22" customHeight="1">
      <c r="B156" s="61">
        <f>IFERROR(INDEX('All Subscriptions'!A4:A103,SMALL(IF(MONTH('All Subscriptions'!F4:F103)=10,ROW('All Subscriptions'!F4:F103)-3),7)),"")</f>
        <v/>
      </c>
      <c r="C156" s="62">
        <f>IFERROR(INDEX('All Subscriptions'!B4:B103,SMALL(IF(MONTH('All Subscriptions'!F4:F103)=10,ROW('All Subscriptions'!F4:F103)-3),7)),"")</f>
        <v/>
      </c>
      <c r="D156" s="73">
        <f>IFERROR(INDEX('All Subscriptions'!F4:F103,SMALL(IF(MONTH('All Subscriptions'!F4:F103)=10,ROW('All Subscriptions'!F4:F103)-3),7)),"")</f>
        <v/>
      </c>
      <c r="E156" s="63">
        <f>IFERROR(INDEX('All Subscriptions'!C4:C103,SMALL(IF(MONTH('All Subscriptions'!F4:F103)=10,ROW('All Subscriptions'!F4:F103)-3),7)),"")</f>
        <v/>
      </c>
    </row>
    <row r="157" ht="22" customHeight="1">
      <c r="B157" s="69">
        <f>IFERROR(INDEX('All Subscriptions'!A4:A103,SMALL(IF(MONTH('All Subscriptions'!F4:F103)=10,ROW('All Subscriptions'!F4:F103)-3),8)),"")</f>
        <v/>
      </c>
      <c r="C157" s="71">
        <f>IFERROR(INDEX('All Subscriptions'!B4:B103,SMALL(IF(MONTH('All Subscriptions'!F4:F103)=10,ROW('All Subscriptions'!F4:F103)-3),8)),"")</f>
        <v/>
      </c>
      <c r="D157" s="72">
        <f>IFERROR(INDEX('All Subscriptions'!F4:F103,SMALL(IF(MONTH('All Subscriptions'!F4:F103)=10,ROW('All Subscriptions'!F4:F103)-3),8)),"")</f>
        <v/>
      </c>
      <c r="E157" s="70">
        <f>IFERROR(INDEX('All Subscriptions'!C4:C103,SMALL(IF(MONTH('All Subscriptions'!F4:F103)=10,ROW('All Subscriptions'!F4:F103)-3),8)),"")</f>
        <v/>
      </c>
    </row>
    <row r="158" ht="22" customHeight="1">
      <c r="B158" s="61">
        <f>IFERROR(INDEX('All Subscriptions'!A4:A103,SMALL(IF(MONTH('All Subscriptions'!F4:F103)=10,ROW('All Subscriptions'!F4:F103)-3),9)),"")</f>
        <v/>
      </c>
      <c r="C158" s="62">
        <f>IFERROR(INDEX('All Subscriptions'!B4:B103,SMALL(IF(MONTH('All Subscriptions'!F4:F103)=10,ROW('All Subscriptions'!F4:F103)-3),9)),"")</f>
        <v/>
      </c>
      <c r="D158" s="73">
        <f>IFERROR(INDEX('All Subscriptions'!F4:F103,SMALL(IF(MONTH('All Subscriptions'!F4:F103)=10,ROW('All Subscriptions'!F4:F103)-3),9)),"")</f>
        <v/>
      </c>
      <c r="E158" s="63">
        <f>IFERROR(INDEX('All Subscriptions'!C4:C103,SMALL(IF(MONTH('All Subscriptions'!F4:F103)=10,ROW('All Subscriptions'!F4:F103)-3),9)),"")</f>
        <v/>
      </c>
    </row>
    <row r="159" ht="22" customHeight="1">
      <c r="B159" s="69">
        <f>IFERROR(INDEX('All Subscriptions'!A4:A103,SMALL(IF(MONTH('All Subscriptions'!F4:F103)=10,ROW('All Subscriptions'!F4:F103)-3),10)),"")</f>
        <v/>
      </c>
      <c r="C159" s="71">
        <f>IFERROR(INDEX('All Subscriptions'!B4:B103,SMALL(IF(MONTH('All Subscriptions'!F4:F103)=10,ROW('All Subscriptions'!F4:F103)-3),10)),"")</f>
        <v/>
      </c>
      <c r="D159" s="72">
        <f>IFERROR(INDEX('All Subscriptions'!F4:F103,SMALL(IF(MONTH('All Subscriptions'!F4:F103)=10,ROW('All Subscriptions'!F4:F103)-3),10)),"")</f>
        <v/>
      </c>
      <c r="E159" s="70">
        <f>IFERROR(INDEX('All Subscriptions'!C4:C103,SMALL(IF(MONTH('All Subscriptions'!F4:F103)=10,ROW('All Subscriptions'!F4:F103)-3),10)),"")</f>
        <v/>
      </c>
    </row>
    <row r="160" ht="22" customHeight="1">
      <c r="B160" s="61">
        <f>IFERROR(INDEX('All Subscriptions'!A4:A103,SMALL(IF(MONTH('All Subscriptions'!F4:F103)=10,ROW('All Subscriptions'!F4:F103)-3),11)),"")</f>
        <v/>
      </c>
      <c r="C160" s="62">
        <f>IFERROR(INDEX('All Subscriptions'!B4:B103,SMALL(IF(MONTH('All Subscriptions'!F4:F103)=10,ROW('All Subscriptions'!F4:F103)-3),11)),"")</f>
        <v/>
      </c>
      <c r="D160" s="73">
        <f>IFERROR(INDEX('All Subscriptions'!F4:F103,SMALL(IF(MONTH('All Subscriptions'!F4:F103)=10,ROW('All Subscriptions'!F4:F103)-3),11)),"")</f>
        <v/>
      </c>
      <c r="E160" s="63">
        <f>IFERROR(INDEX('All Subscriptions'!C4:C103,SMALL(IF(MONTH('All Subscriptions'!F4:F103)=10,ROW('All Subscriptions'!F4:F103)-3),11)),"")</f>
        <v/>
      </c>
    </row>
    <row r="161" ht="22" customHeight="1">
      <c r="B161" s="69">
        <f>IFERROR(INDEX('All Subscriptions'!A4:A103,SMALL(IF(MONTH('All Subscriptions'!F4:F103)=10,ROW('All Subscriptions'!F4:F103)-3),12)),"")</f>
        <v/>
      </c>
      <c r="C161" s="71">
        <f>IFERROR(INDEX('All Subscriptions'!B4:B103,SMALL(IF(MONTH('All Subscriptions'!F4:F103)=10,ROW('All Subscriptions'!F4:F103)-3),12)),"")</f>
        <v/>
      </c>
      <c r="D161" s="72">
        <f>IFERROR(INDEX('All Subscriptions'!F4:F103,SMALL(IF(MONTH('All Subscriptions'!F4:F103)=10,ROW('All Subscriptions'!F4:F103)-3),12)),"")</f>
        <v/>
      </c>
      <c r="E161" s="70">
        <f>IFERROR(INDEX('All Subscriptions'!C4:C103,SMALL(IF(MONTH('All Subscriptions'!F4:F103)=10,ROW('All Subscriptions'!F4:F103)-3),12)),"")</f>
        <v/>
      </c>
    </row>
    <row r="162" ht="28" customHeight="1">
      <c r="B162" s="30" t="inlineStr">
        <is>
          <t>October Total</t>
        </is>
      </c>
      <c r="C162" s="76" t="n"/>
      <c r="D162" s="76" t="n"/>
      <c r="E162" s="77">
        <f>SUMPRODUCT((MONTH('All Subscriptions'!F4:F103)=10)*('All Subscriptions'!I4:I103&lt;&gt;"Canceled")*'All Subscriptions'!C4:C103)</f>
        <v/>
      </c>
    </row>
    <row r="164" ht="32" customHeight="1">
      <c r="B164" s="74" t="inlineStr">
        <is>
          <t>NOVEMBER</t>
        </is>
      </c>
      <c r="C164" s="123" t="n"/>
      <c r="D164" s="123" t="n"/>
      <c r="E164" s="121" t="n"/>
    </row>
    <row r="165">
      <c r="B165" s="75" t="inlineStr">
        <is>
          <t>Service</t>
        </is>
      </c>
      <c r="C165" s="75" t="inlineStr">
        <is>
          <t>Category</t>
        </is>
      </c>
      <c r="D165" s="75" t="inlineStr">
        <is>
          <t>Renewal Date</t>
        </is>
      </c>
      <c r="E165" s="75" t="inlineStr">
        <is>
          <t>Amount</t>
        </is>
      </c>
    </row>
    <row r="166" ht="22" customHeight="1">
      <c r="B166" s="61">
        <f>IFERROR(INDEX('All Subscriptions'!A4:A103,SMALL(IF(MONTH('All Subscriptions'!F4:F103)=11,ROW('All Subscriptions'!F4:F103)-3),1)),"")</f>
        <v/>
      </c>
      <c r="C166" s="62">
        <f>IFERROR(INDEX('All Subscriptions'!B4:B103,SMALL(IF(MONTH('All Subscriptions'!F4:F103)=11,ROW('All Subscriptions'!F4:F103)-3),1)),"")</f>
        <v/>
      </c>
      <c r="D166" s="73">
        <f>IFERROR(INDEX('All Subscriptions'!F4:F103,SMALL(IF(MONTH('All Subscriptions'!F4:F103)=11,ROW('All Subscriptions'!F4:F103)-3),1)),"")</f>
        <v/>
      </c>
      <c r="E166" s="63">
        <f>IFERROR(INDEX('All Subscriptions'!C4:C103,SMALL(IF(MONTH('All Subscriptions'!F4:F103)=11,ROW('All Subscriptions'!F4:F103)-3),1)),"")</f>
        <v/>
      </c>
    </row>
    <row r="167" ht="22" customHeight="1">
      <c r="B167" s="69">
        <f>IFERROR(INDEX('All Subscriptions'!A4:A103,SMALL(IF(MONTH('All Subscriptions'!F4:F103)=11,ROW('All Subscriptions'!F4:F103)-3),2)),"")</f>
        <v/>
      </c>
      <c r="C167" s="71">
        <f>IFERROR(INDEX('All Subscriptions'!B4:B103,SMALL(IF(MONTH('All Subscriptions'!F4:F103)=11,ROW('All Subscriptions'!F4:F103)-3),2)),"")</f>
        <v/>
      </c>
      <c r="D167" s="72">
        <f>IFERROR(INDEX('All Subscriptions'!F4:F103,SMALL(IF(MONTH('All Subscriptions'!F4:F103)=11,ROW('All Subscriptions'!F4:F103)-3),2)),"")</f>
        <v/>
      </c>
      <c r="E167" s="70">
        <f>IFERROR(INDEX('All Subscriptions'!C4:C103,SMALL(IF(MONTH('All Subscriptions'!F4:F103)=11,ROW('All Subscriptions'!F4:F103)-3),2)),"")</f>
        <v/>
      </c>
    </row>
    <row r="168" ht="22" customHeight="1">
      <c r="B168" s="61">
        <f>IFERROR(INDEX('All Subscriptions'!A4:A103,SMALL(IF(MONTH('All Subscriptions'!F4:F103)=11,ROW('All Subscriptions'!F4:F103)-3),3)),"")</f>
        <v/>
      </c>
      <c r="C168" s="62">
        <f>IFERROR(INDEX('All Subscriptions'!B4:B103,SMALL(IF(MONTH('All Subscriptions'!F4:F103)=11,ROW('All Subscriptions'!F4:F103)-3),3)),"")</f>
        <v/>
      </c>
      <c r="D168" s="73">
        <f>IFERROR(INDEX('All Subscriptions'!F4:F103,SMALL(IF(MONTH('All Subscriptions'!F4:F103)=11,ROW('All Subscriptions'!F4:F103)-3),3)),"")</f>
        <v/>
      </c>
      <c r="E168" s="63">
        <f>IFERROR(INDEX('All Subscriptions'!C4:C103,SMALL(IF(MONTH('All Subscriptions'!F4:F103)=11,ROW('All Subscriptions'!F4:F103)-3),3)),"")</f>
        <v/>
      </c>
    </row>
    <row r="169" ht="22" customHeight="1">
      <c r="B169" s="69">
        <f>IFERROR(INDEX('All Subscriptions'!A4:A103,SMALL(IF(MONTH('All Subscriptions'!F4:F103)=11,ROW('All Subscriptions'!F4:F103)-3),4)),"")</f>
        <v/>
      </c>
      <c r="C169" s="71">
        <f>IFERROR(INDEX('All Subscriptions'!B4:B103,SMALL(IF(MONTH('All Subscriptions'!F4:F103)=11,ROW('All Subscriptions'!F4:F103)-3),4)),"")</f>
        <v/>
      </c>
      <c r="D169" s="72">
        <f>IFERROR(INDEX('All Subscriptions'!F4:F103,SMALL(IF(MONTH('All Subscriptions'!F4:F103)=11,ROW('All Subscriptions'!F4:F103)-3),4)),"")</f>
        <v/>
      </c>
      <c r="E169" s="70">
        <f>IFERROR(INDEX('All Subscriptions'!C4:C103,SMALL(IF(MONTH('All Subscriptions'!F4:F103)=11,ROW('All Subscriptions'!F4:F103)-3),4)),"")</f>
        <v/>
      </c>
    </row>
    <row r="170" ht="22" customHeight="1">
      <c r="B170" s="61">
        <f>IFERROR(INDEX('All Subscriptions'!A4:A103,SMALL(IF(MONTH('All Subscriptions'!F4:F103)=11,ROW('All Subscriptions'!F4:F103)-3),5)),"")</f>
        <v/>
      </c>
      <c r="C170" s="62">
        <f>IFERROR(INDEX('All Subscriptions'!B4:B103,SMALL(IF(MONTH('All Subscriptions'!F4:F103)=11,ROW('All Subscriptions'!F4:F103)-3),5)),"")</f>
        <v/>
      </c>
      <c r="D170" s="73">
        <f>IFERROR(INDEX('All Subscriptions'!F4:F103,SMALL(IF(MONTH('All Subscriptions'!F4:F103)=11,ROW('All Subscriptions'!F4:F103)-3),5)),"")</f>
        <v/>
      </c>
      <c r="E170" s="63">
        <f>IFERROR(INDEX('All Subscriptions'!C4:C103,SMALL(IF(MONTH('All Subscriptions'!F4:F103)=11,ROW('All Subscriptions'!F4:F103)-3),5)),"")</f>
        <v/>
      </c>
    </row>
    <row r="171" ht="22" customHeight="1">
      <c r="B171" s="69">
        <f>IFERROR(INDEX('All Subscriptions'!A4:A103,SMALL(IF(MONTH('All Subscriptions'!F4:F103)=11,ROW('All Subscriptions'!F4:F103)-3),6)),"")</f>
        <v/>
      </c>
      <c r="C171" s="71">
        <f>IFERROR(INDEX('All Subscriptions'!B4:B103,SMALL(IF(MONTH('All Subscriptions'!F4:F103)=11,ROW('All Subscriptions'!F4:F103)-3),6)),"")</f>
        <v/>
      </c>
      <c r="D171" s="72">
        <f>IFERROR(INDEX('All Subscriptions'!F4:F103,SMALL(IF(MONTH('All Subscriptions'!F4:F103)=11,ROW('All Subscriptions'!F4:F103)-3),6)),"")</f>
        <v/>
      </c>
      <c r="E171" s="70">
        <f>IFERROR(INDEX('All Subscriptions'!C4:C103,SMALL(IF(MONTH('All Subscriptions'!F4:F103)=11,ROW('All Subscriptions'!F4:F103)-3),6)),"")</f>
        <v/>
      </c>
    </row>
    <row r="172" ht="22" customHeight="1">
      <c r="B172" s="61">
        <f>IFERROR(INDEX('All Subscriptions'!A4:A103,SMALL(IF(MONTH('All Subscriptions'!F4:F103)=11,ROW('All Subscriptions'!F4:F103)-3),7)),"")</f>
        <v/>
      </c>
      <c r="C172" s="62">
        <f>IFERROR(INDEX('All Subscriptions'!B4:B103,SMALL(IF(MONTH('All Subscriptions'!F4:F103)=11,ROW('All Subscriptions'!F4:F103)-3),7)),"")</f>
        <v/>
      </c>
      <c r="D172" s="73">
        <f>IFERROR(INDEX('All Subscriptions'!F4:F103,SMALL(IF(MONTH('All Subscriptions'!F4:F103)=11,ROW('All Subscriptions'!F4:F103)-3),7)),"")</f>
        <v/>
      </c>
      <c r="E172" s="63">
        <f>IFERROR(INDEX('All Subscriptions'!C4:C103,SMALL(IF(MONTH('All Subscriptions'!F4:F103)=11,ROW('All Subscriptions'!F4:F103)-3),7)),"")</f>
        <v/>
      </c>
    </row>
    <row r="173" ht="22" customHeight="1">
      <c r="B173" s="69">
        <f>IFERROR(INDEX('All Subscriptions'!A4:A103,SMALL(IF(MONTH('All Subscriptions'!F4:F103)=11,ROW('All Subscriptions'!F4:F103)-3),8)),"")</f>
        <v/>
      </c>
      <c r="C173" s="71">
        <f>IFERROR(INDEX('All Subscriptions'!B4:B103,SMALL(IF(MONTH('All Subscriptions'!F4:F103)=11,ROW('All Subscriptions'!F4:F103)-3),8)),"")</f>
        <v/>
      </c>
      <c r="D173" s="72">
        <f>IFERROR(INDEX('All Subscriptions'!F4:F103,SMALL(IF(MONTH('All Subscriptions'!F4:F103)=11,ROW('All Subscriptions'!F4:F103)-3),8)),"")</f>
        <v/>
      </c>
      <c r="E173" s="70">
        <f>IFERROR(INDEX('All Subscriptions'!C4:C103,SMALL(IF(MONTH('All Subscriptions'!F4:F103)=11,ROW('All Subscriptions'!F4:F103)-3),8)),"")</f>
        <v/>
      </c>
    </row>
    <row r="174" ht="22" customHeight="1">
      <c r="B174" s="61">
        <f>IFERROR(INDEX('All Subscriptions'!A4:A103,SMALL(IF(MONTH('All Subscriptions'!F4:F103)=11,ROW('All Subscriptions'!F4:F103)-3),9)),"")</f>
        <v/>
      </c>
      <c r="C174" s="62">
        <f>IFERROR(INDEX('All Subscriptions'!B4:B103,SMALL(IF(MONTH('All Subscriptions'!F4:F103)=11,ROW('All Subscriptions'!F4:F103)-3),9)),"")</f>
        <v/>
      </c>
      <c r="D174" s="73">
        <f>IFERROR(INDEX('All Subscriptions'!F4:F103,SMALL(IF(MONTH('All Subscriptions'!F4:F103)=11,ROW('All Subscriptions'!F4:F103)-3),9)),"")</f>
        <v/>
      </c>
      <c r="E174" s="63">
        <f>IFERROR(INDEX('All Subscriptions'!C4:C103,SMALL(IF(MONTH('All Subscriptions'!F4:F103)=11,ROW('All Subscriptions'!F4:F103)-3),9)),"")</f>
        <v/>
      </c>
    </row>
    <row r="175" ht="22" customHeight="1">
      <c r="B175" s="69">
        <f>IFERROR(INDEX('All Subscriptions'!A4:A103,SMALL(IF(MONTH('All Subscriptions'!F4:F103)=11,ROW('All Subscriptions'!F4:F103)-3),10)),"")</f>
        <v/>
      </c>
      <c r="C175" s="71">
        <f>IFERROR(INDEX('All Subscriptions'!B4:B103,SMALL(IF(MONTH('All Subscriptions'!F4:F103)=11,ROW('All Subscriptions'!F4:F103)-3),10)),"")</f>
        <v/>
      </c>
      <c r="D175" s="72">
        <f>IFERROR(INDEX('All Subscriptions'!F4:F103,SMALL(IF(MONTH('All Subscriptions'!F4:F103)=11,ROW('All Subscriptions'!F4:F103)-3),10)),"")</f>
        <v/>
      </c>
      <c r="E175" s="70">
        <f>IFERROR(INDEX('All Subscriptions'!C4:C103,SMALL(IF(MONTH('All Subscriptions'!F4:F103)=11,ROW('All Subscriptions'!F4:F103)-3),10)),"")</f>
        <v/>
      </c>
    </row>
    <row r="176" ht="22" customHeight="1">
      <c r="B176" s="61">
        <f>IFERROR(INDEX('All Subscriptions'!A4:A103,SMALL(IF(MONTH('All Subscriptions'!F4:F103)=11,ROW('All Subscriptions'!F4:F103)-3),11)),"")</f>
        <v/>
      </c>
      <c r="C176" s="62">
        <f>IFERROR(INDEX('All Subscriptions'!B4:B103,SMALL(IF(MONTH('All Subscriptions'!F4:F103)=11,ROW('All Subscriptions'!F4:F103)-3),11)),"")</f>
        <v/>
      </c>
      <c r="D176" s="73">
        <f>IFERROR(INDEX('All Subscriptions'!F4:F103,SMALL(IF(MONTH('All Subscriptions'!F4:F103)=11,ROW('All Subscriptions'!F4:F103)-3),11)),"")</f>
        <v/>
      </c>
      <c r="E176" s="63">
        <f>IFERROR(INDEX('All Subscriptions'!C4:C103,SMALL(IF(MONTH('All Subscriptions'!F4:F103)=11,ROW('All Subscriptions'!F4:F103)-3),11)),"")</f>
        <v/>
      </c>
    </row>
    <row r="177" ht="22" customHeight="1">
      <c r="B177" s="69">
        <f>IFERROR(INDEX('All Subscriptions'!A4:A103,SMALL(IF(MONTH('All Subscriptions'!F4:F103)=11,ROW('All Subscriptions'!F4:F103)-3),12)),"")</f>
        <v/>
      </c>
      <c r="C177" s="71">
        <f>IFERROR(INDEX('All Subscriptions'!B4:B103,SMALL(IF(MONTH('All Subscriptions'!F4:F103)=11,ROW('All Subscriptions'!F4:F103)-3),12)),"")</f>
        <v/>
      </c>
      <c r="D177" s="72">
        <f>IFERROR(INDEX('All Subscriptions'!F4:F103,SMALL(IF(MONTH('All Subscriptions'!F4:F103)=11,ROW('All Subscriptions'!F4:F103)-3),12)),"")</f>
        <v/>
      </c>
      <c r="E177" s="70">
        <f>IFERROR(INDEX('All Subscriptions'!C4:C103,SMALL(IF(MONTH('All Subscriptions'!F4:F103)=11,ROW('All Subscriptions'!F4:F103)-3),12)),"")</f>
        <v/>
      </c>
    </row>
    <row r="178" ht="28" customHeight="1">
      <c r="B178" s="30" t="inlineStr">
        <is>
          <t>November Total</t>
        </is>
      </c>
      <c r="C178" s="76" t="n"/>
      <c r="D178" s="76" t="n"/>
      <c r="E178" s="77">
        <f>SUMPRODUCT((MONTH('All Subscriptions'!F4:F103)=11)*('All Subscriptions'!I4:I103&lt;&gt;"Canceled")*'All Subscriptions'!C4:C103)</f>
        <v/>
      </c>
    </row>
    <row r="180" ht="32" customHeight="1">
      <c r="B180" s="74" t="inlineStr">
        <is>
          <t>DECEMBER</t>
        </is>
      </c>
      <c r="C180" s="123" t="n"/>
      <c r="D180" s="123" t="n"/>
      <c r="E180" s="121" t="n"/>
    </row>
    <row r="181">
      <c r="B181" s="75" t="inlineStr">
        <is>
          <t>Service</t>
        </is>
      </c>
      <c r="C181" s="75" t="inlineStr">
        <is>
          <t>Category</t>
        </is>
      </c>
      <c r="D181" s="75" t="inlineStr">
        <is>
          <t>Renewal Date</t>
        </is>
      </c>
      <c r="E181" s="75" t="inlineStr">
        <is>
          <t>Amount</t>
        </is>
      </c>
    </row>
    <row r="182" ht="22" customHeight="1">
      <c r="B182" s="61">
        <f>IFERROR(INDEX('All Subscriptions'!A4:A103,SMALL(IF(MONTH('All Subscriptions'!F4:F103)=12,ROW('All Subscriptions'!F4:F103)-3),1)),"")</f>
        <v/>
      </c>
      <c r="C182" s="62">
        <f>IFERROR(INDEX('All Subscriptions'!B4:B103,SMALL(IF(MONTH('All Subscriptions'!F4:F103)=12,ROW('All Subscriptions'!F4:F103)-3),1)),"")</f>
        <v/>
      </c>
      <c r="D182" s="73">
        <f>IFERROR(INDEX('All Subscriptions'!F4:F103,SMALL(IF(MONTH('All Subscriptions'!F4:F103)=12,ROW('All Subscriptions'!F4:F103)-3),1)),"")</f>
        <v/>
      </c>
      <c r="E182" s="63">
        <f>IFERROR(INDEX('All Subscriptions'!C4:C103,SMALL(IF(MONTH('All Subscriptions'!F4:F103)=12,ROW('All Subscriptions'!F4:F103)-3),1)),"")</f>
        <v/>
      </c>
    </row>
    <row r="183" ht="22" customHeight="1">
      <c r="B183" s="69">
        <f>IFERROR(INDEX('All Subscriptions'!A4:A103,SMALL(IF(MONTH('All Subscriptions'!F4:F103)=12,ROW('All Subscriptions'!F4:F103)-3),2)),"")</f>
        <v/>
      </c>
      <c r="C183" s="71">
        <f>IFERROR(INDEX('All Subscriptions'!B4:B103,SMALL(IF(MONTH('All Subscriptions'!F4:F103)=12,ROW('All Subscriptions'!F4:F103)-3),2)),"")</f>
        <v/>
      </c>
      <c r="D183" s="72">
        <f>IFERROR(INDEX('All Subscriptions'!F4:F103,SMALL(IF(MONTH('All Subscriptions'!F4:F103)=12,ROW('All Subscriptions'!F4:F103)-3),2)),"")</f>
        <v/>
      </c>
      <c r="E183" s="70">
        <f>IFERROR(INDEX('All Subscriptions'!C4:C103,SMALL(IF(MONTH('All Subscriptions'!F4:F103)=12,ROW('All Subscriptions'!F4:F103)-3),2)),"")</f>
        <v/>
      </c>
    </row>
    <row r="184" ht="22" customHeight="1">
      <c r="B184" s="61">
        <f>IFERROR(INDEX('All Subscriptions'!A4:A103,SMALL(IF(MONTH('All Subscriptions'!F4:F103)=12,ROW('All Subscriptions'!F4:F103)-3),3)),"")</f>
        <v/>
      </c>
      <c r="C184" s="62">
        <f>IFERROR(INDEX('All Subscriptions'!B4:B103,SMALL(IF(MONTH('All Subscriptions'!F4:F103)=12,ROW('All Subscriptions'!F4:F103)-3),3)),"")</f>
        <v/>
      </c>
      <c r="D184" s="73">
        <f>IFERROR(INDEX('All Subscriptions'!F4:F103,SMALL(IF(MONTH('All Subscriptions'!F4:F103)=12,ROW('All Subscriptions'!F4:F103)-3),3)),"")</f>
        <v/>
      </c>
      <c r="E184" s="63">
        <f>IFERROR(INDEX('All Subscriptions'!C4:C103,SMALL(IF(MONTH('All Subscriptions'!F4:F103)=12,ROW('All Subscriptions'!F4:F103)-3),3)),"")</f>
        <v/>
      </c>
    </row>
    <row r="185" ht="22" customHeight="1">
      <c r="B185" s="69">
        <f>IFERROR(INDEX('All Subscriptions'!A4:A103,SMALL(IF(MONTH('All Subscriptions'!F4:F103)=12,ROW('All Subscriptions'!F4:F103)-3),4)),"")</f>
        <v/>
      </c>
      <c r="C185" s="71">
        <f>IFERROR(INDEX('All Subscriptions'!B4:B103,SMALL(IF(MONTH('All Subscriptions'!F4:F103)=12,ROW('All Subscriptions'!F4:F103)-3),4)),"")</f>
        <v/>
      </c>
      <c r="D185" s="72">
        <f>IFERROR(INDEX('All Subscriptions'!F4:F103,SMALL(IF(MONTH('All Subscriptions'!F4:F103)=12,ROW('All Subscriptions'!F4:F103)-3),4)),"")</f>
        <v/>
      </c>
      <c r="E185" s="70">
        <f>IFERROR(INDEX('All Subscriptions'!C4:C103,SMALL(IF(MONTH('All Subscriptions'!F4:F103)=12,ROW('All Subscriptions'!F4:F103)-3),4)),"")</f>
        <v/>
      </c>
    </row>
    <row r="186" ht="22" customHeight="1">
      <c r="B186" s="61">
        <f>IFERROR(INDEX('All Subscriptions'!A4:A103,SMALL(IF(MONTH('All Subscriptions'!F4:F103)=12,ROW('All Subscriptions'!F4:F103)-3),5)),"")</f>
        <v/>
      </c>
      <c r="C186" s="62">
        <f>IFERROR(INDEX('All Subscriptions'!B4:B103,SMALL(IF(MONTH('All Subscriptions'!F4:F103)=12,ROW('All Subscriptions'!F4:F103)-3),5)),"")</f>
        <v/>
      </c>
      <c r="D186" s="73">
        <f>IFERROR(INDEX('All Subscriptions'!F4:F103,SMALL(IF(MONTH('All Subscriptions'!F4:F103)=12,ROW('All Subscriptions'!F4:F103)-3),5)),"")</f>
        <v/>
      </c>
      <c r="E186" s="63">
        <f>IFERROR(INDEX('All Subscriptions'!C4:C103,SMALL(IF(MONTH('All Subscriptions'!F4:F103)=12,ROW('All Subscriptions'!F4:F103)-3),5)),"")</f>
        <v/>
      </c>
    </row>
    <row r="187" ht="22" customHeight="1">
      <c r="B187" s="69">
        <f>IFERROR(INDEX('All Subscriptions'!A4:A103,SMALL(IF(MONTH('All Subscriptions'!F4:F103)=12,ROW('All Subscriptions'!F4:F103)-3),6)),"")</f>
        <v/>
      </c>
      <c r="C187" s="71">
        <f>IFERROR(INDEX('All Subscriptions'!B4:B103,SMALL(IF(MONTH('All Subscriptions'!F4:F103)=12,ROW('All Subscriptions'!F4:F103)-3),6)),"")</f>
        <v/>
      </c>
      <c r="D187" s="72">
        <f>IFERROR(INDEX('All Subscriptions'!F4:F103,SMALL(IF(MONTH('All Subscriptions'!F4:F103)=12,ROW('All Subscriptions'!F4:F103)-3),6)),"")</f>
        <v/>
      </c>
      <c r="E187" s="70">
        <f>IFERROR(INDEX('All Subscriptions'!C4:C103,SMALL(IF(MONTH('All Subscriptions'!F4:F103)=12,ROW('All Subscriptions'!F4:F103)-3),6)),"")</f>
        <v/>
      </c>
    </row>
    <row r="188" ht="22" customHeight="1">
      <c r="B188" s="61">
        <f>IFERROR(INDEX('All Subscriptions'!A4:A103,SMALL(IF(MONTH('All Subscriptions'!F4:F103)=12,ROW('All Subscriptions'!F4:F103)-3),7)),"")</f>
        <v/>
      </c>
      <c r="C188" s="62">
        <f>IFERROR(INDEX('All Subscriptions'!B4:B103,SMALL(IF(MONTH('All Subscriptions'!F4:F103)=12,ROW('All Subscriptions'!F4:F103)-3),7)),"")</f>
        <v/>
      </c>
      <c r="D188" s="73">
        <f>IFERROR(INDEX('All Subscriptions'!F4:F103,SMALL(IF(MONTH('All Subscriptions'!F4:F103)=12,ROW('All Subscriptions'!F4:F103)-3),7)),"")</f>
        <v/>
      </c>
      <c r="E188" s="63">
        <f>IFERROR(INDEX('All Subscriptions'!C4:C103,SMALL(IF(MONTH('All Subscriptions'!F4:F103)=12,ROW('All Subscriptions'!F4:F103)-3),7)),"")</f>
        <v/>
      </c>
    </row>
    <row r="189" ht="22" customHeight="1">
      <c r="B189" s="69">
        <f>IFERROR(INDEX('All Subscriptions'!A4:A103,SMALL(IF(MONTH('All Subscriptions'!F4:F103)=12,ROW('All Subscriptions'!F4:F103)-3),8)),"")</f>
        <v/>
      </c>
      <c r="C189" s="71">
        <f>IFERROR(INDEX('All Subscriptions'!B4:B103,SMALL(IF(MONTH('All Subscriptions'!F4:F103)=12,ROW('All Subscriptions'!F4:F103)-3),8)),"")</f>
        <v/>
      </c>
      <c r="D189" s="72">
        <f>IFERROR(INDEX('All Subscriptions'!F4:F103,SMALL(IF(MONTH('All Subscriptions'!F4:F103)=12,ROW('All Subscriptions'!F4:F103)-3),8)),"")</f>
        <v/>
      </c>
      <c r="E189" s="70">
        <f>IFERROR(INDEX('All Subscriptions'!C4:C103,SMALL(IF(MONTH('All Subscriptions'!F4:F103)=12,ROW('All Subscriptions'!F4:F103)-3),8)),"")</f>
        <v/>
      </c>
    </row>
    <row r="190" ht="22" customHeight="1">
      <c r="B190" s="61">
        <f>IFERROR(INDEX('All Subscriptions'!A4:A103,SMALL(IF(MONTH('All Subscriptions'!F4:F103)=12,ROW('All Subscriptions'!F4:F103)-3),9)),"")</f>
        <v/>
      </c>
      <c r="C190" s="62">
        <f>IFERROR(INDEX('All Subscriptions'!B4:B103,SMALL(IF(MONTH('All Subscriptions'!F4:F103)=12,ROW('All Subscriptions'!F4:F103)-3),9)),"")</f>
        <v/>
      </c>
      <c r="D190" s="73">
        <f>IFERROR(INDEX('All Subscriptions'!F4:F103,SMALL(IF(MONTH('All Subscriptions'!F4:F103)=12,ROW('All Subscriptions'!F4:F103)-3),9)),"")</f>
        <v/>
      </c>
      <c r="E190" s="63">
        <f>IFERROR(INDEX('All Subscriptions'!C4:C103,SMALL(IF(MONTH('All Subscriptions'!F4:F103)=12,ROW('All Subscriptions'!F4:F103)-3),9)),"")</f>
        <v/>
      </c>
    </row>
    <row r="191" ht="22" customHeight="1">
      <c r="B191" s="69">
        <f>IFERROR(INDEX('All Subscriptions'!A4:A103,SMALL(IF(MONTH('All Subscriptions'!F4:F103)=12,ROW('All Subscriptions'!F4:F103)-3),10)),"")</f>
        <v/>
      </c>
      <c r="C191" s="71">
        <f>IFERROR(INDEX('All Subscriptions'!B4:B103,SMALL(IF(MONTH('All Subscriptions'!F4:F103)=12,ROW('All Subscriptions'!F4:F103)-3),10)),"")</f>
        <v/>
      </c>
      <c r="D191" s="72">
        <f>IFERROR(INDEX('All Subscriptions'!F4:F103,SMALL(IF(MONTH('All Subscriptions'!F4:F103)=12,ROW('All Subscriptions'!F4:F103)-3),10)),"")</f>
        <v/>
      </c>
      <c r="E191" s="70">
        <f>IFERROR(INDEX('All Subscriptions'!C4:C103,SMALL(IF(MONTH('All Subscriptions'!F4:F103)=12,ROW('All Subscriptions'!F4:F103)-3),10)),"")</f>
        <v/>
      </c>
    </row>
    <row r="192" ht="22" customHeight="1">
      <c r="B192" s="61">
        <f>IFERROR(INDEX('All Subscriptions'!A4:A103,SMALL(IF(MONTH('All Subscriptions'!F4:F103)=12,ROW('All Subscriptions'!F4:F103)-3),11)),"")</f>
        <v/>
      </c>
      <c r="C192" s="62">
        <f>IFERROR(INDEX('All Subscriptions'!B4:B103,SMALL(IF(MONTH('All Subscriptions'!F4:F103)=12,ROW('All Subscriptions'!F4:F103)-3),11)),"")</f>
        <v/>
      </c>
      <c r="D192" s="73">
        <f>IFERROR(INDEX('All Subscriptions'!F4:F103,SMALL(IF(MONTH('All Subscriptions'!F4:F103)=12,ROW('All Subscriptions'!F4:F103)-3),11)),"")</f>
        <v/>
      </c>
      <c r="E192" s="63">
        <f>IFERROR(INDEX('All Subscriptions'!C4:C103,SMALL(IF(MONTH('All Subscriptions'!F4:F103)=12,ROW('All Subscriptions'!F4:F103)-3),11)),"")</f>
        <v/>
      </c>
    </row>
    <row r="193" ht="22" customHeight="1">
      <c r="B193" s="69">
        <f>IFERROR(INDEX('All Subscriptions'!A4:A103,SMALL(IF(MONTH('All Subscriptions'!F4:F103)=12,ROW('All Subscriptions'!F4:F103)-3),12)),"")</f>
        <v/>
      </c>
      <c r="C193" s="71">
        <f>IFERROR(INDEX('All Subscriptions'!B4:B103,SMALL(IF(MONTH('All Subscriptions'!F4:F103)=12,ROW('All Subscriptions'!F4:F103)-3),12)),"")</f>
        <v/>
      </c>
      <c r="D193" s="72">
        <f>IFERROR(INDEX('All Subscriptions'!F4:F103,SMALL(IF(MONTH('All Subscriptions'!F4:F103)=12,ROW('All Subscriptions'!F4:F103)-3),12)),"")</f>
        <v/>
      </c>
      <c r="E193" s="70">
        <f>IFERROR(INDEX('All Subscriptions'!C4:C103,SMALL(IF(MONTH('All Subscriptions'!F4:F103)=12,ROW('All Subscriptions'!F4:F103)-3),12)),"")</f>
        <v/>
      </c>
    </row>
    <row r="194" ht="28" customHeight="1">
      <c r="B194" s="30" t="inlineStr">
        <is>
          <t>December Total</t>
        </is>
      </c>
      <c r="C194" s="76" t="n"/>
      <c r="D194" s="76" t="n"/>
      <c r="E194" s="77">
        <f>SUMPRODUCT((MONTH('All Subscriptions'!F4:F103)=12)*('All Subscriptions'!I4:I103&lt;&gt;"Canceled")*'All Subscriptions'!C4:C103)</f>
        <v/>
      </c>
    </row>
  </sheetData>
  <mergeCells count="14">
    <mergeCell ref="B132:E132"/>
    <mergeCell ref="B148:E148"/>
    <mergeCell ref="B4:E4"/>
    <mergeCell ref="A2:E2"/>
    <mergeCell ref="B180:E180"/>
    <mergeCell ref="B52:E52"/>
    <mergeCell ref="B68:E68"/>
    <mergeCell ref="B100:E100"/>
    <mergeCell ref="B116:E116"/>
    <mergeCell ref="A1:E1"/>
    <mergeCell ref="B164:E164"/>
    <mergeCell ref="B20:E20"/>
    <mergeCell ref="B36:E36"/>
    <mergeCell ref="B84:E84"/>
  </mergeCells>
  <pageMargins left="0.4" right="0.4" top="0.4" bottom="0.4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O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50" customHeight="1">
      <c r="A1" s="28" t="inlineStr">
        <is>
          <t>ANNUAL SUMMARY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121" t="n"/>
    </row>
    <row r="2" ht="26" customHeight="1">
      <c r="A2" s="29" t="inlineStr">
        <is>
          <t>Track your subscription spending month by month. Enter actual monthly totals below.</t>
        </is>
      </c>
    </row>
    <row r="4">
      <c r="B4" s="4" t="inlineStr">
        <is>
          <t>MONTH-BY-MONTH SPENDING</t>
        </is>
      </c>
      <c r="C4" s="123" t="n"/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23" t="n"/>
      <c r="N4" s="123" t="n"/>
      <c r="O4" s="121" t="n"/>
    </row>
    <row r="5">
      <c r="B5" s="33" t="n"/>
      <c r="C5" s="33" t="inlineStr">
        <is>
          <t>Jan</t>
        </is>
      </c>
      <c r="D5" s="33" t="inlineStr">
        <is>
          <t>Feb</t>
        </is>
      </c>
      <c r="E5" s="33" t="inlineStr">
        <is>
          <t>Mar</t>
        </is>
      </c>
      <c r="F5" s="33" t="inlineStr">
        <is>
          <t>Apr</t>
        </is>
      </c>
      <c r="G5" s="33" t="inlineStr">
        <is>
          <t>May</t>
        </is>
      </c>
      <c r="H5" s="33" t="inlineStr">
        <is>
          <t>Jun</t>
        </is>
      </c>
      <c r="I5" s="33" t="inlineStr">
        <is>
          <t>Jul</t>
        </is>
      </c>
      <c r="J5" s="33" t="inlineStr">
        <is>
          <t>Aug</t>
        </is>
      </c>
      <c r="K5" s="33" t="inlineStr">
        <is>
          <t>Sep</t>
        </is>
      </c>
      <c r="L5" s="33" t="inlineStr">
        <is>
          <t>Oct</t>
        </is>
      </c>
      <c r="M5" s="33" t="inlineStr">
        <is>
          <t>Nov</t>
        </is>
      </c>
      <c r="N5" s="33" t="inlineStr">
        <is>
          <t>Dec</t>
        </is>
      </c>
      <c r="O5" s="33" t="inlineStr">
        <is>
          <t>TOTAL</t>
        </is>
      </c>
    </row>
    <row r="6" ht="28" customHeight="1">
      <c r="B6" s="30" t="inlineStr">
        <is>
          <t>Current Year</t>
        </is>
      </c>
      <c r="C6" s="63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3" t="n"/>
      <c r="N6" s="63" t="n"/>
      <c r="O6" s="77">
        <f>SUM(C6:N6)</f>
        <v/>
      </c>
    </row>
    <row r="7" ht="28" customHeight="1">
      <c r="B7" s="78" t="inlineStr">
        <is>
          <t>Previous Year</t>
        </is>
      </c>
      <c r="C7" s="79" t="n"/>
      <c r="D7" s="79" t="n"/>
      <c r="E7" s="79" t="n"/>
      <c r="F7" s="79" t="n"/>
      <c r="G7" s="79" t="n"/>
      <c r="H7" s="79" t="n"/>
      <c r="I7" s="79" t="n"/>
      <c r="J7" s="79" t="n"/>
      <c r="K7" s="79" t="n"/>
      <c r="L7" s="79" t="n"/>
      <c r="M7" s="79" t="n"/>
      <c r="N7" s="79" t="n"/>
      <c r="O7" s="80">
        <f>SUM(C7:N7)</f>
        <v/>
      </c>
    </row>
    <row r="8" ht="28" customHeight="1">
      <c r="B8" s="81" t="inlineStr">
        <is>
          <t>Difference (+/-)</t>
        </is>
      </c>
      <c r="C8" s="42">
        <f>C6-C7</f>
        <v/>
      </c>
      <c r="D8" s="42">
        <f>D6-D7</f>
        <v/>
      </c>
      <c r="E8" s="42">
        <f>E6-E7</f>
        <v/>
      </c>
      <c r="F8" s="42">
        <f>F6-F7</f>
        <v/>
      </c>
      <c r="G8" s="42">
        <f>G6-G7</f>
        <v/>
      </c>
      <c r="H8" s="42">
        <f>H6-H7</f>
        <v/>
      </c>
      <c r="I8" s="42">
        <f>I6-I7</f>
        <v/>
      </c>
      <c r="J8" s="42">
        <f>J6-J7</f>
        <v/>
      </c>
      <c r="K8" s="42">
        <f>K6-K7</f>
        <v/>
      </c>
      <c r="L8" s="42">
        <f>L6-L7</f>
        <v/>
      </c>
      <c r="M8" s="42">
        <f>M6-M7</f>
        <v/>
      </c>
      <c r="N8" s="42">
        <f>N6-N7</f>
        <v/>
      </c>
      <c r="O8" s="82">
        <f>O6-O7</f>
        <v/>
      </c>
    </row>
    <row r="10">
      <c r="B10" s="4" t="inlineStr">
        <is>
          <t>CATEGORY-BY-CATEGORY ANNUAL BREAKDOWN</t>
        </is>
      </c>
      <c r="C10" s="123" t="n"/>
      <c r="D10" s="123" t="n"/>
      <c r="E10" s="123" t="n"/>
      <c r="F10" s="123" t="n"/>
      <c r="G10" s="123" t="n"/>
      <c r="H10" s="123" t="n"/>
      <c r="I10" s="123" t="n"/>
      <c r="J10" s="123" t="n"/>
      <c r="K10" s="123" t="n"/>
      <c r="L10" s="123" t="n"/>
      <c r="M10" s="123" t="n"/>
      <c r="N10" s="123" t="n"/>
      <c r="O10" s="121" t="n"/>
    </row>
    <row r="11">
      <c r="B11" s="83" t="n"/>
      <c r="C11" s="83" t="inlineStr">
        <is>
          <t>Jan</t>
        </is>
      </c>
      <c r="D11" s="83" t="inlineStr">
        <is>
          <t>Feb</t>
        </is>
      </c>
      <c r="E11" s="83" t="inlineStr">
        <is>
          <t>Mar</t>
        </is>
      </c>
      <c r="F11" s="83" t="inlineStr">
        <is>
          <t>Apr</t>
        </is>
      </c>
      <c r="G11" s="83" t="inlineStr">
        <is>
          <t>May</t>
        </is>
      </c>
      <c r="H11" s="83" t="inlineStr">
        <is>
          <t>Jun</t>
        </is>
      </c>
      <c r="I11" s="83" t="inlineStr">
        <is>
          <t>Jul</t>
        </is>
      </c>
      <c r="J11" s="83" t="inlineStr">
        <is>
          <t>Aug</t>
        </is>
      </c>
      <c r="K11" s="83" t="inlineStr">
        <is>
          <t>Sep</t>
        </is>
      </c>
      <c r="L11" s="83" t="inlineStr">
        <is>
          <t>Oct</t>
        </is>
      </c>
      <c r="M11" s="83" t="inlineStr">
        <is>
          <t>Nov</t>
        </is>
      </c>
      <c r="N11" s="83" t="inlineStr">
        <is>
          <t>Dec</t>
        </is>
      </c>
      <c r="O11" s="83" t="inlineStr">
        <is>
          <t>TOTAL</t>
        </is>
      </c>
    </row>
    <row r="12" ht="26" customHeight="1">
      <c r="B12" s="84" t="inlineStr">
        <is>
          <t>Entertainment</t>
        </is>
      </c>
      <c r="C12" s="85" t="n"/>
      <c r="D12" s="85" t="n"/>
      <c r="E12" s="85" t="n"/>
      <c r="F12" s="85" t="n"/>
      <c r="G12" s="85" t="n"/>
      <c r="H12" s="85" t="n"/>
      <c r="I12" s="85" t="n"/>
      <c r="J12" s="85" t="n"/>
      <c r="K12" s="85" t="n"/>
      <c r="L12" s="85" t="n"/>
      <c r="M12" s="85" t="n"/>
      <c r="N12" s="85" t="n"/>
      <c r="O12" s="86">
        <f>SUM(C12:N12)</f>
        <v/>
      </c>
    </row>
    <row r="13" ht="26" customHeight="1">
      <c r="B13" s="87" t="inlineStr">
        <is>
          <t>Software</t>
        </is>
      </c>
      <c r="C13" s="88" t="n"/>
      <c r="D13" s="88" t="n"/>
      <c r="E13" s="88" t="n"/>
      <c r="F13" s="88" t="n"/>
      <c r="G13" s="88" t="n"/>
      <c r="H13" s="88" t="n"/>
      <c r="I13" s="88" t="n"/>
      <c r="J13" s="88" t="n"/>
      <c r="K13" s="88" t="n"/>
      <c r="L13" s="88" t="n"/>
      <c r="M13" s="88" t="n"/>
      <c r="N13" s="88" t="n"/>
      <c r="O13" s="89">
        <f>SUM(C13:N13)</f>
        <v/>
      </c>
    </row>
    <row r="14" ht="26" customHeight="1">
      <c r="B14" s="90" t="inlineStr">
        <is>
          <t>Health &amp; Fitness</t>
        </is>
      </c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2">
        <f>SUM(C14:N14)</f>
        <v/>
      </c>
    </row>
    <row r="15" ht="26" customHeight="1">
      <c r="B15" s="93" t="inlineStr">
        <is>
          <t>News &amp; Media</t>
        </is>
      </c>
      <c r="C15" s="94" t="n"/>
      <c r="D15" s="94" t="n"/>
      <c r="E15" s="94" t="n"/>
      <c r="F15" s="94" t="n"/>
      <c r="G15" s="94" t="n"/>
      <c r="H15" s="94" t="n"/>
      <c r="I15" s="94" t="n"/>
      <c r="J15" s="94" t="n"/>
      <c r="K15" s="94" t="n"/>
      <c r="L15" s="94" t="n"/>
      <c r="M15" s="94" t="n"/>
      <c r="N15" s="94" t="n"/>
      <c r="O15" s="95">
        <f>SUM(C15:N15)</f>
        <v/>
      </c>
    </row>
    <row r="16" ht="26" customHeight="1">
      <c r="B16" s="96" t="inlineStr">
        <is>
          <t>Food &amp; Delivery</t>
        </is>
      </c>
      <c r="C16" s="97" t="n"/>
      <c r="D16" s="9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8">
        <f>SUM(C16:N16)</f>
        <v/>
      </c>
    </row>
    <row r="17" ht="26" customHeight="1">
      <c r="B17" s="99" t="inlineStr">
        <is>
          <t>Cloud Storage</t>
        </is>
      </c>
      <c r="C17" s="100" t="n"/>
      <c r="D17" s="100" t="n"/>
      <c r="E17" s="100" t="n"/>
      <c r="F17" s="100" t="n"/>
      <c r="G17" s="100" t="n"/>
      <c r="H17" s="100" t="n"/>
      <c r="I17" s="100" t="n"/>
      <c r="J17" s="100" t="n"/>
      <c r="K17" s="100" t="n"/>
      <c r="L17" s="100" t="n"/>
      <c r="M17" s="100" t="n"/>
      <c r="N17" s="100" t="n"/>
      <c r="O17" s="101">
        <f>SUM(C17:N17)</f>
        <v/>
      </c>
    </row>
    <row r="18" ht="26" customHeight="1">
      <c r="B18" s="102" t="inlineStr">
        <is>
          <t>Music</t>
        </is>
      </c>
      <c r="C18" s="103" t="n"/>
      <c r="D18" s="103" t="n"/>
      <c r="E18" s="103" t="n"/>
      <c r="F18" s="103" t="n"/>
      <c r="G18" s="103" t="n"/>
      <c r="H18" s="103" t="n"/>
      <c r="I18" s="103" t="n"/>
      <c r="J18" s="103" t="n"/>
      <c r="K18" s="103" t="n"/>
      <c r="L18" s="103" t="n"/>
      <c r="M18" s="103" t="n"/>
      <c r="N18" s="103" t="n"/>
      <c r="O18" s="104">
        <f>SUM(C18:N18)</f>
        <v/>
      </c>
    </row>
    <row r="19" ht="26" customHeight="1">
      <c r="B19" s="105" t="inlineStr">
        <is>
          <t>Gaming</t>
        </is>
      </c>
      <c r="C19" s="106" t="n"/>
      <c r="D19" s="106" t="n"/>
      <c r="E19" s="106" t="n"/>
      <c r="F19" s="106" t="n"/>
      <c r="G19" s="106" t="n"/>
      <c r="H19" s="106" t="n"/>
      <c r="I19" s="106" t="n"/>
      <c r="J19" s="106" t="n"/>
      <c r="K19" s="106" t="n"/>
      <c r="L19" s="106" t="n"/>
      <c r="M19" s="106" t="n"/>
      <c r="N19" s="106" t="n"/>
      <c r="O19" s="107">
        <f>SUM(C19:N19)</f>
        <v/>
      </c>
    </row>
    <row r="20" ht="26" customHeight="1">
      <c r="B20" s="108" t="inlineStr">
        <is>
          <t>Productivity</t>
        </is>
      </c>
      <c r="C20" s="109" t="n"/>
      <c r="D20" s="109" t="n"/>
      <c r="E20" s="109" t="n"/>
      <c r="F20" s="109" t="n"/>
      <c r="G20" s="109" t="n"/>
      <c r="H20" s="109" t="n"/>
      <c r="I20" s="109" t="n"/>
      <c r="J20" s="109" t="n"/>
      <c r="K20" s="109" t="n"/>
      <c r="L20" s="109" t="n"/>
      <c r="M20" s="109" t="n"/>
      <c r="N20" s="109" t="n"/>
      <c r="O20" s="110">
        <f>SUM(C20:N20)</f>
        <v/>
      </c>
    </row>
    <row r="21" ht="26" customHeight="1">
      <c r="B21" s="111" t="inlineStr">
        <is>
          <t>Other</t>
        </is>
      </c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3">
        <f>SUM(C21:N21)</f>
        <v/>
      </c>
    </row>
    <row r="22" ht="28" customHeight="1">
      <c r="B22" s="114" t="inlineStr">
        <is>
          <t>TOTAL</t>
        </is>
      </c>
      <c r="C22" s="115">
        <f>SUM(C12:C21)</f>
        <v/>
      </c>
      <c r="D22" s="115">
        <f>SUM(D12:D21)</f>
        <v/>
      </c>
      <c r="E22" s="115">
        <f>SUM(E12:E21)</f>
        <v/>
      </c>
      <c r="F22" s="115">
        <f>SUM(F12:F21)</f>
        <v/>
      </c>
      <c r="G22" s="115">
        <f>SUM(G12:G21)</f>
        <v/>
      </c>
      <c r="H22" s="115">
        <f>SUM(H12:H21)</f>
        <v/>
      </c>
      <c r="I22" s="115">
        <f>SUM(I12:I21)</f>
        <v/>
      </c>
      <c r="J22" s="115">
        <f>SUM(J12:J21)</f>
        <v/>
      </c>
      <c r="K22" s="115">
        <f>SUM(K12:K21)</f>
        <v/>
      </c>
      <c r="L22" s="115">
        <f>SUM(L12:L21)</f>
        <v/>
      </c>
      <c r="M22" s="115">
        <f>SUM(M12:M21)</f>
        <v/>
      </c>
      <c r="N22" s="115">
        <f>SUM(N12:N21)</f>
        <v/>
      </c>
      <c r="O22" s="115">
        <f>SUM(O12:O21)</f>
        <v/>
      </c>
    </row>
    <row r="24">
      <c r="B24" s="4" t="inlineStr">
        <is>
          <t>TOTAL SAVED FROM CANCELLATIONS</t>
        </is>
      </c>
      <c r="C24" s="123" t="n"/>
      <c r="D24" s="123" t="n"/>
      <c r="E24" s="123" t="n"/>
      <c r="F24" s="121" t="n"/>
    </row>
    <row r="25">
      <c r="B25" s="30" t="inlineStr">
        <is>
          <t>Monthly Savings (from log)</t>
        </is>
      </c>
      <c r="C25" s="31">
        <f>SUM('Cancellation Log'!C5:C104)</f>
        <v/>
      </c>
    </row>
    <row r="26">
      <c r="B26" s="30" t="inlineStr">
        <is>
          <t>Annual Savings (from log)</t>
        </is>
      </c>
      <c r="C26" s="31">
        <f>SUM('Cancellation Log'!D5:D104)</f>
        <v/>
      </c>
    </row>
  </sheetData>
  <mergeCells count="5">
    <mergeCell ref="B4:O4"/>
    <mergeCell ref="A2:O2"/>
    <mergeCell ref="B24:F24"/>
    <mergeCell ref="B10:O10"/>
    <mergeCell ref="A1:O1"/>
  </mergeCells>
  <conditionalFormatting sqref="C8:O8">
    <cfRule type="cellIs" priority="1" operator="greaterThan" dxfId="5">
      <formula>0</formula>
    </cfRule>
    <cfRule type="cellIs" priority="2" operator="lessThan" dxfId="6">
      <formula>0</formula>
    </cfRule>
  </conditionalFormatting>
  <pageMargins left="0.3" right="0.3" top="0.4" bottom="0.4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A1:F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36" customWidth="1" min="5" max="5"/>
    <col width="20" customWidth="1" min="6" max="6"/>
  </cols>
  <sheetData>
    <row r="1" ht="50" customHeight="1">
      <c r="A1" s="28" t="inlineStr">
        <is>
          <t>CANCELLATION LOG</t>
        </is>
      </c>
      <c r="B1" s="123" t="n"/>
      <c r="C1" s="123" t="n"/>
      <c r="D1" s="123" t="n"/>
      <c r="E1" s="123" t="n"/>
      <c r="F1" s="121" t="n"/>
    </row>
    <row r="2" ht="36" customHeight="1">
      <c r="A2" s="116" t="inlineStr">
        <is>
          <t>Every subscription you cancel puts money back in your pocket. Track your wins below!</t>
        </is>
      </c>
    </row>
    <row r="3" ht="40" customHeight="1">
      <c r="A3" s="117" t="inlineStr">
        <is>
          <t>YOU'VE SAVED THIS YEAR:</t>
        </is>
      </c>
      <c r="B3" s="121" t="n"/>
      <c r="C3" s="119">
        <f>SUM(C5:C104)</f>
        <v/>
      </c>
      <c r="D3" s="120">
        <f>SUM(D5:D104)</f>
        <v/>
      </c>
      <c r="E3" s="118" t="n"/>
      <c r="F3" s="118" t="n"/>
    </row>
    <row r="4" ht="30" customHeight="1">
      <c r="A4" s="68" t="inlineStr">
        <is>
          <t>Service Name</t>
        </is>
      </c>
      <c r="B4" s="68" t="inlineStr">
        <is>
          <t>Date Canceled</t>
        </is>
      </c>
      <c r="C4" s="68" t="inlineStr">
        <is>
          <t>Monthly Savings</t>
        </is>
      </c>
      <c r="D4" s="68" t="inlineStr">
        <is>
          <t>Annual Savings</t>
        </is>
      </c>
      <c r="E4" s="68" t="inlineStr">
        <is>
          <t>Reason</t>
        </is>
      </c>
      <c r="F4" s="68" t="inlineStr">
        <is>
          <t>Would Re-subscribe?</t>
        </is>
      </c>
    </row>
    <row r="5" ht="26" customHeight="1">
      <c r="A5" s="61" t="n"/>
      <c r="B5" s="73" t="n"/>
      <c r="C5" s="63" t="n"/>
      <c r="D5" s="63">
        <f>IF(C5="",0,C5*12)</f>
        <v/>
      </c>
      <c r="E5" s="61" t="n"/>
      <c r="F5" s="62" t="n"/>
    </row>
    <row r="6" ht="26" customHeight="1">
      <c r="A6" s="69" t="n"/>
      <c r="B6" s="72" t="n"/>
      <c r="C6" s="70" t="n"/>
      <c r="D6" s="70">
        <f>IF(C6="",0,C6*12)</f>
        <v/>
      </c>
      <c r="E6" s="69" t="n"/>
      <c r="F6" s="71" t="n"/>
    </row>
    <row r="7" ht="26" customHeight="1">
      <c r="A7" s="61" t="n"/>
      <c r="B7" s="73" t="n"/>
      <c r="C7" s="63" t="n"/>
      <c r="D7" s="63">
        <f>IF(C7="",0,C7*12)</f>
        <v/>
      </c>
      <c r="E7" s="61" t="n"/>
      <c r="F7" s="62" t="n"/>
    </row>
    <row r="8" ht="26" customHeight="1">
      <c r="A8" s="69" t="n"/>
      <c r="B8" s="72" t="n"/>
      <c r="C8" s="70" t="n"/>
      <c r="D8" s="70">
        <f>IF(C8="",0,C8*12)</f>
        <v/>
      </c>
      <c r="E8" s="69" t="n"/>
      <c r="F8" s="71" t="n"/>
    </row>
    <row r="9" ht="26" customHeight="1">
      <c r="A9" s="61" t="n"/>
      <c r="B9" s="73" t="n"/>
      <c r="C9" s="63" t="n"/>
      <c r="D9" s="63">
        <f>IF(C9="",0,C9*12)</f>
        <v/>
      </c>
      <c r="E9" s="61" t="n"/>
      <c r="F9" s="62" t="n"/>
    </row>
    <row r="10" ht="26" customHeight="1">
      <c r="A10" s="69" t="n"/>
      <c r="B10" s="72" t="n"/>
      <c r="C10" s="70" t="n"/>
      <c r="D10" s="70">
        <f>IF(C10="",0,C10*12)</f>
        <v/>
      </c>
      <c r="E10" s="69" t="n"/>
      <c r="F10" s="71" t="n"/>
    </row>
    <row r="11" ht="26" customHeight="1">
      <c r="A11" s="61" t="n"/>
      <c r="B11" s="73" t="n"/>
      <c r="C11" s="63" t="n"/>
      <c r="D11" s="63">
        <f>IF(C11="",0,C11*12)</f>
        <v/>
      </c>
      <c r="E11" s="61" t="n"/>
      <c r="F11" s="62" t="n"/>
    </row>
    <row r="12" ht="26" customHeight="1">
      <c r="A12" s="69" t="n"/>
      <c r="B12" s="72" t="n"/>
      <c r="C12" s="70" t="n"/>
      <c r="D12" s="70">
        <f>IF(C12="",0,C12*12)</f>
        <v/>
      </c>
      <c r="E12" s="69" t="n"/>
      <c r="F12" s="71" t="n"/>
    </row>
    <row r="13" ht="26" customHeight="1">
      <c r="A13" s="61" t="n"/>
      <c r="B13" s="73" t="n"/>
      <c r="C13" s="63" t="n"/>
      <c r="D13" s="63">
        <f>IF(C13="",0,C13*12)</f>
        <v/>
      </c>
      <c r="E13" s="61" t="n"/>
      <c r="F13" s="62" t="n"/>
    </row>
    <row r="14" ht="26" customHeight="1">
      <c r="A14" s="69" t="n"/>
      <c r="B14" s="72" t="n"/>
      <c r="C14" s="70" t="n"/>
      <c r="D14" s="70">
        <f>IF(C14="",0,C14*12)</f>
        <v/>
      </c>
      <c r="E14" s="69" t="n"/>
      <c r="F14" s="71" t="n"/>
    </row>
    <row r="15" ht="26" customHeight="1">
      <c r="A15" s="61" t="n"/>
      <c r="B15" s="73" t="n"/>
      <c r="C15" s="63" t="n"/>
      <c r="D15" s="63">
        <f>IF(C15="",0,C15*12)</f>
        <v/>
      </c>
      <c r="E15" s="61" t="n"/>
      <c r="F15" s="62" t="n"/>
    </row>
    <row r="16" ht="26" customHeight="1">
      <c r="A16" s="69" t="n"/>
      <c r="B16" s="72" t="n"/>
      <c r="C16" s="70" t="n"/>
      <c r="D16" s="70">
        <f>IF(C16="",0,C16*12)</f>
        <v/>
      </c>
      <c r="E16" s="69" t="n"/>
      <c r="F16" s="71" t="n"/>
    </row>
    <row r="17" ht="26" customHeight="1">
      <c r="A17" s="61" t="n"/>
      <c r="B17" s="73" t="n"/>
      <c r="C17" s="63" t="n"/>
      <c r="D17" s="63">
        <f>IF(C17="",0,C17*12)</f>
        <v/>
      </c>
      <c r="E17" s="61" t="n"/>
      <c r="F17" s="62" t="n"/>
    </row>
    <row r="18" ht="26" customHeight="1">
      <c r="A18" s="69" t="n"/>
      <c r="B18" s="72" t="n"/>
      <c r="C18" s="70" t="n"/>
      <c r="D18" s="70">
        <f>IF(C18="",0,C18*12)</f>
        <v/>
      </c>
      <c r="E18" s="69" t="n"/>
      <c r="F18" s="71" t="n"/>
    </row>
    <row r="19" ht="26" customHeight="1">
      <c r="A19" s="61" t="n"/>
      <c r="B19" s="73" t="n"/>
      <c r="C19" s="63" t="n"/>
      <c r="D19" s="63">
        <f>IF(C19="",0,C19*12)</f>
        <v/>
      </c>
      <c r="E19" s="61" t="n"/>
      <c r="F19" s="62" t="n"/>
    </row>
    <row r="20" ht="26" customHeight="1">
      <c r="A20" s="69" t="n"/>
      <c r="B20" s="72" t="n"/>
      <c r="C20" s="70" t="n"/>
      <c r="D20" s="70">
        <f>IF(C20="",0,C20*12)</f>
        <v/>
      </c>
      <c r="E20" s="69" t="n"/>
      <c r="F20" s="71" t="n"/>
    </row>
    <row r="21" ht="26" customHeight="1">
      <c r="A21" s="61" t="n"/>
      <c r="B21" s="73" t="n"/>
      <c r="C21" s="63" t="n"/>
      <c r="D21" s="63">
        <f>IF(C21="",0,C21*12)</f>
        <v/>
      </c>
      <c r="E21" s="61" t="n"/>
      <c r="F21" s="62" t="n"/>
    </row>
    <row r="22" ht="26" customHeight="1">
      <c r="A22" s="69" t="n"/>
      <c r="B22" s="72" t="n"/>
      <c r="C22" s="70" t="n"/>
      <c r="D22" s="70">
        <f>IF(C22="",0,C22*12)</f>
        <v/>
      </c>
      <c r="E22" s="69" t="n"/>
      <c r="F22" s="71" t="n"/>
    </row>
    <row r="23" ht="26" customHeight="1">
      <c r="A23" s="61" t="n"/>
      <c r="B23" s="73" t="n"/>
      <c r="C23" s="63" t="n"/>
      <c r="D23" s="63">
        <f>IF(C23="",0,C23*12)</f>
        <v/>
      </c>
      <c r="E23" s="61" t="n"/>
      <c r="F23" s="62" t="n"/>
    </row>
    <row r="24" ht="26" customHeight="1">
      <c r="A24" s="69" t="n"/>
      <c r="B24" s="72" t="n"/>
      <c r="C24" s="70" t="n"/>
      <c r="D24" s="70">
        <f>IF(C24="",0,C24*12)</f>
        <v/>
      </c>
      <c r="E24" s="69" t="n"/>
      <c r="F24" s="71" t="n"/>
    </row>
    <row r="25" ht="26" customHeight="1">
      <c r="A25" s="61" t="n"/>
      <c r="B25" s="73" t="n"/>
      <c r="C25" s="63" t="n"/>
      <c r="D25" s="63">
        <f>IF(C25="",0,C25*12)</f>
        <v/>
      </c>
      <c r="E25" s="61" t="n"/>
      <c r="F25" s="62" t="n"/>
    </row>
    <row r="26" ht="26" customHeight="1">
      <c r="A26" s="69" t="n"/>
      <c r="B26" s="72" t="n"/>
      <c r="C26" s="70" t="n"/>
      <c r="D26" s="70">
        <f>IF(C26="",0,C26*12)</f>
        <v/>
      </c>
      <c r="E26" s="69" t="n"/>
      <c r="F26" s="71" t="n"/>
    </row>
    <row r="27" ht="26" customHeight="1">
      <c r="A27" s="61" t="n"/>
      <c r="B27" s="73" t="n"/>
      <c r="C27" s="63" t="n"/>
      <c r="D27" s="63">
        <f>IF(C27="",0,C27*12)</f>
        <v/>
      </c>
      <c r="E27" s="61" t="n"/>
      <c r="F27" s="62" t="n"/>
    </row>
    <row r="28" ht="26" customHeight="1">
      <c r="A28" s="69" t="n"/>
      <c r="B28" s="72" t="n"/>
      <c r="C28" s="70" t="n"/>
      <c r="D28" s="70">
        <f>IF(C28="",0,C28*12)</f>
        <v/>
      </c>
      <c r="E28" s="69" t="n"/>
      <c r="F28" s="71" t="n"/>
    </row>
    <row r="29" ht="26" customHeight="1">
      <c r="A29" s="61" t="n"/>
      <c r="B29" s="73" t="n"/>
      <c r="C29" s="63" t="n"/>
      <c r="D29" s="63">
        <f>IF(C29="",0,C29*12)</f>
        <v/>
      </c>
      <c r="E29" s="61" t="n"/>
      <c r="F29" s="62" t="n"/>
    </row>
    <row r="30" ht="26" customHeight="1">
      <c r="A30" s="69" t="n"/>
      <c r="B30" s="72" t="n"/>
      <c r="C30" s="70" t="n"/>
      <c r="D30" s="70">
        <f>IF(C30="",0,C30*12)</f>
        <v/>
      </c>
      <c r="E30" s="69" t="n"/>
      <c r="F30" s="71" t="n"/>
    </row>
    <row r="31" ht="26" customHeight="1">
      <c r="A31" s="61" t="n"/>
      <c r="B31" s="73" t="n"/>
      <c r="C31" s="63" t="n"/>
      <c r="D31" s="63">
        <f>IF(C31="",0,C31*12)</f>
        <v/>
      </c>
      <c r="E31" s="61" t="n"/>
      <c r="F31" s="62" t="n"/>
    </row>
    <row r="32" ht="26" customHeight="1">
      <c r="A32" s="69" t="n"/>
      <c r="B32" s="72" t="n"/>
      <c r="C32" s="70" t="n"/>
      <c r="D32" s="70">
        <f>IF(C32="",0,C32*12)</f>
        <v/>
      </c>
      <c r="E32" s="69" t="n"/>
      <c r="F32" s="71" t="n"/>
    </row>
    <row r="33" ht="26" customHeight="1">
      <c r="A33" s="61" t="n"/>
      <c r="B33" s="73" t="n"/>
      <c r="C33" s="63" t="n"/>
      <c r="D33" s="63">
        <f>IF(C33="",0,C33*12)</f>
        <v/>
      </c>
      <c r="E33" s="61" t="n"/>
      <c r="F33" s="62" t="n"/>
    </row>
    <row r="34" ht="26" customHeight="1">
      <c r="A34" s="69" t="n"/>
      <c r="B34" s="72" t="n"/>
      <c r="C34" s="70" t="n"/>
      <c r="D34" s="70">
        <f>IF(C34="",0,C34*12)</f>
        <v/>
      </c>
      <c r="E34" s="69" t="n"/>
      <c r="F34" s="71" t="n"/>
    </row>
    <row r="35" ht="26" customHeight="1">
      <c r="A35" s="61" t="n"/>
      <c r="B35" s="73" t="n"/>
      <c r="C35" s="63" t="n"/>
      <c r="D35" s="63">
        <f>IF(C35="",0,C35*12)</f>
        <v/>
      </c>
      <c r="E35" s="61" t="n"/>
      <c r="F35" s="62" t="n"/>
    </row>
    <row r="36" ht="26" customHeight="1">
      <c r="A36" s="69" t="n"/>
      <c r="B36" s="72" t="n"/>
      <c r="C36" s="70" t="n"/>
      <c r="D36" s="70">
        <f>IF(C36="",0,C36*12)</f>
        <v/>
      </c>
      <c r="E36" s="69" t="n"/>
      <c r="F36" s="71" t="n"/>
    </row>
    <row r="37" ht="26" customHeight="1">
      <c r="A37" s="61" t="n"/>
      <c r="B37" s="73" t="n"/>
      <c r="C37" s="63" t="n"/>
      <c r="D37" s="63">
        <f>IF(C37="",0,C37*12)</f>
        <v/>
      </c>
      <c r="E37" s="61" t="n"/>
      <c r="F37" s="62" t="n"/>
    </row>
    <row r="38" ht="26" customHeight="1">
      <c r="A38" s="69" t="n"/>
      <c r="B38" s="72" t="n"/>
      <c r="C38" s="70" t="n"/>
      <c r="D38" s="70">
        <f>IF(C38="",0,C38*12)</f>
        <v/>
      </c>
      <c r="E38" s="69" t="n"/>
      <c r="F38" s="71" t="n"/>
    </row>
    <row r="39" ht="26" customHeight="1">
      <c r="A39" s="61" t="n"/>
      <c r="B39" s="73" t="n"/>
      <c r="C39" s="63" t="n"/>
      <c r="D39" s="63">
        <f>IF(C39="",0,C39*12)</f>
        <v/>
      </c>
      <c r="E39" s="61" t="n"/>
      <c r="F39" s="62" t="n"/>
    </row>
    <row r="40" ht="26" customHeight="1">
      <c r="A40" s="69" t="n"/>
      <c r="B40" s="72" t="n"/>
      <c r="C40" s="70" t="n"/>
      <c r="D40" s="70">
        <f>IF(C40="",0,C40*12)</f>
        <v/>
      </c>
      <c r="E40" s="69" t="n"/>
      <c r="F40" s="71" t="n"/>
    </row>
    <row r="41" ht="26" customHeight="1">
      <c r="A41" s="61" t="n"/>
      <c r="B41" s="73" t="n"/>
      <c r="C41" s="63" t="n"/>
      <c r="D41" s="63">
        <f>IF(C41="",0,C41*12)</f>
        <v/>
      </c>
      <c r="E41" s="61" t="n"/>
      <c r="F41" s="62" t="n"/>
    </row>
    <row r="42" ht="26" customHeight="1">
      <c r="A42" s="69" t="n"/>
      <c r="B42" s="72" t="n"/>
      <c r="C42" s="70" t="n"/>
      <c r="D42" s="70">
        <f>IF(C42="",0,C42*12)</f>
        <v/>
      </c>
      <c r="E42" s="69" t="n"/>
      <c r="F42" s="71" t="n"/>
    </row>
    <row r="43" ht="26" customHeight="1">
      <c r="A43" s="61" t="n"/>
      <c r="B43" s="73" t="n"/>
      <c r="C43" s="63" t="n"/>
      <c r="D43" s="63">
        <f>IF(C43="",0,C43*12)</f>
        <v/>
      </c>
      <c r="E43" s="61" t="n"/>
      <c r="F43" s="62" t="n"/>
    </row>
    <row r="44" ht="26" customHeight="1">
      <c r="A44" s="69" t="n"/>
      <c r="B44" s="72" t="n"/>
      <c r="C44" s="70" t="n"/>
      <c r="D44" s="70">
        <f>IF(C44="",0,C44*12)</f>
        <v/>
      </c>
      <c r="E44" s="69" t="n"/>
      <c r="F44" s="71" t="n"/>
    </row>
    <row r="45" ht="26" customHeight="1">
      <c r="A45" s="61" t="n"/>
      <c r="B45" s="73" t="n"/>
      <c r="C45" s="63" t="n"/>
      <c r="D45" s="63">
        <f>IF(C45="",0,C45*12)</f>
        <v/>
      </c>
      <c r="E45" s="61" t="n"/>
      <c r="F45" s="62" t="n"/>
    </row>
    <row r="46" ht="26" customHeight="1">
      <c r="A46" s="69" t="n"/>
      <c r="B46" s="72" t="n"/>
      <c r="C46" s="70" t="n"/>
      <c r="D46" s="70">
        <f>IF(C46="",0,C46*12)</f>
        <v/>
      </c>
      <c r="E46" s="69" t="n"/>
      <c r="F46" s="71" t="n"/>
    </row>
    <row r="47" ht="26" customHeight="1">
      <c r="A47" s="61" t="n"/>
      <c r="B47" s="73" t="n"/>
      <c r="C47" s="63" t="n"/>
      <c r="D47" s="63">
        <f>IF(C47="",0,C47*12)</f>
        <v/>
      </c>
      <c r="E47" s="61" t="n"/>
      <c r="F47" s="62" t="n"/>
    </row>
    <row r="48" ht="26" customHeight="1">
      <c r="A48" s="69" t="n"/>
      <c r="B48" s="72" t="n"/>
      <c r="C48" s="70" t="n"/>
      <c r="D48" s="70">
        <f>IF(C48="",0,C48*12)</f>
        <v/>
      </c>
      <c r="E48" s="69" t="n"/>
      <c r="F48" s="71" t="n"/>
    </row>
    <row r="49" ht="26" customHeight="1">
      <c r="A49" s="61" t="n"/>
      <c r="B49" s="73" t="n"/>
      <c r="C49" s="63" t="n"/>
      <c r="D49" s="63">
        <f>IF(C49="",0,C49*12)</f>
        <v/>
      </c>
      <c r="E49" s="61" t="n"/>
      <c r="F49" s="62" t="n"/>
    </row>
    <row r="50" ht="26" customHeight="1">
      <c r="A50" s="69" t="n"/>
      <c r="B50" s="72" t="n"/>
      <c r="C50" s="70" t="n"/>
      <c r="D50" s="70">
        <f>IF(C50="",0,C50*12)</f>
        <v/>
      </c>
      <c r="E50" s="69" t="n"/>
      <c r="F50" s="71" t="n"/>
    </row>
    <row r="51" ht="26" customHeight="1">
      <c r="A51" s="61" t="n"/>
      <c r="B51" s="73" t="n"/>
      <c r="C51" s="63" t="n"/>
      <c r="D51" s="63">
        <f>IF(C51="",0,C51*12)</f>
        <v/>
      </c>
      <c r="E51" s="61" t="n"/>
      <c r="F51" s="62" t="n"/>
    </row>
    <row r="52" ht="26" customHeight="1">
      <c r="A52" s="69" t="n"/>
      <c r="B52" s="72" t="n"/>
      <c r="C52" s="70" t="n"/>
      <c r="D52" s="70">
        <f>IF(C52="",0,C52*12)</f>
        <v/>
      </c>
      <c r="E52" s="69" t="n"/>
      <c r="F52" s="71" t="n"/>
    </row>
    <row r="53" ht="26" customHeight="1">
      <c r="A53" s="61" t="n"/>
      <c r="B53" s="73" t="n"/>
      <c r="C53" s="63" t="n"/>
      <c r="D53" s="63">
        <f>IF(C53="",0,C53*12)</f>
        <v/>
      </c>
      <c r="E53" s="61" t="n"/>
      <c r="F53" s="62" t="n"/>
    </row>
    <row r="54" ht="26" customHeight="1">
      <c r="A54" s="69" t="n"/>
      <c r="B54" s="72" t="n"/>
      <c r="C54" s="70" t="n"/>
      <c r="D54" s="70">
        <f>IF(C54="",0,C54*12)</f>
        <v/>
      </c>
      <c r="E54" s="69" t="n"/>
      <c r="F54" s="71" t="n"/>
    </row>
    <row r="55" ht="26" customHeight="1">
      <c r="A55" s="61" t="n"/>
      <c r="B55" s="73" t="n"/>
      <c r="C55" s="63" t="n"/>
      <c r="D55" s="63">
        <f>IF(C55="",0,C55*12)</f>
        <v/>
      </c>
      <c r="E55" s="61" t="n"/>
      <c r="F55" s="62" t="n"/>
    </row>
    <row r="56" ht="26" customHeight="1">
      <c r="A56" s="69" t="n"/>
      <c r="B56" s="72" t="n"/>
      <c r="C56" s="70" t="n"/>
      <c r="D56" s="70">
        <f>IF(C56="",0,C56*12)</f>
        <v/>
      </c>
      <c r="E56" s="69" t="n"/>
      <c r="F56" s="71" t="n"/>
    </row>
    <row r="57" ht="26" customHeight="1">
      <c r="A57" s="61" t="n"/>
      <c r="B57" s="73" t="n"/>
      <c r="C57" s="63" t="n"/>
      <c r="D57" s="63">
        <f>IF(C57="",0,C57*12)</f>
        <v/>
      </c>
      <c r="E57" s="61" t="n"/>
      <c r="F57" s="62" t="n"/>
    </row>
    <row r="58" ht="26" customHeight="1">
      <c r="A58" s="69" t="n"/>
      <c r="B58" s="72" t="n"/>
      <c r="C58" s="70" t="n"/>
      <c r="D58" s="70">
        <f>IF(C58="",0,C58*12)</f>
        <v/>
      </c>
      <c r="E58" s="69" t="n"/>
      <c r="F58" s="71" t="n"/>
    </row>
    <row r="59" ht="26" customHeight="1">
      <c r="A59" s="61" t="n"/>
      <c r="B59" s="73" t="n"/>
      <c r="C59" s="63" t="n"/>
      <c r="D59" s="63">
        <f>IF(C59="",0,C59*12)</f>
        <v/>
      </c>
      <c r="E59" s="61" t="n"/>
      <c r="F59" s="62" t="n"/>
    </row>
    <row r="60" ht="26" customHeight="1">
      <c r="A60" s="69" t="n"/>
      <c r="B60" s="72" t="n"/>
      <c r="C60" s="70" t="n"/>
      <c r="D60" s="70">
        <f>IF(C60="",0,C60*12)</f>
        <v/>
      </c>
      <c r="E60" s="69" t="n"/>
      <c r="F60" s="71" t="n"/>
    </row>
    <row r="61" ht="26" customHeight="1">
      <c r="A61" s="61" t="n"/>
      <c r="B61" s="73" t="n"/>
      <c r="C61" s="63" t="n"/>
      <c r="D61" s="63">
        <f>IF(C61="",0,C61*12)</f>
        <v/>
      </c>
      <c r="E61" s="61" t="n"/>
      <c r="F61" s="62" t="n"/>
    </row>
    <row r="62" ht="26" customHeight="1">
      <c r="A62" s="69" t="n"/>
      <c r="B62" s="72" t="n"/>
      <c r="C62" s="70" t="n"/>
      <c r="D62" s="70">
        <f>IF(C62="",0,C62*12)</f>
        <v/>
      </c>
      <c r="E62" s="69" t="n"/>
      <c r="F62" s="71" t="n"/>
    </row>
    <row r="63" ht="26" customHeight="1">
      <c r="A63" s="61" t="n"/>
      <c r="B63" s="73" t="n"/>
      <c r="C63" s="63" t="n"/>
      <c r="D63" s="63">
        <f>IF(C63="",0,C63*12)</f>
        <v/>
      </c>
      <c r="E63" s="61" t="n"/>
      <c r="F63" s="62" t="n"/>
    </row>
    <row r="64" ht="26" customHeight="1">
      <c r="A64" s="69" t="n"/>
      <c r="B64" s="72" t="n"/>
      <c r="C64" s="70" t="n"/>
      <c r="D64" s="70">
        <f>IF(C64="",0,C64*12)</f>
        <v/>
      </c>
      <c r="E64" s="69" t="n"/>
      <c r="F64" s="71" t="n"/>
    </row>
    <row r="65" ht="26" customHeight="1">
      <c r="A65" s="61" t="n"/>
      <c r="B65" s="73" t="n"/>
      <c r="C65" s="63" t="n"/>
      <c r="D65" s="63">
        <f>IF(C65="",0,C65*12)</f>
        <v/>
      </c>
      <c r="E65" s="61" t="n"/>
      <c r="F65" s="62" t="n"/>
    </row>
    <row r="66" ht="26" customHeight="1">
      <c r="A66" s="69" t="n"/>
      <c r="B66" s="72" t="n"/>
      <c r="C66" s="70" t="n"/>
      <c r="D66" s="70">
        <f>IF(C66="",0,C66*12)</f>
        <v/>
      </c>
      <c r="E66" s="69" t="n"/>
      <c r="F66" s="71" t="n"/>
    </row>
    <row r="67" ht="26" customHeight="1">
      <c r="A67" s="61" t="n"/>
      <c r="B67" s="73" t="n"/>
      <c r="C67" s="63" t="n"/>
      <c r="D67" s="63">
        <f>IF(C67="",0,C67*12)</f>
        <v/>
      </c>
      <c r="E67" s="61" t="n"/>
      <c r="F67" s="62" t="n"/>
    </row>
    <row r="68" ht="26" customHeight="1">
      <c r="A68" s="69" t="n"/>
      <c r="B68" s="72" t="n"/>
      <c r="C68" s="70" t="n"/>
      <c r="D68" s="70">
        <f>IF(C68="",0,C68*12)</f>
        <v/>
      </c>
      <c r="E68" s="69" t="n"/>
      <c r="F68" s="71" t="n"/>
    </row>
    <row r="69" ht="26" customHeight="1">
      <c r="A69" s="61" t="n"/>
      <c r="B69" s="73" t="n"/>
      <c r="C69" s="63" t="n"/>
      <c r="D69" s="63">
        <f>IF(C69="",0,C69*12)</f>
        <v/>
      </c>
      <c r="E69" s="61" t="n"/>
      <c r="F69" s="62" t="n"/>
    </row>
    <row r="70" ht="26" customHeight="1">
      <c r="A70" s="69" t="n"/>
      <c r="B70" s="72" t="n"/>
      <c r="C70" s="70" t="n"/>
      <c r="D70" s="70">
        <f>IF(C70="",0,C70*12)</f>
        <v/>
      </c>
      <c r="E70" s="69" t="n"/>
      <c r="F70" s="71" t="n"/>
    </row>
    <row r="71" ht="26" customHeight="1">
      <c r="A71" s="61" t="n"/>
      <c r="B71" s="73" t="n"/>
      <c r="C71" s="63" t="n"/>
      <c r="D71" s="63">
        <f>IF(C71="",0,C71*12)</f>
        <v/>
      </c>
      <c r="E71" s="61" t="n"/>
      <c r="F71" s="62" t="n"/>
    </row>
    <row r="72" ht="26" customHeight="1">
      <c r="A72" s="69" t="n"/>
      <c r="B72" s="72" t="n"/>
      <c r="C72" s="70" t="n"/>
      <c r="D72" s="70">
        <f>IF(C72="",0,C72*12)</f>
        <v/>
      </c>
      <c r="E72" s="69" t="n"/>
      <c r="F72" s="71" t="n"/>
    </row>
    <row r="73" ht="26" customHeight="1">
      <c r="A73" s="61" t="n"/>
      <c r="B73" s="73" t="n"/>
      <c r="C73" s="63" t="n"/>
      <c r="D73" s="63">
        <f>IF(C73="",0,C73*12)</f>
        <v/>
      </c>
      <c r="E73" s="61" t="n"/>
      <c r="F73" s="62" t="n"/>
    </row>
    <row r="74" ht="26" customHeight="1">
      <c r="A74" s="69" t="n"/>
      <c r="B74" s="72" t="n"/>
      <c r="C74" s="70" t="n"/>
      <c r="D74" s="70">
        <f>IF(C74="",0,C74*12)</f>
        <v/>
      </c>
      <c r="E74" s="69" t="n"/>
      <c r="F74" s="71" t="n"/>
    </row>
    <row r="75" ht="26" customHeight="1">
      <c r="A75" s="61" t="n"/>
      <c r="B75" s="73" t="n"/>
      <c r="C75" s="63" t="n"/>
      <c r="D75" s="63">
        <f>IF(C75="",0,C75*12)</f>
        <v/>
      </c>
      <c r="E75" s="61" t="n"/>
      <c r="F75" s="62" t="n"/>
    </row>
    <row r="76" ht="26" customHeight="1">
      <c r="A76" s="69" t="n"/>
      <c r="B76" s="72" t="n"/>
      <c r="C76" s="70" t="n"/>
      <c r="D76" s="70">
        <f>IF(C76="",0,C76*12)</f>
        <v/>
      </c>
      <c r="E76" s="69" t="n"/>
      <c r="F76" s="71" t="n"/>
    </row>
    <row r="77" ht="26" customHeight="1">
      <c r="A77" s="61" t="n"/>
      <c r="B77" s="73" t="n"/>
      <c r="C77" s="63" t="n"/>
      <c r="D77" s="63">
        <f>IF(C77="",0,C77*12)</f>
        <v/>
      </c>
      <c r="E77" s="61" t="n"/>
      <c r="F77" s="62" t="n"/>
    </row>
    <row r="78" ht="26" customHeight="1">
      <c r="A78" s="69" t="n"/>
      <c r="B78" s="72" t="n"/>
      <c r="C78" s="70" t="n"/>
      <c r="D78" s="70">
        <f>IF(C78="",0,C78*12)</f>
        <v/>
      </c>
      <c r="E78" s="69" t="n"/>
      <c r="F78" s="71" t="n"/>
    </row>
    <row r="79" ht="26" customHeight="1">
      <c r="A79" s="61" t="n"/>
      <c r="B79" s="73" t="n"/>
      <c r="C79" s="63" t="n"/>
      <c r="D79" s="63">
        <f>IF(C79="",0,C79*12)</f>
        <v/>
      </c>
      <c r="E79" s="61" t="n"/>
      <c r="F79" s="62" t="n"/>
    </row>
    <row r="80" ht="26" customHeight="1">
      <c r="A80" s="69" t="n"/>
      <c r="B80" s="72" t="n"/>
      <c r="C80" s="70" t="n"/>
      <c r="D80" s="70">
        <f>IF(C80="",0,C80*12)</f>
        <v/>
      </c>
      <c r="E80" s="69" t="n"/>
      <c r="F80" s="71" t="n"/>
    </row>
    <row r="81" ht="26" customHeight="1">
      <c r="A81" s="61" t="n"/>
      <c r="B81" s="73" t="n"/>
      <c r="C81" s="63" t="n"/>
      <c r="D81" s="63">
        <f>IF(C81="",0,C81*12)</f>
        <v/>
      </c>
      <c r="E81" s="61" t="n"/>
      <c r="F81" s="62" t="n"/>
    </row>
    <row r="82" ht="26" customHeight="1">
      <c r="A82" s="69" t="n"/>
      <c r="B82" s="72" t="n"/>
      <c r="C82" s="70" t="n"/>
      <c r="D82" s="70">
        <f>IF(C82="",0,C82*12)</f>
        <v/>
      </c>
      <c r="E82" s="69" t="n"/>
      <c r="F82" s="71" t="n"/>
    </row>
    <row r="83" ht="26" customHeight="1">
      <c r="A83" s="61" t="n"/>
      <c r="B83" s="73" t="n"/>
      <c r="C83" s="63" t="n"/>
      <c r="D83" s="63">
        <f>IF(C83="",0,C83*12)</f>
        <v/>
      </c>
      <c r="E83" s="61" t="n"/>
      <c r="F83" s="62" t="n"/>
    </row>
    <row r="84" ht="26" customHeight="1">
      <c r="A84" s="69" t="n"/>
      <c r="B84" s="72" t="n"/>
      <c r="C84" s="70" t="n"/>
      <c r="D84" s="70">
        <f>IF(C84="",0,C84*12)</f>
        <v/>
      </c>
      <c r="E84" s="69" t="n"/>
      <c r="F84" s="71" t="n"/>
    </row>
    <row r="85" ht="26" customHeight="1">
      <c r="A85" s="61" t="n"/>
      <c r="B85" s="73" t="n"/>
      <c r="C85" s="63" t="n"/>
      <c r="D85" s="63">
        <f>IF(C85="",0,C85*12)</f>
        <v/>
      </c>
      <c r="E85" s="61" t="n"/>
      <c r="F85" s="62" t="n"/>
    </row>
    <row r="86" ht="26" customHeight="1">
      <c r="A86" s="69" t="n"/>
      <c r="B86" s="72" t="n"/>
      <c r="C86" s="70" t="n"/>
      <c r="D86" s="70">
        <f>IF(C86="",0,C86*12)</f>
        <v/>
      </c>
      <c r="E86" s="69" t="n"/>
      <c r="F86" s="71" t="n"/>
    </row>
    <row r="87" ht="26" customHeight="1">
      <c r="A87" s="61" t="n"/>
      <c r="B87" s="73" t="n"/>
      <c r="C87" s="63" t="n"/>
      <c r="D87" s="63">
        <f>IF(C87="",0,C87*12)</f>
        <v/>
      </c>
      <c r="E87" s="61" t="n"/>
      <c r="F87" s="62" t="n"/>
    </row>
    <row r="88" ht="26" customHeight="1">
      <c r="A88" s="69" t="n"/>
      <c r="B88" s="72" t="n"/>
      <c r="C88" s="70" t="n"/>
      <c r="D88" s="70">
        <f>IF(C88="",0,C88*12)</f>
        <v/>
      </c>
      <c r="E88" s="69" t="n"/>
      <c r="F88" s="71" t="n"/>
    </row>
    <row r="89" ht="26" customHeight="1">
      <c r="A89" s="61" t="n"/>
      <c r="B89" s="73" t="n"/>
      <c r="C89" s="63" t="n"/>
      <c r="D89" s="63">
        <f>IF(C89="",0,C89*12)</f>
        <v/>
      </c>
      <c r="E89" s="61" t="n"/>
      <c r="F89" s="62" t="n"/>
    </row>
    <row r="90" ht="26" customHeight="1">
      <c r="A90" s="69" t="n"/>
      <c r="B90" s="72" t="n"/>
      <c r="C90" s="70" t="n"/>
      <c r="D90" s="70">
        <f>IF(C90="",0,C90*12)</f>
        <v/>
      </c>
      <c r="E90" s="69" t="n"/>
      <c r="F90" s="71" t="n"/>
    </row>
    <row r="91" ht="26" customHeight="1">
      <c r="A91" s="61" t="n"/>
      <c r="B91" s="73" t="n"/>
      <c r="C91" s="63" t="n"/>
      <c r="D91" s="63">
        <f>IF(C91="",0,C91*12)</f>
        <v/>
      </c>
      <c r="E91" s="61" t="n"/>
      <c r="F91" s="62" t="n"/>
    </row>
    <row r="92" ht="26" customHeight="1">
      <c r="A92" s="69" t="n"/>
      <c r="B92" s="72" t="n"/>
      <c r="C92" s="70" t="n"/>
      <c r="D92" s="70">
        <f>IF(C92="",0,C92*12)</f>
        <v/>
      </c>
      <c r="E92" s="69" t="n"/>
      <c r="F92" s="71" t="n"/>
    </row>
    <row r="93" ht="26" customHeight="1">
      <c r="A93" s="61" t="n"/>
      <c r="B93" s="73" t="n"/>
      <c r="C93" s="63" t="n"/>
      <c r="D93" s="63">
        <f>IF(C93="",0,C93*12)</f>
        <v/>
      </c>
      <c r="E93" s="61" t="n"/>
      <c r="F93" s="62" t="n"/>
    </row>
    <row r="94" ht="26" customHeight="1">
      <c r="A94" s="69" t="n"/>
      <c r="B94" s="72" t="n"/>
      <c r="C94" s="70" t="n"/>
      <c r="D94" s="70">
        <f>IF(C94="",0,C94*12)</f>
        <v/>
      </c>
      <c r="E94" s="69" t="n"/>
      <c r="F94" s="71" t="n"/>
    </row>
    <row r="95" ht="26" customHeight="1">
      <c r="A95" s="61" t="n"/>
      <c r="B95" s="73" t="n"/>
      <c r="C95" s="63" t="n"/>
      <c r="D95" s="63">
        <f>IF(C95="",0,C95*12)</f>
        <v/>
      </c>
      <c r="E95" s="61" t="n"/>
      <c r="F95" s="62" t="n"/>
    </row>
    <row r="96" ht="26" customHeight="1">
      <c r="A96" s="69" t="n"/>
      <c r="B96" s="72" t="n"/>
      <c r="C96" s="70" t="n"/>
      <c r="D96" s="70">
        <f>IF(C96="",0,C96*12)</f>
        <v/>
      </c>
      <c r="E96" s="69" t="n"/>
      <c r="F96" s="71" t="n"/>
    </row>
    <row r="97" ht="26" customHeight="1">
      <c r="A97" s="61" t="n"/>
      <c r="B97" s="73" t="n"/>
      <c r="C97" s="63" t="n"/>
      <c r="D97" s="63">
        <f>IF(C97="",0,C97*12)</f>
        <v/>
      </c>
      <c r="E97" s="61" t="n"/>
      <c r="F97" s="62" t="n"/>
    </row>
    <row r="98" ht="26" customHeight="1">
      <c r="A98" s="69" t="n"/>
      <c r="B98" s="72" t="n"/>
      <c r="C98" s="70" t="n"/>
      <c r="D98" s="70">
        <f>IF(C98="",0,C98*12)</f>
        <v/>
      </c>
      <c r="E98" s="69" t="n"/>
      <c r="F98" s="71" t="n"/>
    </row>
    <row r="99" ht="26" customHeight="1">
      <c r="A99" s="61" t="n"/>
      <c r="B99" s="73" t="n"/>
      <c r="C99" s="63" t="n"/>
      <c r="D99" s="63">
        <f>IF(C99="",0,C99*12)</f>
        <v/>
      </c>
      <c r="E99" s="61" t="n"/>
      <c r="F99" s="62" t="n"/>
    </row>
    <row r="100" ht="26" customHeight="1">
      <c r="A100" s="69" t="n"/>
      <c r="B100" s="72" t="n"/>
      <c r="C100" s="70" t="n"/>
      <c r="D100" s="70">
        <f>IF(C100="",0,C100*12)</f>
        <v/>
      </c>
      <c r="E100" s="69" t="n"/>
      <c r="F100" s="71" t="n"/>
    </row>
    <row r="101" ht="26" customHeight="1">
      <c r="A101" s="61" t="n"/>
      <c r="B101" s="73" t="n"/>
      <c r="C101" s="63" t="n"/>
      <c r="D101" s="63">
        <f>IF(C101="",0,C101*12)</f>
        <v/>
      </c>
      <c r="E101" s="61" t="n"/>
      <c r="F101" s="62" t="n"/>
    </row>
    <row r="102" ht="26" customHeight="1">
      <c r="A102" s="69" t="n"/>
      <c r="B102" s="72" t="n"/>
      <c r="C102" s="70" t="n"/>
      <c r="D102" s="70">
        <f>IF(C102="",0,C102*12)</f>
        <v/>
      </c>
      <c r="E102" s="69" t="n"/>
      <c r="F102" s="71" t="n"/>
    </row>
    <row r="103" ht="26" customHeight="1">
      <c r="A103" s="61" t="n"/>
      <c r="B103" s="73" t="n"/>
      <c r="C103" s="63" t="n"/>
      <c r="D103" s="63">
        <f>IF(C103="",0,C103*12)</f>
        <v/>
      </c>
      <c r="E103" s="61" t="n"/>
      <c r="F103" s="62" t="n"/>
    </row>
    <row r="104" ht="26" customHeight="1">
      <c r="A104" s="69" t="n"/>
      <c r="B104" s="72" t="n"/>
      <c r="C104" s="70" t="n"/>
      <c r="D104" s="70">
        <f>IF(C104="",0,C104*12)</f>
        <v/>
      </c>
      <c r="E104" s="69" t="n"/>
      <c r="F104" s="71" t="n"/>
    </row>
  </sheetData>
  <autoFilter ref="A4:F104"/>
  <mergeCells count="3">
    <mergeCell ref="A2:F2"/>
    <mergeCell ref="A3:B3"/>
    <mergeCell ref="A1:F1"/>
  </mergeCells>
  <dataValidations count="1">
    <dataValidation sqref="F5:F104" showDropDown="0" showInputMessage="0" showErrorMessage="0" allowBlank="1" type="list">
      <formula1>"Yes,No,Maybe"</formula1>
    </dataValidation>
  </dataValidations>
  <pageMargins left="0.4" right="0.4" top="0.4" bottom="0.4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2026-02-21T04:06:44Z</dcterms:created>
  <dcterms:modified xmlns:dcterms="http://purl.org/dc/terms/" xmlns:xsi="http://www.w3.org/2001/XMLSchema-instance" xsi:type="dcterms:W3CDTF">2026-02-21T18:53:39Z</dcterms:modified>
</cp:coreProperties>
</file>